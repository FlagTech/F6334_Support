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96dcdaa6c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專案進度" sheetId="1" r:id="R4cee144e4fae4d5e"/>
    <x:sheet xmlns:r="http://schemas.openxmlformats.org/officeDocument/2006/relationships" name="進度總覽" sheetId="2" r:id="Rd8469daa419e4e31"/>
    <x:sheet xmlns:r="http://schemas.openxmlformats.org/officeDocument/2006/relationships" name="欄位說明" sheetId="3" r:id="R1f0d3b3ffa7d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"/>
  </x:numFmts>
  <x:fonts count="9">
    <x:font>
      <x:sz val="11"/>
      <x:name val="Carlito"/>
    </x:font>
    <x:font>
      <x:b/>
      <x:sz val="18"/>
      <x:color rgb="FFFFFFFF"/>
      <x:name val="Microsoft JhengHei"/>
    </x:font>
    <x:font>
      <x:sz val="10"/>
      <x:color rgb="FF44546A"/>
      <x:name val="Microsoft JhengHei"/>
    </x:font>
    <x:font>
      <x:b/>
      <x:sz val="10"/>
      <x:color rgb="FF163A5F"/>
      <x:name val="Microsoft JhengHei"/>
    </x:font>
    <x:font>
      <x:b/>
      <x:sz val="9"/>
      <x:color rgb="FF163A5F"/>
      <x:name val="Microsoft JhengHei"/>
    </x:font>
    <x:font>
      <x:b/>
      <x:sz val="14"/>
      <x:color rgb="FF2F75B5"/>
      <x:name val="Microsoft JhengHei"/>
    </x:font>
    <x:font>
      <x:b/>
      <x:sz val="10"/>
      <x:color rgb="FFFFFFFF"/>
      <x:name val="Microsoft JhengHei"/>
    </x:font>
    <x:font>
      <x:sz val="10"/>
      <x:color rgb="FF1F1F1F"/>
      <x:name val="Microsoft JhengHei"/>
    </x:font>
    <x:font>
      <x:b/>
      <x:sz val="18"/>
      <x:color rgb="FF2F75B5"/>
      <x:name val="Microsoft Jheng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EF5FB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EEF1F4"/>
      </x:patternFill>
    </x:fill>
  </x:fills>
  <x:borders count="12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C4D5E3"/>
      </x:left>
      <x:right style="thin">
        <x:color rgb="FFC4D5E3"/>
      </x:right>
      <x:top style="thin">
        <x:color rgb="FFC4D5E3"/>
      </x:top>
      <x:bottom style="thin">
        <x:color rgb="FFC4D5E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E2E7EC"/>
      </x:bottom>
    </x:border>
    <x:border>
      <x:top style="thin">
        <x:color rgb="FFE2E7EC"/>
      </x:top>
      <x:bottom style="thin">
        <x:color rgb="FFE2E7EC"/>
      </x:bottom>
    </x:border>
    <x:border>
      <x:left style="thin">
        <x:color rgb="FFC4D5E3"/>
      </x:left>
      <x:top style="thin">
        <x:color rgb="FFC4D5E3"/>
      </x:top>
      <x:bottom style="thin">
        <x:color rgb="FFC4D5E3"/>
      </x:bottom>
    </x:border>
    <x:border>
      <x:right style="thin">
        <x:color rgb="FFC4D5E3"/>
      </x:right>
      <x:top style="thin">
        <x:color rgb="FFC4D5E3"/>
      </x:top>
      <x:bottom style="thin">
        <x:color rgb="FFC4D5E3"/>
      </x:bottom>
    </x:border>
    <x:border>
      <x:left style="thin">
        <x:color rgb="FFC4D5E3"/>
      </x:left>
      <x:top style="thin">
        <x:color rgb="FFC4D5E3"/>
      </x:top>
    </x:border>
    <x:border>
      <x:right style="thin">
        <x:color rgb="FFC4D5E3"/>
      </x:right>
      <x:top style="thin">
        <x:color rgb="FFC4D5E3"/>
      </x:top>
    </x:border>
    <x:border>
      <x:left style="thin">
        <x:color rgb="FFC4D5E3"/>
      </x:left>
      <x:bottom style="thin">
        <x:color rgb="FFC4D5E3"/>
      </x:bottom>
    </x:border>
    <x:border>
      <x:right style="thin">
        <x:color rgb="FFC4D5E3"/>
      </x:right>
      <x:bottom style="thin">
        <x:color rgb="FFC4D5E3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/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200" fontId="3" fillId="5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201" fontId="5" fillId="5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horizontal="center" vertical="center"/>
    </x:xf>
    <x:xf numFmtId="201" fontId="7" fillId="0" borderId="5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horizontal="center" vertical="center"/>
    </x:xf>
    <x:xf numFmtId="200" fontId="7" fillId="0" borderId="4" xfId="0" applyNumberFormat="1" applyFont="1" applyFill="1" applyBorder="1" applyAlignment="1">
      <x:alignment horizontal="center" vertical="center"/>
    </x:xf>
    <x:xf numFmtId="200" fontId="7" fillId="0" borderId="5" xfId="0" applyNumberFormat="1" applyFont="1" applyFill="1" applyBorder="1" applyAlignment="1">
      <x:alignment horizontal="center" vertical="center"/>
    </x:xf>
    <x:xf numFmtId="202" fontId="7" fillId="0" borderId="4" xfId="0" applyNumberFormat="1" applyFont="1" applyFill="1" applyBorder="1" applyAlignment="1">
      <x:alignment horizontal="center" vertical="center"/>
    </x:xf>
    <x:xf numFmtId="202" fontId="7" fillId="0" borderId="5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2" fontId="7" fillId="7" borderId="4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202" fontId="7" fillId="7" borderId="5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202" fontId="2" fillId="7" borderId="4" xfId="0" applyNumberFormat="1" applyFont="1" applyFill="1" applyBorder="1" applyAlignment="1">
      <x:alignment horizontal="center" vertical="center"/>
    </x:xf>
    <x:xf numFmtId="0" fontId="2" fillId="7" borderId="4" xfId="0" applyNumberFormat="1" applyFont="1" applyFill="1" applyBorder="1" applyAlignment="1">
      <x:alignment horizontal="center" vertical="center"/>
    </x:xf>
    <x:xf numFmtId="202" fontId="2" fillId="7" borderId="5" xfId="0" applyNumberFormat="1" applyFont="1" applyFill="1" applyBorder="1" applyAlignment="1">
      <x:alignment horizontal="center" vertical="center"/>
    </x:xf>
    <x:xf numFmtId="0" fontId="2" fillId="7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8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/>
    </x:xf>
    <x:xf numFmtId="0" fontId="8" fillId="5" borderId="10" xfId="0" applyNumberFormat="1" applyFont="1" applyFill="1" applyBorder="1" applyAlignment="1">
      <x:alignment horizontal="center"/>
    </x:xf>
    <x:xf numFmtId="0" fontId="8" fillId="5" borderId="11" xfId="0" applyNumberFormat="1" applyFont="1" applyFill="1" applyBorder="1" applyAlignment="1">
      <x:alignment horizont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center" vertical="center"/>
    </x:xf>
    <x:xf numFmtId="0" fontId="8" fillId="5" borderId="11" xfId="0" applyNumberFormat="1" applyFont="1" applyFill="1" applyBorder="1" applyAlignment="1">
      <x:alignment horizontal="center" vertical="center"/>
    </x:xf>
    <x:xf numFmtId="201" fontId="8" fillId="5" borderId="8" xfId="0" applyNumberFormat="1" applyFont="1" applyFill="1" applyBorder="1" applyAlignment="1">
      <x:alignment horizontal="center" vertical="center"/>
    </x:xf>
    <x:xf numFmtId="201" fontId="8" fillId="5" borderId="9" xfId="0" applyNumberFormat="1" applyFont="1" applyFill="1" applyBorder="1" applyAlignment="1">
      <x:alignment horizontal="center" vertical="center"/>
    </x:xf>
    <x:xf numFmtId="201" fontId="8" fillId="5" borderId="10" xfId="0" applyNumberFormat="1" applyFont="1" applyFill="1" applyBorder="1" applyAlignment="1">
      <x:alignment horizontal="center" vertical="center"/>
    </x:xf>
    <x:xf numFmtId="201" fontId="8" fillId="5" borderId="1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3" xfId="0" applyNumberFormat="1" applyFont="1" applyFill="1" applyBorder="1"/>
    <x:xf numFmtId="0" fontId="6" fillId="2" borderId="3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A66B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cd9e61f9f4824" /><Relationship Type="http://schemas.openxmlformats.org/officeDocument/2006/relationships/theme" Target="/xl/theme/theme1.xml" Id="Rf2bf3f567d994419" /><Relationship Type="http://schemas.openxmlformats.org/officeDocument/2006/relationships/sharedStrings" Target="/xl/sharedStrings.xml" Id="Rdd66d0ad819a481b" /><Relationship Type="http://schemas.openxmlformats.org/officeDocument/2006/relationships/worksheet" Target="/xl/worksheets/sheet1.xml" Id="R4cee144e4fae4d5e" /><Relationship Type="http://schemas.openxmlformats.org/officeDocument/2006/relationships/worksheet" Target="/xl/worksheets/sheet2.xml" Id="Rd8469daa419e4e31" /><Relationship Type="http://schemas.openxmlformats.org/officeDocument/2006/relationships/worksheet" Target="/xl/worksheets/sheet3.xml" Id="R1f0d3b3ffa7d4b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3eb6a9e19e4e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各部門平均完成率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平均完成率</c:v>
          </c:tx>
          <c:cat>
            <c:strRef>
              <c:f>'進度總覽'!$A$10:$A$12</c:f>
              <c:strCache>
                <c:ptCount val="0"/>
              </c:strCache>
            </c:strRef>
          </c:cat>
          <c:val>
            <c:numRef>
              <c:f>'進度總覽'!$B$10:$B$12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3eb6a9e19e4e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sks" displayName="ProjectTasks" ref="A7:L17" headerRowCount="1" totalsRowCount="0" totalsRowShown="0">
  <x:autoFilter ref="A7:L17"/>
  <x:tableColumns count="12">
    <x:tableColumn id="1" name="任務編號"/>
    <x:tableColumn id="2" name="所屬部門"/>
    <x:tableColumn id="3" name="工作項目"/>
    <x:tableColumn id="4" name="負責人"/>
    <x:tableColumn id="5" name="預計完成日"/>
    <x:tableColumn id="6" name="目前進度"/>
    <x:tableColumn id="7" name="執行狀態"/>
    <x:tableColumn id="8" name="最新說明"/>
    <x:tableColumn id="9" name="資料來源"/>
    <x:tableColumn id="10" name="更新日期"/>
    <x:tableColumn id="11" name="剩餘天數"/>
    <x:tableColumn id="12" name="時程判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9e146950394a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d332a80c7744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0" hidden="0" customWidth="1"/>
    <x:col min="5" max="5" width="13" hidden="0" customWidth="1"/>
    <x:col min="6" max="6" width="11" hidden="0" customWidth="1"/>
    <x:col min="7" max="7" width="12" hidden="0" customWidth="1"/>
    <x:col min="8" max="8" width="34" hidden="0" customWidth="1"/>
    <x:col min="9" max="9" width="18" hidden="0" customWidth="1"/>
    <x:col min="10" max="10" width="13" hidden="0" customWidth="1"/>
    <x:col min="11" max="11" width="11" hidden="0" customWidth="1"/>
    <x:col min="12" max="12" width="12" hidden="0" customWidth="1"/>
  </x:cols>
  <x:sheetData>
    <x:row r="1" ht="34" customHeight="1">
      <x:c r="A1" s="4" t="str">
        <x:v>年度專案進度追蹤表</x:v>
      </x:c>
      <x:c r="B1" s="4" t="str">
        <x:v>年度專案進度追蹤表</x:v>
      </x:c>
      <x:c r="C1" s="4" t="str">
        <x:v>年度專案進度追蹤表</x:v>
      </x:c>
      <x:c r="D1" s="4" t="str">
        <x:v>年度專案進度追蹤表</x:v>
      </x:c>
      <x:c r="E1" s="4" t="str">
        <x:v>年度專案進度追蹤表</x:v>
      </x:c>
      <x:c r="F1" s="4" t="str">
        <x:v>年度專案進度追蹤表</x:v>
      </x:c>
      <x:c r="G1" s="4" t="str">
        <x:v>年度專案進度追蹤表</x:v>
      </x:c>
      <x:c r="H1" s="4" t="str">
        <x:v>年度專案進度追蹤表</x:v>
      </x:c>
      <x:c r="I1" s="4" t="str">
        <x:v>年度專案進度追蹤表</x:v>
      </x:c>
      <x:c r="J1" s="4" t="str">
        <x:v>年度專案進度追蹤表</x:v>
      </x:c>
      <x:c r="K1" s="4" t="str">
        <x:v>年度專案進度追蹤表</x:v>
      </x:c>
      <x:c r="L1" s="4" t="str">
        <x:v>年度專案進度追蹤表</x:v>
      </x:c>
    </x:row>
    <x:row r="2" ht="24" customHeight="1">
      <x:c r="A2" s="7" t="str">
        <x:v>專案：企業官網改版｜公式欄位以灰色標示，請勿手動輸入；新增與異動請保留資料來源。</x:v>
      </x:c>
      <x:c r="B2" s="7" t="str">
        <x:v>專案：企業官網改版｜公式欄位以灰色標示，請勿手動輸入；新增與異動請保留資料來源。</x:v>
      </x:c>
      <x:c r="C2" s="7" t="str">
        <x:v>專案：企業官網改版｜公式欄位以灰色標示，請勿手動輸入；新增與異動請保留資料來源。</x:v>
      </x:c>
      <x:c r="D2" s="7" t="str">
        <x:v>專案：企業官網改版｜公式欄位以灰色標示，請勿手動輸入；新增與異動請保留資料來源。</x:v>
      </x:c>
      <x:c r="E2" s="7" t="str">
        <x:v>專案：企業官網改版｜公式欄位以灰色標示，請勿手動輸入；新增與異動請保留資料來源。</x:v>
      </x:c>
      <x:c r="F2" s="7" t="str">
        <x:v>專案：企業官網改版｜公式欄位以灰色標示，請勿手動輸入；新增與異動請保留資料來源。</x:v>
      </x:c>
      <x:c r="G2" s="7" t="str">
        <x:v>專案：企業官網改版｜公式欄位以灰色標示，請勿手動輸入；新增與異動請保留資料來源。</x:v>
      </x:c>
      <x:c r="H2" s="7" t="str">
        <x:v>專案：企業官網改版｜公式欄位以灰色標示，請勿手動輸入；新增與異動請保留資料來源。</x:v>
      </x:c>
      <x:c r="I2" s="7" t="str">
        <x:v>專案：企業官網改版｜公式欄位以灰色標示，請勿手動輸入；新增與異動請保留資料來源。</x:v>
      </x:c>
      <x:c r="J2" s="7" t="str">
        <x:v>專案：企業官網改版｜公式欄位以灰色標示，請勿手動輸入；新增與異動請保留資料來源。</x:v>
      </x:c>
      <x:c r="K2" s="7" t="str">
        <x:v>專案：企業官網改版｜公式欄位以灰色標示，請勿手動輸入；新增與異動請保留資料來源。</x:v>
      </x:c>
      <x:c r="L2" s="7" t="str">
        <x:v>專案：企業官網改版｜公式欄位以灰色標示，請勿手動輸入；新增與異動請保留資料來源。</x:v>
      </x:c>
    </x:row>
    <x:row r="3">
      <x:c r="A3" s="11" t="str">
        <x:v>資料基準日</x:v>
      </x:c>
      <x:c r="B3" s="11" t="str">
        <x:v>資料基準日</x:v>
      </x:c>
      <x:c r="C3" s="15" t="n">
        <x:v>46247</x:v>
      </x:c>
      <x:c r="E3" s="18" t="str">
        <x:v>整體完成率</x:v>
      </x:c>
      <x:c r="F3" s="18" t="str">
        <x:v>逾期件數</x:v>
      </x:c>
      <x:c r="G3" s="18" t="str">
        <x:v>7 日內到期</x:v>
      </x:c>
      <x:c r="H3" s="18" t="str">
        <x:v>已完成件數</x:v>
      </x:c>
    </x:row>
    <x:row r="4">
      <x:c r="E4" s="23" t="n">
        <x:f>IFERROR(AVERAGE($F$8:$F$100),0)</x:f>
        <x:v>0.45</x:v>
      </x:c>
      <x:c r="F4" s="22" t="n">
        <x:f>COUNTIF($L$8:$L$100,"已逾期")</x:f>
        <x:v>1</x:v>
      </x:c>
      <x:c r="G4" s="22" t="n">
        <x:f>COUNTIFS($C$8:$C$100,"&lt;&gt;",$K$8:$K$100,"&gt;=0",$K$8:$K$100,"&lt;=7",$G$8:$G$100,"&lt;&gt;已完成")</x:f>
        <x:v>7</x:v>
      </x:c>
      <x:c r="H4" s="22" t="n">
        <x:f>COUNTIF($G$8:$G$100,"已完成")</x:f>
        <x:v>0</x:v>
      </x:c>
    </x:row>
    <x:row r="7" ht="30" customHeight="1">
      <x:c r="A7" s="29" t="str">
        <x:v>任務編號</x:v>
      </x:c>
      <x:c r="B7" s="29" t="str">
        <x:v>所屬部門</x:v>
      </x:c>
      <x:c r="C7" s="29" t="str">
        <x:v>工作項目</x:v>
      </x:c>
      <x:c r="D7" s="29" t="str">
        <x:v>負責人</x:v>
      </x:c>
      <x:c r="E7" s="29" t="str">
        <x:v>預計完成日</x:v>
      </x:c>
      <x:c r="F7" s="29" t="str">
        <x:v>目前進度</x:v>
      </x:c>
      <x:c r="G7" s="29" t="str">
        <x:v>執行狀態</x:v>
      </x:c>
      <x:c r="H7" s="29" t="str">
        <x:v>最新說明</x:v>
      </x:c>
      <x:c r="I7" s="29" t="str">
        <x:v>資料來源</x:v>
      </x:c>
      <x:c r="J7" s="29" t="str">
        <x:v>更新日期</x:v>
      </x:c>
      <x:c r="K7" s="29" t="str">
        <x:v>剩餘天數</x:v>
      </x:c>
      <x:c r="L7" s="29" t="str">
        <x:v>時程判斷</x:v>
      </x:c>
    </x:row>
    <x:row r="8" ht="27" customHeight="1">
      <x:c r="A8" s="43" t="str">
        <x:v>P-001</x:v>
      </x:c>
      <x:c r="B8" s="43" t="str">
        <x:v>設計部</x:v>
      </x:c>
      <x:c r="C8" s="33" t="str">
        <x:v>首頁視覺設計</x:v>
      </x:c>
      <x:c r="D8" s="43" t="str">
        <x:v>小安</x:v>
      </x:c>
      <x:c r="E8" s="45" t="n">
        <x:v>46249</x:v>
      </x:c>
      <x:c r="F8" s="41" t="n">
        <x:v>0.6</x:v>
      </x:c>
      <x:c r="G8" s="43" t="str">
        <x:v>進行中</x:v>
      </x:c>
      <x:c r="H8" s="49" t="str">
        <x:v>第一版已完成，等待產品照片</x:v>
      </x:c>
      <x:c r="I8" s="43" t="str">
        <x:v>上週進度彙整</x:v>
      </x:c>
      <x:c r="J8" s="45" t="n">
        <x:v>46242</x:v>
      </x:c>
      <x:c r="K8" s="55" t="n">
        <x:f>IF(C8="","",IF(G8="已完成",0,E8-$C$3))</x:f>
        <x:v>2</x:v>
      </x:c>
      <x:c r="L8" s="56" t="str">
        <x:f>IF(C8="","",IF(G8="已完成","已完成",IF(E8&lt;$C$3,"已逾期",IF(E8-$C$3&lt;=3,"即將到期","正常"))))</x:f>
        <x:v>即將到期</x:v>
      </x:c>
    </x:row>
    <x:row r="9" ht="27" customHeight="1">
      <x:c r="A9" s="44" t="str">
        <x:v>P-002</x:v>
      </x:c>
      <x:c r="B9" s="44" t="str">
        <x:v>設計部</x:v>
      </x:c>
      <x:c r="C9" s="34" t="str">
        <x:v>產品頁版型設計</x:v>
      </x:c>
      <x:c r="D9" s="44" t="str">
        <x:v>芷晴</x:v>
      </x:c>
      <x:c r="E9" s="46" t="n">
        <x:v>46252</x:v>
      </x:c>
      <x:c r="F9" s="42" t="n">
        <x:v>0.4</x:v>
      </x:c>
      <x:c r="G9" s="44" t="str">
        <x:v>進行中</x:v>
      </x:c>
      <x:c r="H9" s="50" t="str">
        <x:v>版型方向已確認</x:v>
      </x:c>
      <x:c r="I9" s="44" t="str">
        <x:v>上週進度彙整</x:v>
      </x:c>
      <x:c r="J9" s="46" t="n">
        <x:v>46242</x:v>
      </x:c>
      <x:c r="K9" s="57" t="n">
        <x:f>IF(C9="","",IF(G9="已完成",0,E9-$C$3))</x:f>
        <x:v>5</x:v>
      </x:c>
      <x:c r="L9" s="58" t="str">
        <x:f>IF(C9="","",IF(G9="已完成","已完成",IF(E9&lt;$C$3,"已逾期",IF(E9-$C$3&lt;=3,"即將到期","正常"))))</x:f>
        <x:v>正常</x:v>
      </x:c>
    </x:row>
    <x:row r="10" ht="27" customHeight="1">
      <x:c r="A10" s="44" t="str">
        <x:v>P-003</x:v>
      </x:c>
      <x:c r="B10" s="44" t="str">
        <x:v>設計部</x:v>
      </x:c>
      <x:c r="C10" s="34" t="str">
        <x:v>行動版介面檢查</x:v>
      </x:c>
      <x:c r="D10" s="44" t="str">
        <x:v>小安</x:v>
      </x:c>
      <x:c r="E10" s="46" t="n">
        <x:v>46256</x:v>
      </x:c>
      <x:c r="F10" s="42" t="n">
        <x:v>0.2</x:v>
      </x:c>
      <x:c r="G10" s="44" t="str">
        <x:v>進行中</x:v>
      </x:c>
      <x:c r="H10" s="50" t="str">
        <x:v>已完成主要頁面盤點</x:v>
      </x:c>
      <x:c r="I10" s="44" t="str">
        <x:v>上週進度彙整</x:v>
      </x:c>
      <x:c r="J10" s="46" t="n">
        <x:v>46242</x:v>
      </x:c>
      <x:c r="K10" s="57" t="n">
        <x:f>IF(C10="","",IF(G10="已完成",0,E10-$C$3))</x:f>
        <x:v>9</x:v>
      </x:c>
      <x:c r="L10" s="58" t="str">
        <x:f>IF(C10="","",IF(G10="已完成","已完成",IF(E10&lt;$C$3,"已逾期",IF(E10-$C$3&lt;=3,"即將到期","正常"))))</x:f>
        <x:v>正常</x:v>
      </x:c>
    </x:row>
    <x:row r="11" ht="27" customHeight="1">
      <x:c r="A11" s="44" t="str">
        <x:v>P-004</x:v>
      </x:c>
      <x:c r="B11" s="44" t="str">
        <x:v>行銷部</x:v>
      </x:c>
      <x:c r="C11" s="34" t="str">
        <x:v>SEO 關鍵字清單</x:v>
      </x:c>
      <x:c r="D11" s="44" t="str">
        <x:v>雅婷</x:v>
      </x:c>
      <x:c r="E11" s="46" t="n">
        <x:v>46248</x:v>
      </x:c>
      <x:c r="F11" s="42" t="n">
        <x:v>0.7</x:v>
      </x:c>
      <x:c r="G11" s="44" t="str">
        <x:v>進行中</x:v>
      </x:c>
      <x:c r="H11" s="50" t="str">
        <x:v>尚待確認三組產品關鍵字</x:v>
      </x:c>
      <x:c r="I11" s="44" t="str">
        <x:v>上週進度彙整</x:v>
      </x:c>
      <x:c r="J11" s="46" t="n">
        <x:v>46242</x:v>
      </x:c>
      <x:c r="K11" s="57" t="n">
        <x:f>IF(C11="","",IF(G11="已完成",0,E11-$C$3))</x:f>
        <x:v>1</x:v>
      </x:c>
      <x:c r="L11" s="58" t="str">
        <x:f>IF(C11="","",IF(G11="已完成","已完成",IF(E11&lt;$C$3,"已逾期",IF(E11-$C$3&lt;=3,"即將到期","正常"))))</x:f>
        <x:v>即將到期</x:v>
      </x:c>
    </x:row>
    <x:row r="12" ht="27" customHeight="1">
      <x:c r="A12" s="44" t="str">
        <x:v>P-005</x:v>
      </x:c>
      <x:c r="B12" s="44" t="str">
        <x:v>行銷部</x:v>
      </x:c>
      <x:c r="C12" s="34" t="str">
        <x:v>新聞稿初稿</x:v>
      </x:c>
      <x:c r="D12" s="44" t="str">
        <x:v>俊豪</x:v>
      </x:c>
      <x:c r="E12" s="46" t="n">
        <x:v>46254</x:v>
      </x:c>
      <x:c r="F12" s="42" t="n">
        <x:v>0.3</x:v>
      </x:c>
      <x:c r="G12" s="44" t="str">
        <x:v>進行中</x:v>
      </x:c>
      <x:c r="H12" s="50" t="str">
        <x:v>已完成架構與標題草案</x:v>
      </x:c>
      <x:c r="I12" s="44" t="str">
        <x:v>上週進度彙整</x:v>
      </x:c>
      <x:c r="J12" s="46" t="n">
        <x:v>46242</x:v>
      </x:c>
      <x:c r="K12" s="57" t="n">
        <x:f>IF(C12="","",IF(G12="已完成",0,E12-$C$3))</x:f>
        <x:v>7</x:v>
      </x:c>
      <x:c r="L12" s="58" t="str">
        <x:f>IF(C12="","",IF(G12="已完成","已完成",IF(E12&lt;$C$3,"已逾期",IF(E12-$C$3&lt;=3,"即將到期","正常"))))</x:f>
        <x:v>正常</x:v>
      </x:c>
    </x:row>
    <x:row r="13" ht="27" customHeight="1">
      <x:c r="A13" s="44" t="str">
        <x:v>P-006</x:v>
      </x:c>
      <x:c r="B13" s="44" t="str">
        <x:v>行銷部</x:v>
      </x:c>
      <x:c r="C13" s="34" t="str">
        <x:v>媒體邀請名單</x:v>
      </x:c>
      <x:c r="D13" s="44" t="str">
        <x:v>雅婷</x:v>
      </x:c>
      <x:c r="E13" s="46" t="n">
        <x:v>46253</x:v>
      </x:c>
      <x:c r="F13" s="42" t="n">
        <x:v>0.4</x:v>
      </x:c>
      <x:c r="G13" s="44" t="str">
        <x:v>進行中</x:v>
      </x:c>
      <x:c r="H13" s="50" t="str">
        <x:v>完成第一批名單彙整</x:v>
      </x:c>
      <x:c r="I13" s="44" t="str">
        <x:v>上週進度彙整</x:v>
      </x:c>
      <x:c r="J13" s="46" t="n">
        <x:v>46242</x:v>
      </x:c>
      <x:c r="K13" s="57" t="n">
        <x:f>IF(C13="","",IF(G13="已完成",0,E13-$C$3))</x:f>
        <x:v>6</x:v>
      </x:c>
      <x:c r="L13" s="58" t="str">
        <x:f>IF(C13="","",IF(G13="已完成","已完成",IF(E13&lt;$C$3,"已逾期",IF(E13-$C$3&lt;=3,"即將到期","正常"))))</x:f>
        <x:v>正常</x:v>
      </x:c>
    </x:row>
    <x:row r="14" ht="27" customHeight="1">
      <x:c r="A14" s="44" t="str">
        <x:v>P-007</x:v>
      </x:c>
      <x:c r="B14" s="44" t="str">
        <x:v>產品部</x:v>
      </x:c>
      <x:c r="C14" s="34" t="str">
        <x:v>產品功能測試</x:v>
      </x:c>
      <x:c r="D14" s="44" t="str">
        <x:v>承恩</x:v>
      </x:c>
      <x:c r="E14" s="46" t="n">
        <x:v>46252</x:v>
      </x:c>
      <x:c r="F14" s="42" t="n">
        <x:v>0.5</x:v>
      </x:c>
      <x:c r="G14" s="44" t="str">
        <x:v>進行中</x:v>
      </x:c>
      <x:c r="H14" s="50" t="str">
        <x:v>核心流程已完成第一輪測試</x:v>
      </x:c>
      <x:c r="I14" s="44" t="str">
        <x:v>上週進度彙整</x:v>
      </x:c>
      <x:c r="J14" s="46" t="n">
        <x:v>46242</x:v>
      </x:c>
      <x:c r="K14" s="57" t="n">
        <x:f>IF(C14="","",IF(G14="已完成",0,E14-$C$3))</x:f>
        <x:v>5</x:v>
      </x:c>
      <x:c r="L14" s="58" t="str">
        <x:f>IF(C14="","",IF(G14="已完成","已完成",IF(E14&lt;$C$3,"已逾期",IF(E14-$C$3&lt;=3,"即將到期","正常"))))</x:f>
        <x:v>正常</x:v>
      </x:c>
    </x:row>
    <x:row r="15" ht="27" customHeight="1">
      <x:c r="A15" s="44" t="str">
        <x:v>P-008</x:v>
      </x:c>
      <x:c r="B15" s="44" t="str">
        <x:v>產品部</x:v>
      </x:c>
      <x:c r="C15" s="34" t="str">
        <x:v>操作手冊定稿</x:v>
      </x:c>
      <x:c r="D15" s="44" t="str">
        <x:v>佩珊</x:v>
      </x:c>
      <x:c r="E15" s="46" t="n">
        <x:v>46254</x:v>
      </x:c>
      <x:c r="F15" s="42" t="n">
        <x:v>0.6</x:v>
      </x:c>
      <x:c r="G15" s="44" t="str">
        <x:v>進行中</x:v>
      </x:c>
      <x:c r="H15" s="50" t="str">
        <x:v>內容校對進行中</x:v>
      </x:c>
      <x:c r="I15" s="44" t="str">
        <x:v>上週進度彙整</x:v>
      </x:c>
      <x:c r="J15" s="46" t="n">
        <x:v>46242</x:v>
      </x:c>
      <x:c r="K15" s="57" t="n">
        <x:f>IF(C15="","",IF(G15="已完成",0,E15-$C$3))</x:f>
        <x:v>7</x:v>
      </x:c>
      <x:c r="L15" s="58" t="str">
        <x:f>IF(C15="","",IF(G15="已完成","已完成",IF(E15&lt;$C$3,"已逾期",IF(E15-$C$3&lt;=3,"即將到期","正常"))))</x:f>
        <x:v>正常</x:v>
      </x:c>
    </x:row>
    <x:row r="16" ht="27" customHeight="1">
      <x:c r="A16" s="44" t="str">
        <x:v>P-009</x:v>
      </x:c>
      <x:c r="B16" s="44" t="str">
        <x:v>產品部</x:v>
      </x:c>
      <x:c r="C16" s="34" t="str">
        <x:v>產品照片提供</x:v>
      </x:c>
      <x:c r="D16" s="44" t="str">
        <x:v>承恩</x:v>
      </x:c>
      <x:c r="E16" s="46" t="n">
        <x:v>46246</x:v>
      </x:c>
      <x:c r="F16" s="42" t="n">
        <x:v>0.8</x:v>
      </x:c>
      <x:c r="G16" s="44" t="str">
        <x:v>進行中</x:v>
      </x:c>
      <x:c r="H16" s="50" t="str">
        <x:v>尚缺兩張情境照</x:v>
      </x:c>
      <x:c r="I16" s="44" t="str">
        <x:v>上週進度彙整</x:v>
      </x:c>
      <x:c r="J16" s="46" t="n">
        <x:v>46242</x:v>
      </x:c>
      <x:c r="K16" s="57" t="n">
        <x:f>IF(C16="","",IF(G16="已完成",0,E16-$C$3))</x:f>
        <x:v>-1</x:v>
      </x:c>
      <x:c r="L16" s="58" t="str">
        <x:f>IF(C16="","",IF(G16="已完成","已完成",IF(E16&lt;$C$3,"已逾期",IF(E16-$C$3&lt;=3,"即將到期","正常"))))</x:f>
        <x:v>已逾期</x:v>
      </x:c>
    </x:row>
    <x:row r="17" ht="27" customHeight="1">
      <x:c r="A17" s="44" t="str">
        <x:v>P-010</x:v>
      </x:c>
      <x:c r="B17" s="44" t="str">
        <x:v>產品部</x:v>
      </x:c>
      <x:c r="C17" s="34" t="str">
        <x:v>上線前整合測試</x:v>
      </x:c>
      <x:c r="D17" s="44" t="str">
        <x:v>承恩</x:v>
      </x:c>
      <x:c r="E17" s="46" t="n">
        <x:v>46259</x:v>
      </x:c>
      <x:c r="F17" s="42" t="n">
        <x:v>0</x:v>
      </x:c>
      <x:c r="G17" s="44" t="str">
        <x:v>尚未開始</x:v>
      </x:c>
      <x:c r="H17" s="50" t="str">
        <x:v>等待前置項目完成</x:v>
      </x:c>
      <x:c r="I17" s="44" t="str">
        <x:v>上週進度彙整</x:v>
      </x:c>
      <x:c r="J17" s="46" t="n">
        <x:v>46242</x:v>
      </x:c>
      <x:c r="K17" s="57" t="n">
        <x:f>IF(C17="","",IF(G17="已完成",0,E17-$C$3))</x:f>
        <x:v>12</x:v>
      </x:c>
      <x:c r="L17" s="58" t="str">
        <x:f>IF(C17="","",IF(G17="已完成","已完成",IF(E17&lt;$C$3,"已逾期",IF(E17-$C$3&lt;=3,"即將到期","正常"))))</x:f>
        <x:v>正常</x:v>
      </x:c>
    </x:row>
    <x:row r="18" ht="27" customHeight="1">
      <x:c r="A18" s="44"/>
      <x:c r="B18" s="44"/>
      <x:c r="C18" s="34"/>
      <x:c r="D18" s="44"/>
      <x:c r="E18" s="46"/>
      <x:c r="F18" s="42"/>
      <x:c r="G18" s="44"/>
      <x:c r="H18" s="50"/>
      <x:c r="I18" s="44"/>
      <x:c r="J18" s="46"/>
      <x:c r="K18" s="57" t="str">
        <x:f>IF(C18="","",IF(G18="已完成",0,E18-$C$3))</x:f>
      </x:c>
      <x:c r="L18" s="58" t="str">
        <x:f>IF(C18="","",IF(G18="已完成","已完成",IF(E18&lt;$C$3,"已逾期",IF(E18-$C$3&lt;=3,"即將到期","正常"))))</x:f>
      </x:c>
    </x:row>
    <x:row r="19" ht="27" customHeight="1">
      <x:c r="A19" s="44"/>
      <x:c r="B19" s="44"/>
      <x:c r="C19" s="34"/>
      <x:c r="D19" s="44"/>
      <x:c r="E19" s="46"/>
      <x:c r="F19" s="42"/>
      <x:c r="G19" s="44"/>
      <x:c r="H19" s="50"/>
      <x:c r="I19" s="44"/>
      <x:c r="J19" s="46"/>
      <x:c r="K19" s="57" t="str">
        <x:f>IF(C19="","",IF(G19="已完成",0,E19-$C$3))</x:f>
      </x:c>
      <x:c r="L19" s="58" t="str">
        <x:f>IF(C19="","",IF(G19="已完成","已完成",IF(E19&lt;$C$3,"已逾期",IF(E19-$C$3&lt;=3,"即將到期","正常"))))</x:f>
      </x:c>
    </x:row>
    <x:row r="20" ht="27" customHeight="1">
      <x:c r="A20" s="44"/>
      <x:c r="B20" s="44"/>
      <x:c r="C20" s="34"/>
      <x:c r="D20" s="44"/>
      <x:c r="E20" s="46"/>
      <x:c r="F20" s="42"/>
      <x:c r="G20" s="44"/>
      <x:c r="H20" s="50"/>
      <x:c r="I20" s="44"/>
      <x:c r="J20" s="46"/>
      <x:c r="K20" s="57" t="str">
        <x:f>IF(C20="","",IF(G20="已完成",0,E20-$C$3))</x:f>
      </x:c>
      <x:c r="L20" s="58" t="str">
        <x:f>IF(C20="","",IF(G20="已完成","已完成",IF(E20&lt;$C$3,"已逾期",IF(E20-$C$3&lt;=3,"即將到期","正常"))))</x:f>
      </x:c>
    </x:row>
    <x:row r="21" ht="27" customHeight="1">
      <x:c r="A21" s="44"/>
      <x:c r="B21" s="44"/>
      <x:c r="C21" s="34"/>
      <x:c r="D21" s="44"/>
      <x:c r="E21" s="46"/>
      <x:c r="F21" s="42"/>
      <x:c r="G21" s="44"/>
      <x:c r="H21" s="50"/>
      <x:c r="I21" s="44"/>
      <x:c r="J21" s="46"/>
      <x:c r="K21" s="57" t="str">
        <x:f>IF(C21="","",IF(G21="已完成",0,E21-$C$3))</x:f>
      </x:c>
      <x:c r="L21" s="58" t="str">
        <x:f>IF(C21="","",IF(G21="已完成","已完成",IF(E21&lt;$C$3,"已逾期",IF(E21-$C$3&lt;=3,"即將到期","正常"))))</x:f>
      </x:c>
    </x:row>
    <x:row r="22" ht="27" customHeight="1">
      <x:c r="A22" s="44"/>
      <x:c r="B22" s="44"/>
      <x:c r="C22" s="34"/>
      <x:c r="D22" s="44"/>
      <x:c r="E22" s="46"/>
      <x:c r="F22" s="42"/>
      <x:c r="G22" s="44"/>
      <x:c r="H22" s="50"/>
      <x:c r="I22" s="44"/>
      <x:c r="J22" s="46"/>
      <x:c r="K22" s="57" t="str">
        <x:f>IF(C22="","",IF(G22="已完成",0,E22-$C$3))</x:f>
      </x:c>
      <x:c r="L22" s="58" t="str">
        <x:f>IF(C22="","",IF(G22="已完成","已完成",IF(E22&lt;$C$3,"已逾期",IF(E22-$C$3&lt;=3,"即將到期","正常"))))</x:f>
      </x:c>
    </x:row>
    <x:row r="23" ht="27" customHeight="1">
      <x:c r="A23" s="44"/>
      <x:c r="B23" s="44"/>
      <x:c r="C23" s="34"/>
      <x:c r="D23" s="44"/>
      <x:c r="E23" s="46"/>
      <x:c r="F23" s="42"/>
      <x:c r="G23" s="44"/>
      <x:c r="H23" s="50"/>
      <x:c r="I23" s="44"/>
      <x:c r="J23" s="46"/>
      <x:c r="K23" s="57" t="str">
        <x:f>IF(C23="","",IF(G23="已完成",0,E23-$C$3))</x:f>
      </x:c>
      <x:c r="L23" s="58" t="str">
        <x:f>IF(C23="","",IF(G23="已完成","已完成",IF(E23&lt;$C$3,"已逾期",IF(E23-$C$3&lt;=3,"即將到期","正常"))))</x:f>
      </x:c>
    </x:row>
    <x:row r="24" ht="27" customHeight="1">
      <x:c r="A24" s="44"/>
      <x:c r="B24" s="44"/>
      <x:c r="C24" s="34"/>
      <x:c r="D24" s="44"/>
      <x:c r="E24" s="46"/>
      <x:c r="F24" s="42"/>
      <x:c r="G24" s="44"/>
      <x:c r="H24" s="50"/>
      <x:c r="I24" s="44"/>
      <x:c r="J24" s="46"/>
      <x:c r="K24" s="57" t="str">
        <x:f>IF(C24="","",IF(G24="已完成",0,E24-$C$3))</x:f>
      </x:c>
      <x:c r="L24" s="58" t="str">
        <x:f>IF(C24="","",IF(G24="已完成","已完成",IF(E24&lt;$C$3,"已逾期",IF(E24-$C$3&lt;=3,"即將到期","正常"))))</x:f>
      </x:c>
    </x:row>
    <x:row r="25" ht="27" customHeight="1">
      <x:c r="A25" s="44"/>
      <x:c r="B25" s="44"/>
      <x:c r="C25" s="34"/>
      <x:c r="D25" s="44"/>
      <x:c r="E25" s="46"/>
      <x:c r="F25" s="42"/>
      <x:c r="G25" s="44"/>
      <x:c r="H25" s="50"/>
      <x:c r="I25" s="44"/>
      <x:c r="J25" s="46"/>
      <x:c r="K25" s="57" t="str">
        <x:f>IF(C25="","",IF(G25="已完成",0,E25-$C$3))</x:f>
      </x:c>
      <x:c r="L25" s="58" t="str">
        <x:f>IF(C25="","",IF(G25="已完成","已完成",IF(E25&lt;$C$3,"已逾期",IF(E25-$C$3&lt;=3,"即將到期","正常"))))</x:f>
      </x:c>
    </x:row>
    <x:row r="26" ht="27" customHeight="1">
      <x:c r="A26" s="44"/>
      <x:c r="B26" s="44"/>
      <x:c r="C26" s="34"/>
      <x:c r="D26" s="44"/>
      <x:c r="E26" s="46"/>
      <x:c r="F26" s="42"/>
      <x:c r="G26" s="44"/>
      <x:c r="H26" s="50"/>
      <x:c r="I26" s="44"/>
      <x:c r="J26" s="46"/>
      <x:c r="K26" s="57" t="str">
        <x:f>IF(C26="","",IF(G26="已完成",0,E26-$C$3))</x:f>
      </x:c>
      <x:c r="L26" s="58" t="str">
        <x:f>IF(C26="","",IF(G26="已完成","已完成",IF(E26&lt;$C$3,"已逾期",IF(E26-$C$3&lt;=3,"即將到期","正常"))))</x:f>
      </x:c>
    </x:row>
    <x:row r="27" ht="27" customHeight="1">
      <x:c r="A27" s="44"/>
      <x:c r="B27" s="44"/>
      <x:c r="C27" s="34"/>
      <x:c r="D27" s="44"/>
      <x:c r="E27" s="46"/>
      <x:c r="F27" s="42"/>
      <x:c r="G27" s="44"/>
      <x:c r="H27" s="50"/>
      <x:c r="I27" s="44"/>
      <x:c r="J27" s="46"/>
      <x:c r="K27" s="57" t="str">
        <x:f>IF(C27="","",IF(G27="已完成",0,E27-$C$3))</x:f>
      </x:c>
      <x:c r="L27" s="58" t="str">
        <x:f>IF(C27="","",IF(G27="已完成","已完成",IF(E27&lt;$C$3,"已逾期",IF(E27-$C$3&lt;=3,"即將到期","正常"))))</x:f>
      </x:c>
    </x:row>
    <x:row r="28" ht="27" customHeight="1">
      <x:c r="A28" s="44"/>
      <x:c r="B28" s="44"/>
      <x:c r="C28" s="34"/>
      <x:c r="D28" s="44"/>
      <x:c r="E28" s="46"/>
      <x:c r="F28" s="42"/>
      <x:c r="G28" s="44"/>
      <x:c r="H28" s="50"/>
      <x:c r="I28" s="44"/>
      <x:c r="J28" s="46"/>
      <x:c r="K28" s="57" t="str">
        <x:f>IF(C28="","",IF(G28="已完成",0,E28-$C$3))</x:f>
      </x:c>
      <x:c r="L28" s="58" t="str">
        <x:f>IF(C28="","",IF(G28="已完成","已完成",IF(E28&lt;$C$3,"已逾期",IF(E28-$C$3&lt;=3,"即將到期","正常"))))</x:f>
      </x:c>
    </x:row>
    <x:row r="29" ht="27" customHeight="1">
      <x:c r="A29" s="44"/>
      <x:c r="B29" s="44"/>
      <x:c r="C29" s="34"/>
      <x:c r="D29" s="44"/>
      <x:c r="E29" s="46"/>
      <x:c r="F29" s="42"/>
      <x:c r="G29" s="44"/>
      <x:c r="H29" s="50"/>
      <x:c r="I29" s="44"/>
      <x:c r="J29" s="46"/>
      <x:c r="K29" s="57" t="str">
        <x:f>IF(C29="","",IF(G29="已完成",0,E29-$C$3))</x:f>
      </x:c>
      <x:c r="L29" s="58" t="str">
        <x:f>IF(C29="","",IF(G29="已完成","已完成",IF(E29&lt;$C$3,"已逾期",IF(E29-$C$3&lt;=3,"即將到期","正常"))))</x:f>
      </x:c>
    </x:row>
    <x:row r="30" ht="27" customHeight="1">
      <x:c r="A30" s="44"/>
      <x:c r="B30" s="44"/>
      <x:c r="C30" s="34"/>
      <x:c r="D30" s="44"/>
      <x:c r="E30" s="46"/>
      <x:c r="F30" s="42"/>
      <x:c r="G30" s="44"/>
      <x:c r="H30" s="50"/>
      <x:c r="I30" s="44"/>
      <x:c r="J30" s="46"/>
      <x:c r="K30" s="57" t="str">
        <x:f>IF(C30="","",IF(G30="已完成",0,E30-$C$3))</x:f>
      </x:c>
      <x:c r="L30" s="58" t="str">
        <x:f>IF(C30="","",IF(G30="已完成","已完成",IF(E30&lt;$C$3,"已逾期",IF(E30-$C$3&lt;=3,"即將到期","正常"))))</x:f>
      </x:c>
    </x:row>
    <x:row r="31" ht="27" customHeight="1">
      <x:c r="A31" s="44"/>
      <x:c r="B31" s="44"/>
      <x:c r="C31" s="34"/>
      <x:c r="D31" s="44"/>
      <x:c r="E31" s="46"/>
      <x:c r="F31" s="42"/>
      <x:c r="G31" s="44"/>
      <x:c r="H31" s="50"/>
      <x:c r="I31" s="44"/>
      <x:c r="J31" s="46"/>
      <x:c r="K31" s="57" t="str">
        <x:f>IF(C31="","",IF(G31="已完成",0,E31-$C$3))</x:f>
      </x:c>
      <x:c r="L31" s="58" t="str">
        <x:f>IF(C31="","",IF(G31="已完成","已完成",IF(E31&lt;$C$3,"已逾期",IF(E31-$C$3&lt;=3,"即將到期","正常"))))</x:f>
      </x:c>
    </x:row>
    <x:row r="32" ht="27" customHeight="1">
      <x:c r="A32" s="44"/>
      <x:c r="B32" s="44"/>
      <x:c r="C32" s="34"/>
      <x:c r="D32" s="44"/>
      <x:c r="E32" s="46"/>
      <x:c r="F32" s="42"/>
      <x:c r="G32" s="44"/>
      <x:c r="H32" s="50"/>
      <x:c r="I32" s="44"/>
      <x:c r="J32" s="46"/>
      <x:c r="K32" s="57" t="str">
        <x:f>IF(C32="","",IF(G32="已完成",0,E32-$C$3))</x:f>
      </x:c>
      <x:c r="L32" s="58" t="str">
        <x:f>IF(C32="","",IF(G32="已完成","已完成",IF(E32&lt;$C$3,"已逾期",IF(E32-$C$3&lt;=3,"即將到期","正常"))))</x:f>
      </x:c>
    </x:row>
    <x:row r="33" ht="27" customHeight="1">
      <x:c r="A33" s="44"/>
      <x:c r="B33" s="44"/>
      <x:c r="C33" s="34"/>
      <x:c r="D33" s="44"/>
      <x:c r="E33" s="46"/>
      <x:c r="F33" s="42"/>
      <x:c r="G33" s="44"/>
      <x:c r="H33" s="50"/>
      <x:c r="I33" s="44"/>
      <x:c r="J33" s="46"/>
      <x:c r="K33" s="57" t="str">
        <x:f>IF(C33="","",IF(G33="已完成",0,E33-$C$3))</x:f>
      </x:c>
      <x:c r="L33" s="58" t="str">
        <x:f>IF(C33="","",IF(G33="已完成","已完成",IF(E33&lt;$C$3,"已逾期",IF(E33-$C$3&lt;=3,"即將到期","正常"))))</x:f>
      </x:c>
    </x:row>
    <x:row r="34" ht="27" customHeight="1">
      <x:c r="A34" s="44"/>
      <x:c r="B34" s="44"/>
      <x:c r="C34" s="34"/>
      <x:c r="D34" s="44"/>
      <x:c r="E34" s="46"/>
      <x:c r="F34" s="42"/>
      <x:c r="G34" s="44"/>
      <x:c r="H34" s="50"/>
      <x:c r="I34" s="44"/>
      <x:c r="J34" s="46"/>
      <x:c r="K34" s="57" t="str">
        <x:f>IF(C34="","",IF(G34="已完成",0,E34-$C$3))</x:f>
      </x:c>
      <x:c r="L34" s="58" t="str">
        <x:f>IF(C34="","",IF(G34="已完成","已完成",IF(E34&lt;$C$3,"已逾期",IF(E34-$C$3&lt;=3,"即將到期","正常"))))</x:f>
      </x:c>
    </x:row>
    <x:row r="35" ht="27" customHeight="1">
      <x:c r="A35" s="44"/>
      <x:c r="B35" s="44"/>
      <x:c r="C35" s="34"/>
      <x:c r="D35" s="44"/>
      <x:c r="E35" s="46"/>
      <x:c r="F35" s="42"/>
      <x:c r="G35" s="44"/>
      <x:c r="H35" s="50"/>
      <x:c r="I35" s="44"/>
      <x:c r="J35" s="46"/>
      <x:c r="K35" s="57" t="str">
        <x:f>IF(C35="","",IF(G35="已完成",0,E35-$C$3))</x:f>
      </x:c>
      <x:c r="L35" s="58" t="str">
        <x:f>IF(C35="","",IF(G35="已完成","已完成",IF(E35&lt;$C$3,"已逾期",IF(E35-$C$3&lt;=3,"即將到期","正常"))))</x:f>
      </x:c>
    </x:row>
    <x:row r="36" ht="27" customHeight="1">
      <x:c r="A36" s="44"/>
      <x:c r="B36" s="44"/>
      <x:c r="C36" s="34"/>
      <x:c r="D36" s="44"/>
      <x:c r="E36" s="46"/>
      <x:c r="F36" s="42"/>
      <x:c r="G36" s="44"/>
      <x:c r="H36" s="50"/>
      <x:c r="I36" s="44"/>
      <x:c r="J36" s="46"/>
      <x:c r="K36" s="57" t="str">
        <x:f>IF(C36="","",IF(G36="已完成",0,E36-$C$3))</x:f>
      </x:c>
      <x:c r="L36" s="58" t="str">
        <x:f>IF(C36="","",IF(G36="已完成","已完成",IF(E36&lt;$C$3,"已逾期",IF(E36-$C$3&lt;=3,"即將到期","正常"))))</x:f>
      </x:c>
    </x:row>
    <x:row r="37" ht="27" customHeight="1">
      <x:c r="A37" s="44"/>
      <x:c r="B37" s="44"/>
      <x:c r="C37" s="34"/>
      <x:c r="D37" s="44"/>
      <x:c r="E37" s="46"/>
      <x:c r="F37" s="42"/>
      <x:c r="G37" s="44"/>
      <x:c r="H37" s="50"/>
      <x:c r="I37" s="44"/>
      <x:c r="J37" s="46"/>
      <x:c r="K37" s="57" t="str">
        <x:f>IF(C37="","",IF(G37="已完成",0,E37-$C$3))</x:f>
      </x:c>
      <x:c r="L37" s="58" t="str">
        <x:f>IF(C37="","",IF(G37="已完成","已完成",IF(E37&lt;$C$3,"已逾期",IF(E37-$C$3&lt;=3,"即將到期","正常"))))</x:f>
      </x:c>
    </x:row>
    <x:row r="38" ht="27" customHeight="1">
      <x:c r="A38" s="44"/>
      <x:c r="B38" s="44"/>
      <x:c r="C38" s="34"/>
      <x:c r="D38" s="44"/>
      <x:c r="E38" s="46"/>
      <x:c r="F38" s="42"/>
      <x:c r="G38" s="44"/>
      <x:c r="H38" s="50"/>
      <x:c r="I38" s="44"/>
      <x:c r="J38" s="46"/>
      <x:c r="K38" s="57" t="str">
        <x:f>IF(C38="","",IF(G38="已完成",0,E38-$C$3))</x:f>
      </x:c>
      <x:c r="L38" s="58" t="str">
        <x:f>IF(C38="","",IF(G38="已完成","已完成",IF(E38&lt;$C$3,"已逾期",IF(E38-$C$3&lt;=3,"即將到期","正常"))))</x:f>
      </x:c>
    </x:row>
    <x:row r="39" ht="27" customHeight="1">
      <x:c r="A39" s="44"/>
      <x:c r="B39" s="44"/>
      <x:c r="C39" s="34"/>
      <x:c r="D39" s="44"/>
      <x:c r="E39" s="46"/>
      <x:c r="F39" s="42"/>
      <x:c r="G39" s="44"/>
      <x:c r="H39" s="50"/>
      <x:c r="I39" s="44"/>
      <x:c r="J39" s="46"/>
      <x:c r="K39" s="57" t="str">
        <x:f>IF(C39="","",IF(G39="已完成",0,E39-$C$3))</x:f>
      </x:c>
      <x:c r="L39" s="58" t="str">
        <x:f>IF(C39="","",IF(G39="已完成","已完成",IF(E39&lt;$C$3,"已逾期",IF(E39-$C$3&lt;=3,"即將到期","正常"))))</x:f>
      </x:c>
    </x:row>
    <x:row r="40" ht="27" customHeight="1">
      <x:c r="A40" s="44"/>
      <x:c r="B40" s="44"/>
      <x:c r="C40" s="34"/>
      <x:c r="D40" s="44"/>
      <x:c r="E40" s="46"/>
      <x:c r="F40" s="42"/>
      <x:c r="G40" s="44"/>
      <x:c r="H40" s="50"/>
      <x:c r="I40" s="44"/>
      <x:c r="J40" s="46"/>
      <x:c r="K40" s="57" t="str">
        <x:f>IF(C40="","",IF(G40="已完成",0,E40-$C$3))</x:f>
      </x:c>
      <x:c r="L40" s="58" t="str">
        <x:f>IF(C40="","",IF(G40="已完成","已完成",IF(E40&lt;$C$3,"已逾期",IF(E40-$C$3&lt;=3,"即將到期","正常"))))</x:f>
      </x:c>
    </x:row>
    <x:row r="41" ht="27" customHeight="1">
      <x:c r="A41" s="44"/>
      <x:c r="B41" s="44"/>
      <x:c r="C41" s="34"/>
      <x:c r="D41" s="44"/>
      <x:c r="E41" s="46"/>
      <x:c r="F41" s="42"/>
      <x:c r="G41" s="44"/>
      <x:c r="H41" s="50"/>
      <x:c r="I41" s="44"/>
      <x:c r="J41" s="46"/>
      <x:c r="K41" s="57" t="str">
        <x:f>IF(C41="","",IF(G41="已完成",0,E41-$C$3))</x:f>
      </x:c>
      <x:c r="L41" s="58" t="str">
        <x:f>IF(C41="","",IF(G41="已完成","已完成",IF(E41&lt;$C$3,"已逾期",IF(E41-$C$3&lt;=3,"即將到期","正常"))))</x:f>
      </x:c>
    </x:row>
    <x:row r="42" ht="27" customHeight="1">
      <x:c r="A42" s="44"/>
      <x:c r="B42" s="44"/>
      <x:c r="C42" s="34"/>
      <x:c r="D42" s="44"/>
      <x:c r="E42" s="46"/>
      <x:c r="F42" s="42"/>
      <x:c r="G42" s="44"/>
      <x:c r="H42" s="50"/>
      <x:c r="I42" s="44"/>
      <x:c r="J42" s="46"/>
      <x:c r="K42" s="57" t="str">
        <x:f>IF(C42="","",IF(G42="已完成",0,E42-$C$3))</x:f>
      </x:c>
      <x:c r="L42" s="58" t="str">
        <x:f>IF(C42="","",IF(G42="已完成","已完成",IF(E42&lt;$C$3,"已逾期",IF(E42-$C$3&lt;=3,"即將到期","正常"))))</x:f>
      </x:c>
    </x:row>
    <x:row r="43" ht="27" customHeight="1">
      <x:c r="A43" s="44"/>
      <x:c r="B43" s="44"/>
      <x:c r="C43" s="34"/>
      <x:c r="D43" s="44"/>
      <x:c r="E43" s="46"/>
      <x:c r="F43" s="42"/>
      <x:c r="G43" s="44"/>
      <x:c r="H43" s="50"/>
      <x:c r="I43" s="44"/>
      <x:c r="J43" s="46"/>
      <x:c r="K43" s="57" t="str">
        <x:f>IF(C43="","",IF(G43="已完成",0,E43-$C$3))</x:f>
      </x:c>
      <x:c r="L43" s="58" t="str">
        <x:f>IF(C43="","",IF(G43="已完成","已完成",IF(E43&lt;$C$3,"已逾期",IF(E43-$C$3&lt;=3,"即將到期","正常"))))</x:f>
      </x:c>
    </x:row>
    <x:row r="44" ht="27" customHeight="1">
      <x:c r="A44" s="44"/>
      <x:c r="B44" s="44"/>
      <x:c r="C44" s="34"/>
      <x:c r="D44" s="44"/>
      <x:c r="E44" s="46"/>
      <x:c r="F44" s="42"/>
      <x:c r="G44" s="44"/>
      <x:c r="H44" s="50"/>
      <x:c r="I44" s="44"/>
      <x:c r="J44" s="46"/>
      <x:c r="K44" s="57" t="str">
        <x:f>IF(C44="","",IF(G44="已完成",0,E44-$C$3))</x:f>
      </x:c>
      <x:c r="L44" s="58" t="str">
        <x:f>IF(C44="","",IF(G44="已完成","已完成",IF(E44&lt;$C$3,"已逾期",IF(E44-$C$3&lt;=3,"即將到期","正常"))))</x:f>
      </x:c>
    </x:row>
    <x:row r="45" ht="27" customHeight="1">
      <x:c r="A45" s="44"/>
      <x:c r="B45" s="44"/>
      <x:c r="C45" s="34"/>
      <x:c r="D45" s="44"/>
      <x:c r="E45" s="46"/>
      <x:c r="F45" s="42"/>
      <x:c r="G45" s="44"/>
      <x:c r="H45" s="50"/>
      <x:c r="I45" s="44"/>
      <x:c r="J45" s="46"/>
      <x:c r="K45" s="57" t="str">
        <x:f>IF(C45="","",IF(G45="已完成",0,E45-$C$3))</x:f>
      </x:c>
      <x:c r="L45" s="58" t="str">
        <x:f>IF(C45="","",IF(G45="已完成","已完成",IF(E45&lt;$C$3,"已逾期",IF(E45-$C$3&lt;=3,"即將到期","正常"))))</x:f>
      </x:c>
    </x:row>
    <x:row r="46" ht="27" customHeight="1">
      <x:c r="A46" s="44"/>
      <x:c r="B46" s="44"/>
      <x:c r="C46" s="34"/>
      <x:c r="D46" s="44"/>
      <x:c r="E46" s="46"/>
      <x:c r="F46" s="42"/>
      <x:c r="G46" s="44"/>
      <x:c r="H46" s="50"/>
      <x:c r="I46" s="44"/>
      <x:c r="J46" s="46"/>
      <x:c r="K46" s="57" t="str">
        <x:f>IF(C46="","",IF(G46="已完成",0,E46-$C$3))</x:f>
      </x:c>
      <x:c r="L46" s="58" t="str">
        <x:f>IF(C46="","",IF(G46="已完成","已完成",IF(E46&lt;$C$3,"已逾期",IF(E46-$C$3&lt;=3,"即將到期","正常"))))</x:f>
      </x:c>
    </x:row>
    <x:row r="47" ht="27" customHeight="1">
      <x:c r="A47" s="44"/>
      <x:c r="B47" s="44"/>
      <x:c r="C47" s="34"/>
      <x:c r="D47" s="44"/>
      <x:c r="E47" s="46"/>
      <x:c r="F47" s="42"/>
      <x:c r="G47" s="44"/>
      <x:c r="H47" s="50"/>
      <x:c r="I47" s="44"/>
      <x:c r="J47" s="46"/>
      <x:c r="K47" s="57" t="str">
        <x:f>IF(C47="","",IF(G47="已完成",0,E47-$C$3))</x:f>
      </x:c>
      <x:c r="L47" s="58" t="str">
        <x:f>IF(C47="","",IF(G47="已完成","已完成",IF(E47&lt;$C$3,"已逾期",IF(E47-$C$3&lt;=3,"即將到期","正常"))))</x:f>
      </x:c>
    </x:row>
    <x:row r="48" ht="27" customHeight="1">
      <x:c r="A48" s="44"/>
      <x:c r="B48" s="44"/>
      <x:c r="C48" s="34"/>
      <x:c r="D48" s="44"/>
      <x:c r="E48" s="46"/>
      <x:c r="F48" s="42"/>
      <x:c r="G48" s="44"/>
      <x:c r="H48" s="50"/>
      <x:c r="I48" s="44"/>
      <x:c r="J48" s="46"/>
      <x:c r="K48" s="57" t="str">
        <x:f>IF(C48="","",IF(G48="已完成",0,E48-$C$3))</x:f>
      </x:c>
      <x:c r="L48" s="58" t="str">
        <x:f>IF(C48="","",IF(G48="已完成","已完成",IF(E48&lt;$C$3,"已逾期",IF(E48-$C$3&lt;=3,"即將到期","正常"))))</x:f>
      </x:c>
    </x:row>
    <x:row r="49" ht="27" customHeight="1">
      <x:c r="A49" s="44"/>
      <x:c r="B49" s="44"/>
      <x:c r="C49" s="34"/>
      <x:c r="D49" s="44"/>
      <x:c r="E49" s="46"/>
      <x:c r="F49" s="42"/>
      <x:c r="G49" s="44"/>
      <x:c r="H49" s="50"/>
      <x:c r="I49" s="44"/>
      <x:c r="J49" s="46"/>
      <x:c r="K49" s="57" t="str">
        <x:f>IF(C49="","",IF(G49="已完成",0,E49-$C$3))</x:f>
      </x:c>
      <x:c r="L49" s="58" t="str">
        <x:f>IF(C49="","",IF(G49="已完成","已完成",IF(E49&lt;$C$3,"已逾期",IF(E49-$C$3&lt;=3,"即將到期","正常"))))</x:f>
      </x:c>
    </x:row>
    <x:row r="50" ht="27" customHeight="1">
      <x:c r="A50" s="44"/>
      <x:c r="B50" s="44"/>
      <x:c r="C50" s="34"/>
      <x:c r="D50" s="44"/>
      <x:c r="E50" s="46"/>
      <x:c r="F50" s="42"/>
      <x:c r="G50" s="44"/>
      <x:c r="H50" s="50"/>
      <x:c r="I50" s="44"/>
      <x:c r="J50" s="46"/>
      <x:c r="K50" s="57" t="str">
        <x:f>IF(C50="","",IF(G50="已完成",0,E50-$C$3))</x:f>
      </x:c>
      <x:c r="L50" s="58" t="str">
        <x:f>IF(C50="","",IF(G50="已完成","已完成",IF(E50&lt;$C$3,"已逾期",IF(E50-$C$3&lt;=3,"即將到期","正常"))))</x:f>
      </x:c>
    </x:row>
    <x:row r="51" ht="27" customHeight="1">
      <x:c r="A51" s="44"/>
      <x:c r="B51" s="44"/>
      <x:c r="C51" s="34"/>
      <x:c r="D51" s="44"/>
      <x:c r="E51" s="46"/>
      <x:c r="F51" s="42"/>
      <x:c r="G51" s="44"/>
      <x:c r="H51" s="50"/>
      <x:c r="I51" s="44"/>
      <x:c r="J51" s="46"/>
      <x:c r="K51" s="57" t="str">
        <x:f>IF(C51="","",IF(G51="已完成",0,E51-$C$3))</x:f>
      </x:c>
      <x:c r="L51" s="58" t="str">
        <x:f>IF(C51="","",IF(G51="已完成","已完成",IF(E51&lt;$C$3,"已逾期",IF(E51-$C$3&lt;=3,"即將到期","正常"))))</x:f>
      </x:c>
    </x:row>
    <x:row r="52" ht="27" customHeight="1">
      <x:c r="A52" s="44"/>
      <x:c r="B52" s="44"/>
      <x:c r="C52" s="34"/>
      <x:c r="D52" s="44"/>
      <x:c r="E52" s="46"/>
      <x:c r="F52" s="42"/>
      <x:c r="G52" s="44"/>
      <x:c r="H52" s="50"/>
      <x:c r="I52" s="44"/>
      <x:c r="J52" s="46"/>
      <x:c r="K52" s="57" t="str">
        <x:f>IF(C52="","",IF(G52="已完成",0,E52-$C$3))</x:f>
      </x:c>
      <x:c r="L52" s="58" t="str">
        <x:f>IF(C52="","",IF(G52="已完成","已完成",IF(E52&lt;$C$3,"已逾期",IF(E52-$C$3&lt;=3,"即將到期","正常"))))</x:f>
      </x:c>
    </x:row>
    <x:row r="53" ht="27" customHeight="1">
      <x:c r="A53" s="44"/>
      <x:c r="B53" s="44"/>
      <x:c r="C53" s="34"/>
      <x:c r="D53" s="44"/>
      <x:c r="E53" s="46"/>
      <x:c r="F53" s="42"/>
      <x:c r="G53" s="44"/>
      <x:c r="H53" s="50"/>
      <x:c r="I53" s="44"/>
      <x:c r="J53" s="46"/>
      <x:c r="K53" s="57" t="str">
        <x:f>IF(C53="","",IF(G53="已完成",0,E53-$C$3))</x:f>
      </x:c>
      <x:c r="L53" s="58" t="str">
        <x:f>IF(C53="","",IF(G53="已完成","已完成",IF(E53&lt;$C$3,"已逾期",IF(E53-$C$3&lt;=3,"即將到期","正常"))))</x:f>
      </x:c>
    </x:row>
    <x:row r="54" ht="27" customHeight="1">
      <x:c r="A54" s="44"/>
      <x:c r="B54" s="44"/>
      <x:c r="C54" s="34"/>
      <x:c r="D54" s="44"/>
      <x:c r="E54" s="46"/>
      <x:c r="F54" s="42"/>
      <x:c r="G54" s="44"/>
      <x:c r="H54" s="50"/>
      <x:c r="I54" s="44"/>
      <x:c r="J54" s="46"/>
      <x:c r="K54" s="57" t="str">
        <x:f>IF(C54="","",IF(G54="已完成",0,E54-$C$3))</x:f>
      </x:c>
      <x:c r="L54" s="58" t="str">
        <x:f>IF(C54="","",IF(G54="已完成","已完成",IF(E54&lt;$C$3,"已逾期",IF(E54-$C$3&lt;=3,"即將到期","正常"))))</x:f>
      </x:c>
    </x:row>
    <x:row r="55" ht="27" customHeight="1">
      <x:c r="A55" s="44"/>
      <x:c r="B55" s="44"/>
      <x:c r="C55" s="34"/>
      <x:c r="D55" s="44"/>
      <x:c r="E55" s="46"/>
      <x:c r="F55" s="42"/>
      <x:c r="G55" s="44"/>
      <x:c r="H55" s="50"/>
      <x:c r="I55" s="44"/>
      <x:c r="J55" s="46"/>
      <x:c r="K55" s="57" t="str">
        <x:f>IF(C55="","",IF(G55="已完成",0,E55-$C$3))</x:f>
      </x:c>
      <x:c r="L55" s="58" t="str">
        <x:f>IF(C55="","",IF(G55="已完成","已完成",IF(E55&lt;$C$3,"已逾期",IF(E55-$C$3&lt;=3,"即將到期","正常"))))</x:f>
      </x:c>
    </x:row>
    <x:row r="56" ht="27" customHeight="1">
      <x:c r="A56" s="44"/>
      <x:c r="B56" s="44"/>
      <x:c r="C56" s="34"/>
      <x:c r="D56" s="44"/>
      <x:c r="E56" s="46"/>
      <x:c r="F56" s="42"/>
      <x:c r="G56" s="44"/>
      <x:c r="H56" s="50"/>
      <x:c r="I56" s="44"/>
      <x:c r="J56" s="46"/>
      <x:c r="K56" s="57" t="str">
        <x:f>IF(C56="","",IF(G56="已完成",0,E56-$C$3))</x:f>
      </x:c>
      <x:c r="L56" s="58" t="str">
        <x:f>IF(C56="","",IF(G56="已完成","已完成",IF(E56&lt;$C$3,"已逾期",IF(E56-$C$3&lt;=3,"即將到期","正常"))))</x:f>
      </x:c>
    </x:row>
    <x:row r="57" ht="27" customHeight="1">
      <x:c r="A57" s="44"/>
      <x:c r="B57" s="44"/>
      <x:c r="C57" s="34"/>
      <x:c r="D57" s="44"/>
      <x:c r="E57" s="46"/>
      <x:c r="F57" s="42"/>
      <x:c r="G57" s="44"/>
      <x:c r="H57" s="50"/>
      <x:c r="I57" s="44"/>
      <x:c r="J57" s="46"/>
      <x:c r="K57" s="57" t="str">
        <x:f>IF(C57="","",IF(G57="已完成",0,E57-$C$3))</x:f>
      </x:c>
      <x:c r="L57" s="58" t="str">
        <x:f>IF(C57="","",IF(G57="已完成","已完成",IF(E57&lt;$C$3,"已逾期",IF(E57-$C$3&lt;=3,"即將到期","正常"))))</x:f>
      </x:c>
    </x:row>
    <x:row r="58" ht="27" customHeight="1">
      <x:c r="A58" s="44"/>
      <x:c r="B58" s="44"/>
      <x:c r="C58" s="34"/>
      <x:c r="D58" s="44"/>
      <x:c r="E58" s="46"/>
      <x:c r="F58" s="42"/>
      <x:c r="G58" s="44"/>
      <x:c r="H58" s="50"/>
      <x:c r="I58" s="44"/>
      <x:c r="J58" s="46"/>
      <x:c r="K58" s="57" t="str">
        <x:f>IF(C58="","",IF(G58="已完成",0,E58-$C$3))</x:f>
      </x:c>
      <x:c r="L58" s="58" t="str">
        <x:f>IF(C58="","",IF(G58="已完成","已完成",IF(E58&lt;$C$3,"已逾期",IF(E58-$C$3&lt;=3,"即將到期","正常"))))</x:f>
      </x:c>
    </x:row>
    <x:row r="59" ht="27" customHeight="1">
      <x:c r="A59" s="44"/>
      <x:c r="B59" s="44"/>
      <x:c r="C59" s="34"/>
      <x:c r="D59" s="44"/>
      <x:c r="E59" s="46"/>
      <x:c r="F59" s="42"/>
      <x:c r="G59" s="44"/>
      <x:c r="H59" s="50"/>
      <x:c r="I59" s="44"/>
      <x:c r="J59" s="46"/>
      <x:c r="K59" s="57" t="str">
        <x:f>IF(C59="","",IF(G59="已完成",0,E59-$C$3))</x:f>
      </x:c>
      <x:c r="L59" s="58" t="str">
        <x:f>IF(C59="","",IF(G59="已完成","已完成",IF(E59&lt;$C$3,"已逾期",IF(E59-$C$3&lt;=3,"即將到期","正常"))))</x:f>
      </x:c>
    </x:row>
    <x:row r="60" ht="27" customHeight="1">
      <x:c r="A60" s="44"/>
      <x:c r="B60" s="44"/>
      <x:c r="C60" s="34"/>
      <x:c r="D60" s="44"/>
      <x:c r="E60" s="46"/>
      <x:c r="F60" s="42"/>
      <x:c r="G60" s="44"/>
      <x:c r="H60" s="50"/>
      <x:c r="I60" s="44"/>
      <x:c r="J60" s="46"/>
      <x:c r="K60" s="57" t="str">
        <x:f>IF(C60="","",IF(G60="已完成",0,E60-$C$3))</x:f>
      </x:c>
      <x:c r="L60" s="58" t="str">
        <x:f>IF(C60="","",IF(G60="已完成","已完成",IF(E60&lt;$C$3,"已逾期",IF(E60-$C$3&lt;=3,"即將到期","正常"))))</x:f>
      </x:c>
    </x:row>
    <x:row r="61" ht="27" customHeight="1">
      <x:c r="A61" s="44"/>
      <x:c r="B61" s="44"/>
      <x:c r="C61" s="34"/>
      <x:c r="D61" s="44"/>
      <x:c r="E61" s="46"/>
      <x:c r="F61" s="42"/>
      <x:c r="G61" s="44"/>
      <x:c r="H61" s="50"/>
      <x:c r="I61" s="44"/>
      <x:c r="J61" s="46"/>
      <x:c r="K61" s="57" t="str">
        <x:f>IF(C61="","",IF(G61="已完成",0,E61-$C$3))</x:f>
      </x:c>
      <x:c r="L61" s="58" t="str">
        <x:f>IF(C61="","",IF(G61="已完成","已完成",IF(E61&lt;$C$3,"已逾期",IF(E61-$C$3&lt;=3,"即將到期","正常"))))</x:f>
      </x:c>
    </x:row>
    <x:row r="62" ht="27" customHeight="1">
      <x:c r="A62" s="44"/>
      <x:c r="B62" s="44"/>
      <x:c r="C62" s="34"/>
      <x:c r="D62" s="44"/>
      <x:c r="E62" s="46"/>
      <x:c r="F62" s="42"/>
      <x:c r="G62" s="44"/>
      <x:c r="H62" s="50"/>
      <x:c r="I62" s="44"/>
      <x:c r="J62" s="46"/>
      <x:c r="K62" s="57" t="str">
        <x:f>IF(C62="","",IF(G62="已完成",0,E62-$C$3))</x:f>
      </x:c>
      <x:c r="L62" s="58" t="str">
        <x:f>IF(C62="","",IF(G62="已完成","已完成",IF(E62&lt;$C$3,"已逾期",IF(E62-$C$3&lt;=3,"即將到期","正常"))))</x:f>
      </x:c>
    </x:row>
    <x:row r="63" ht="27" customHeight="1">
      <x:c r="A63" s="44"/>
      <x:c r="B63" s="44"/>
      <x:c r="C63" s="34"/>
      <x:c r="D63" s="44"/>
      <x:c r="E63" s="46"/>
      <x:c r="F63" s="42"/>
      <x:c r="G63" s="44"/>
      <x:c r="H63" s="50"/>
      <x:c r="I63" s="44"/>
      <x:c r="J63" s="46"/>
      <x:c r="K63" s="57" t="str">
        <x:f>IF(C63="","",IF(G63="已完成",0,E63-$C$3))</x:f>
      </x:c>
      <x:c r="L63" s="58" t="str">
        <x:f>IF(C63="","",IF(G63="已完成","已完成",IF(E63&lt;$C$3,"已逾期",IF(E63-$C$3&lt;=3,"即將到期","正常"))))</x:f>
      </x:c>
    </x:row>
    <x:row r="64" ht="27" customHeight="1">
      <x:c r="A64" s="44"/>
      <x:c r="B64" s="44"/>
      <x:c r="C64" s="34"/>
      <x:c r="D64" s="44"/>
      <x:c r="E64" s="46"/>
      <x:c r="F64" s="42"/>
      <x:c r="G64" s="44"/>
      <x:c r="H64" s="50"/>
      <x:c r="I64" s="44"/>
      <x:c r="J64" s="46"/>
      <x:c r="K64" s="57" t="str">
        <x:f>IF(C64="","",IF(G64="已完成",0,E64-$C$3))</x:f>
      </x:c>
      <x:c r="L64" s="58" t="str">
        <x:f>IF(C64="","",IF(G64="已完成","已完成",IF(E64&lt;$C$3,"已逾期",IF(E64-$C$3&lt;=3,"即將到期","正常"))))</x:f>
      </x:c>
    </x:row>
    <x:row r="65" ht="27" customHeight="1">
      <x:c r="A65" s="44"/>
      <x:c r="B65" s="44"/>
      <x:c r="C65" s="34"/>
      <x:c r="D65" s="44"/>
      <x:c r="E65" s="46"/>
      <x:c r="F65" s="42"/>
      <x:c r="G65" s="44"/>
      <x:c r="H65" s="50"/>
      <x:c r="I65" s="44"/>
      <x:c r="J65" s="46"/>
      <x:c r="K65" s="57" t="str">
        <x:f>IF(C65="","",IF(G65="已完成",0,E65-$C$3))</x:f>
      </x:c>
      <x:c r="L65" s="58" t="str">
        <x:f>IF(C65="","",IF(G65="已完成","已完成",IF(E65&lt;$C$3,"已逾期",IF(E65-$C$3&lt;=3,"即將到期","正常"))))</x:f>
      </x:c>
    </x:row>
    <x:row r="66" ht="27" customHeight="1">
      <x:c r="A66" s="44"/>
      <x:c r="B66" s="44"/>
      <x:c r="C66" s="34"/>
      <x:c r="D66" s="44"/>
      <x:c r="E66" s="46"/>
      <x:c r="F66" s="42"/>
      <x:c r="G66" s="44"/>
      <x:c r="H66" s="50"/>
      <x:c r="I66" s="44"/>
      <x:c r="J66" s="46"/>
      <x:c r="K66" s="57" t="str">
        <x:f>IF(C66="","",IF(G66="已完成",0,E66-$C$3))</x:f>
      </x:c>
      <x:c r="L66" s="58" t="str">
        <x:f>IF(C66="","",IF(G66="已完成","已完成",IF(E66&lt;$C$3,"已逾期",IF(E66-$C$3&lt;=3,"即將到期","正常"))))</x:f>
      </x:c>
    </x:row>
    <x:row r="67" ht="27" customHeight="1">
      <x:c r="A67" s="44"/>
      <x:c r="B67" s="44"/>
      <x:c r="C67" s="34"/>
      <x:c r="D67" s="44"/>
      <x:c r="E67" s="46"/>
      <x:c r="F67" s="42"/>
      <x:c r="G67" s="44"/>
      <x:c r="H67" s="50"/>
      <x:c r="I67" s="44"/>
      <x:c r="J67" s="46"/>
      <x:c r="K67" s="57" t="str">
        <x:f>IF(C67="","",IF(G67="已完成",0,E67-$C$3))</x:f>
      </x:c>
      <x:c r="L67" s="58" t="str">
        <x:f>IF(C67="","",IF(G67="已完成","已完成",IF(E67&lt;$C$3,"已逾期",IF(E67-$C$3&lt;=3,"即將到期","正常"))))</x:f>
      </x:c>
    </x:row>
    <x:row r="68" ht="27" customHeight="1">
      <x:c r="A68" s="44"/>
      <x:c r="B68" s="44"/>
      <x:c r="C68" s="34"/>
      <x:c r="D68" s="44"/>
      <x:c r="E68" s="46"/>
      <x:c r="F68" s="42"/>
      <x:c r="G68" s="44"/>
      <x:c r="H68" s="50"/>
      <x:c r="I68" s="44"/>
      <x:c r="J68" s="46"/>
      <x:c r="K68" s="57" t="str">
        <x:f>IF(C68="","",IF(G68="已完成",0,E68-$C$3))</x:f>
      </x:c>
      <x:c r="L68" s="58" t="str">
        <x:f>IF(C68="","",IF(G68="已完成","已完成",IF(E68&lt;$C$3,"已逾期",IF(E68-$C$3&lt;=3,"即將到期","正常"))))</x:f>
      </x:c>
    </x:row>
    <x:row r="69" ht="27" customHeight="1">
      <x:c r="A69" s="44"/>
      <x:c r="B69" s="44"/>
      <x:c r="C69" s="34"/>
      <x:c r="D69" s="44"/>
      <x:c r="E69" s="46"/>
      <x:c r="F69" s="42"/>
      <x:c r="G69" s="44"/>
      <x:c r="H69" s="50"/>
      <x:c r="I69" s="44"/>
      <x:c r="J69" s="46"/>
      <x:c r="K69" s="57" t="str">
        <x:f>IF(C69="","",IF(G69="已完成",0,E69-$C$3))</x:f>
      </x:c>
      <x:c r="L69" s="58" t="str">
        <x:f>IF(C69="","",IF(G69="已完成","已完成",IF(E69&lt;$C$3,"已逾期",IF(E69-$C$3&lt;=3,"即將到期","正常"))))</x:f>
      </x:c>
    </x:row>
    <x:row r="70" ht="27" customHeight="1">
      <x:c r="A70" s="44"/>
      <x:c r="B70" s="44"/>
      <x:c r="C70" s="34"/>
      <x:c r="D70" s="44"/>
      <x:c r="E70" s="46"/>
      <x:c r="F70" s="42"/>
      <x:c r="G70" s="44"/>
      <x:c r="H70" s="50"/>
      <x:c r="I70" s="44"/>
      <x:c r="J70" s="46"/>
      <x:c r="K70" s="57" t="str">
        <x:f>IF(C70="","",IF(G70="已完成",0,E70-$C$3))</x:f>
      </x:c>
      <x:c r="L70" s="58" t="str">
        <x:f>IF(C70="","",IF(G70="已完成","已完成",IF(E70&lt;$C$3,"已逾期",IF(E70-$C$3&lt;=3,"即將到期","正常"))))</x:f>
      </x:c>
    </x:row>
    <x:row r="71" ht="27" customHeight="1">
      <x:c r="A71" s="44"/>
      <x:c r="B71" s="44"/>
      <x:c r="C71" s="34"/>
      <x:c r="D71" s="44"/>
      <x:c r="E71" s="46"/>
      <x:c r="F71" s="42"/>
      <x:c r="G71" s="44"/>
      <x:c r="H71" s="50"/>
      <x:c r="I71" s="44"/>
      <x:c r="J71" s="46"/>
      <x:c r="K71" s="57" t="str">
        <x:f>IF(C71="","",IF(G71="已完成",0,E71-$C$3))</x:f>
      </x:c>
      <x:c r="L71" s="58" t="str">
        <x:f>IF(C71="","",IF(G71="已完成","已完成",IF(E71&lt;$C$3,"已逾期",IF(E71-$C$3&lt;=3,"即將到期","正常"))))</x:f>
      </x:c>
    </x:row>
    <x:row r="72" ht="27" customHeight="1">
      <x:c r="A72" s="44"/>
      <x:c r="B72" s="44"/>
      <x:c r="C72" s="34"/>
      <x:c r="D72" s="44"/>
      <x:c r="E72" s="46"/>
      <x:c r="F72" s="42"/>
      <x:c r="G72" s="44"/>
      <x:c r="H72" s="50"/>
      <x:c r="I72" s="44"/>
      <x:c r="J72" s="46"/>
      <x:c r="K72" s="57" t="str">
        <x:f>IF(C72="","",IF(G72="已完成",0,E72-$C$3))</x:f>
      </x:c>
      <x:c r="L72" s="58" t="str">
        <x:f>IF(C72="","",IF(G72="已完成","已完成",IF(E72&lt;$C$3,"已逾期",IF(E72-$C$3&lt;=3,"即將到期","正常"))))</x:f>
      </x:c>
    </x:row>
    <x:row r="73" ht="27" customHeight="1">
      <x:c r="A73" s="44"/>
      <x:c r="B73" s="44"/>
      <x:c r="C73" s="34"/>
      <x:c r="D73" s="44"/>
      <x:c r="E73" s="46"/>
      <x:c r="F73" s="42"/>
      <x:c r="G73" s="44"/>
      <x:c r="H73" s="50"/>
      <x:c r="I73" s="44"/>
      <x:c r="J73" s="46"/>
      <x:c r="K73" s="57" t="str">
        <x:f>IF(C73="","",IF(G73="已完成",0,E73-$C$3))</x:f>
      </x:c>
      <x:c r="L73" s="58" t="str">
        <x:f>IF(C73="","",IF(G73="已完成","已完成",IF(E73&lt;$C$3,"已逾期",IF(E73-$C$3&lt;=3,"即將到期","正常"))))</x:f>
      </x:c>
    </x:row>
    <x:row r="74" ht="27" customHeight="1">
      <x:c r="A74" s="44"/>
      <x:c r="B74" s="44"/>
      <x:c r="C74" s="34"/>
      <x:c r="D74" s="44"/>
      <x:c r="E74" s="46"/>
      <x:c r="F74" s="42"/>
      <x:c r="G74" s="44"/>
      <x:c r="H74" s="50"/>
      <x:c r="I74" s="44"/>
      <x:c r="J74" s="46"/>
      <x:c r="K74" s="57" t="str">
        <x:f>IF(C74="","",IF(G74="已完成",0,E74-$C$3))</x:f>
      </x:c>
      <x:c r="L74" s="58" t="str">
        <x:f>IF(C74="","",IF(G74="已完成","已完成",IF(E74&lt;$C$3,"已逾期",IF(E74-$C$3&lt;=3,"即將到期","正常"))))</x:f>
      </x:c>
    </x:row>
    <x:row r="75" ht="27" customHeight="1">
      <x:c r="A75" s="44"/>
      <x:c r="B75" s="44"/>
      <x:c r="C75" s="34"/>
      <x:c r="D75" s="44"/>
      <x:c r="E75" s="46"/>
      <x:c r="F75" s="42"/>
      <x:c r="G75" s="44"/>
      <x:c r="H75" s="50"/>
      <x:c r="I75" s="44"/>
      <x:c r="J75" s="46"/>
      <x:c r="K75" s="57" t="str">
        <x:f>IF(C75="","",IF(G75="已完成",0,E75-$C$3))</x:f>
      </x:c>
      <x:c r="L75" s="58" t="str">
        <x:f>IF(C75="","",IF(G75="已完成","已完成",IF(E75&lt;$C$3,"已逾期",IF(E75-$C$3&lt;=3,"即將到期","正常"))))</x:f>
      </x:c>
    </x:row>
    <x:row r="76" ht="27" customHeight="1">
      <x:c r="A76" s="44"/>
      <x:c r="B76" s="44"/>
      <x:c r="C76" s="34"/>
      <x:c r="D76" s="44"/>
      <x:c r="E76" s="46"/>
      <x:c r="F76" s="42"/>
      <x:c r="G76" s="44"/>
      <x:c r="H76" s="50"/>
      <x:c r="I76" s="44"/>
      <x:c r="J76" s="46"/>
      <x:c r="K76" s="57" t="str">
        <x:f>IF(C76="","",IF(G76="已完成",0,E76-$C$3))</x:f>
      </x:c>
      <x:c r="L76" s="58" t="str">
        <x:f>IF(C76="","",IF(G76="已完成","已完成",IF(E76&lt;$C$3,"已逾期",IF(E76-$C$3&lt;=3,"即將到期","正常"))))</x:f>
      </x:c>
    </x:row>
    <x:row r="77" ht="27" customHeight="1">
      <x:c r="A77" s="44"/>
      <x:c r="B77" s="44"/>
      <x:c r="C77" s="34"/>
      <x:c r="D77" s="44"/>
      <x:c r="E77" s="46"/>
      <x:c r="F77" s="42"/>
      <x:c r="G77" s="44"/>
      <x:c r="H77" s="50"/>
      <x:c r="I77" s="44"/>
      <x:c r="J77" s="46"/>
      <x:c r="K77" s="57" t="str">
        <x:f>IF(C77="","",IF(G77="已完成",0,E77-$C$3))</x:f>
      </x:c>
      <x:c r="L77" s="58" t="str">
        <x:f>IF(C77="","",IF(G77="已完成","已完成",IF(E77&lt;$C$3,"已逾期",IF(E77-$C$3&lt;=3,"即將到期","正常"))))</x:f>
      </x:c>
    </x:row>
    <x:row r="78" ht="27" customHeight="1">
      <x:c r="A78" s="44"/>
      <x:c r="B78" s="44"/>
      <x:c r="C78" s="34"/>
      <x:c r="D78" s="44"/>
      <x:c r="E78" s="46"/>
      <x:c r="F78" s="42"/>
      <x:c r="G78" s="44"/>
      <x:c r="H78" s="50"/>
      <x:c r="I78" s="44"/>
      <x:c r="J78" s="46"/>
      <x:c r="K78" s="57" t="str">
        <x:f>IF(C78="","",IF(G78="已完成",0,E78-$C$3))</x:f>
      </x:c>
      <x:c r="L78" s="58" t="str">
        <x:f>IF(C78="","",IF(G78="已完成","已完成",IF(E78&lt;$C$3,"已逾期",IF(E78-$C$3&lt;=3,"即將到期","正常"))))</x:f>
      </x:c>
    </x:row>
    <x:row r="79" ht="27" customHeight="1">
      <x:c r="A79" s="44"/>
      <x:c r="B79" s="44"/>
      <x:c r="C79" s="34"/>
      <x:c r="D79" s="44"/>
      <x:c r="E79" s="46"/>
      <x:c r="F79" s="42"/>
      <x:c r="G79" s="44"/>
      <x:c r="H79" s="50"/>
      <x:c r="I79" s="44"/>
      <x:c r="J79" s="46"/>
      <x:c r="K79" s="57" t="str">
        <x:f>IF(C79="","",IF(G79="已完成",0,E79-$C$3))</x:f>
      </x:c>
      <x:c r="L79" s="58" t="str">
        <x:f>IF(C79="","",IF(G79="已完成","已完成",IF(E79&lt;$C$3,"已逾期",IF(E79-$C$3&lt;=3,"即將到期","正常"))))</x:f>
      </x:c>
    </x:row>
    <x:row r="80" ht="27" customHeight="1">
      <x:c r="A80" s="44"/>
      <x:c r="B80" s="44"/>
      <x:c r="C80" s="34"/>
      <x:c r="D80" s="44"/>
      <x:c r="E80" s="46"/>
      <x:c r="F80" s="42"/>
      <x:c r="G80" s="44"/>
      <x:c r="H80" s="50"/>
      <x:c r="I80" s="44"/>
      <x:c r="J80" s="46"/>
      <x:c r="K80" s="57" t="str">
        <x:f>IF(C80="","",IF(G80="已完成",0,E80-$C$3))</x:f>
      </x:c>
      <x:c r="L80" s="58" t="str">
        <x:f>IF(C80="","",IF(G80="已完成","已完成",IF(E80&lt;$C$3,"已逾期",IF(E80-$C$3&lt;=3,"即將到期","正常"))))</x:f>
      </x:c>
    </x:row>
    <x:row r="81" ht="27" customHeight="1">
      <x:c r="A81" s="44"/>
      <x:c r="B81" s="44"/>
      <x:c r="C81" s="34"/>
      <x:c r="D81" s="44"/>
      <x:c r="E81" s="46"/>
      <x:c r="F81" s="42"/>
      <x:c r="G81" s="44"/>
      <x:c r="H81" s="50"/>
      <x:c r="I81" s="44"/>
      <x:c r="J81" s="46"/>
      <x:c r="K81" s="57" t="str">
        <x:f>IF(C81="","",IF(G81="已完成",0,E81-$C$3))</x:f>
      </x:c>
      <x:c r="L81" s="58" t="str">
        <x:f>IF(C81="","",IF(G81="已完成","已完成",IF(E81&lt;$C$3,"已逾期",IF(E81-$C$3&lt;=3,"即將到期","正常"))))</x:f>
      </x:c>
    </x:row>
    <x:row r="82" ht="27" customHeight="1">
      <x:c r="A82" s="44"/>
      <x:c r="B82" s="44"/>
      <x:c r="C82" s="34"/>
      <x:c r="D82" s="44"/>
      <x:c r="E82" s="46"/>
      <x:c r="F82" s="42"/>
      <x:c r="G82" s="44"/>
      <x:c r="H82" s="50"/>
      <x:c r="I82" s="44"/>
      <x:c r="J82" s="46"/>
      <x:c r="K82" s="57" t="str">
        <x:f>IF(C82="","",IF(G82="已完成",0,E82-$C$3))</x:f>
      </x:c>
      <x:c r="L82" s="58" t="str">
        <x:f>IF(C82="","",IF(G82="已完成","已完成",IF(E82&lt;$C$3,"已逾期",IF(E82-$C$3&lt;=3,"即將到期","正常"))))</x:f>
      </x:c>
    </x:row>
    <x:row r="83" ht="27" customHeight="1">
      <x:c r="A83" s="44"/>
      <x:c r="B83" s="44"/>
      <x:c r="C83" s="34"/>
      <x:c r="D83" s="44"/>
      <x:c r="E83" s="46"/>
      <x:c r="F83" s="42"/>
      <x:c r="G83" s="44"/>
      <x:c r="H83" s="50"/>
      <x:c r="I83" s="44"/>
      <x:c r="J83" s="46"/>
      <x:c r="K83" s="57" t="str">
        <x:f>IF(C83="","",IF(G83="已完成",0,E83-$C$3))</x:f>
      </x:c>
      <x:c r="L83" s="58" t="str">
        <x:f>IF(C83="","",IF(G83="已完成","已完成",IF(E83&lt;$C$3,"已逾期",IF(E83-$C$3&lt;=3,"即將到期","正常"))))</x:f>
      </x:c>
    </x:row>
    <x:row r="84" ht="27" customHeight="1">
      <x:c r="A84" s="44"/>
      <x:c r="B84" s="44"/>
      <x:c r="C84" s="34"/>
      <x:c r="D84" s="44"/>
      <x:c r="E84" s="46"/>
      <x:c r="F84" s="42"/>
      <x:c r="G84" s="44"/>
      <x:c r="H84" s="50"/>
      <x:c r="I84" s="44"/>
      <x:c r="J84" s="46"/>
      <x:c r="K84" s="57" t="str">
        <x:f>IF(C84="","",IF(G84="已完成",0,E84-$C$3))</x:f>
      </x:c>
      <x:c r="L84" s="58" t="str">
        <x:f>IF(C84="","",IF(G84="已完成","已完成",IF(E84&lt;$C$3,"已逾期",IF(E84-$C$3&lt;=3,"即將到期","正常"))))</x:f>
      </x:c>
    </x:row>
    <x:row r="85" ht="27" customHeight="1">
      <x:c r="A85" s="44"/>
      <x:c r="B85" s="44"/>
      <x:c r="C85" s="34"/>
      <x:c r="D85" s="44"/>
      <x:c r="E85" s="46"/>
      <x:c r="F85" s="42"/>
      <x:c r="G85" s="44"/>
      <x:c r="H85" s="50"/>
      <x:c r="I85" s="44"/>
      <x:c r="J85" s="46"/>
      <x:c r="K85" s="57" t="str">
        <x:f>IF(C85="","",IF(G85="已完成",0,E85-$C$3))</x:f>
      </x:c>
      <x:c r="L85" s="58" t="str">
        <x:f>IF(C85="","",IF(G85="已完成","已完成",IF(E85&lt;$C$3,"已逾期",IF(E85-$C$3&lt;=3,"即將到期","正常"))))</x:f>
      </x:c>
    </x:row>
    <x:row r="86" ht="27" customHeight="1">
      <x:c r="A86" s="44"/>
      <x:c r="B86" s="44"/>
      <x:c r="C86" s="34"/>
      <x:c r="D86" s="44"/>
      <x:c r="E86" s="46"/>
      <x:c r="F86" s="42"/>
      <x:c r="G86" s="44"/>
      <x:c r="H86" s="50"/>
      <x:c r="I86" s="44"/>
      <x:c r="J86" s="46"/>
      <x:c r="K86" s="57" t="str">
        <x:f>IF(C86="","",IF(G86="已完成",0,E86-$C$3))</x:f>
      </x:c>
      <x:c r="L86" s="58" t="str">
        <x:f>IF(C86="","",IF(G86="已完成","已完成",IF(E86&lt;$C$3,"已逾期",IF(E86-$C$3&lt;=3,"即將到期","正常"))))</x:f>
      </x:c>
    </x:row>
    <x:row r="87" ht="27" customHeight="1">
      <x:c r="A87" s="44"/>
      <x:c r="B87" s="44"/>
      <x:c r="C87" s="34"/>
      <x:c r="D87" s="44"/>
      <x:c r="E87" s="46"/>
      <x:c r="F87" s="42"/>
      <x:c r="G87" s="44"/>
      <x:c r="H87" s="50"/>
      <x:c r="I87" s="44"/>
      <x:c r="J87" s="46"/>
      <x:c r="K87" s="57" t="str">
        <x:f>IF(C87="","",IF(G87="已完成",0,E87-$C$3))</x:f>
      </x:c>
      <x:c r="L87" s="58" t="str">
        <x:f>IF(C87="","",IF(G87="已完成","已完成",IF(E87&lt;$C$3,"已逾期",IF(E87-$C$3&lt;=3,"即將到期","正常"))))</x:f>
      </x:c>
    </x:row>
    <x:row r="88" ht="27" customHeight="1">
      <x:c r="A88" s="44"/>
      <x:c r="B88" s="44"/>
      <x:c r="C88" s="34"/>
      <x:c r="D88" s="44"/>
      <x:c r="E88" s="46"/>
      <x:c r="F88" s="42"/>
      <x:c r="G88" s="44"/>
      <x:c r="H88" s="50"/>
      <x:c r="I88" s="44"/>
      <x:c r="J88" s="46"/>
      <x:c r="K88" s="57" t="str">
        <x:f>IF(C88="","",IF(G88="已完成",0,E88-$C$3))</x:f>
      </x:c>
      <x:c r="L88" s="58" t="str">
        <x:f>IF(C88="","",IF(G88="已完成","已完成",IF(E88&lt;$C$3,"已逾期",IF(E88-$C$3&lt;=3,"即將到期","正常"))))</x:f>
      </x:c>
    </x:row>
    <x:row r="89" ht="27" customHeight="1">
      <x:c r="A89" s="44"/>
      <x:c r="B89" s="44"/>
      <x:c r="C89" s="34"/>
      <x:c r="D89" s="44"/>
      <x:c r="E89" s="46"/>
      <x:c r="F89" s="42"/>
      <x:c r="G89" s="44"/>
      <x:c r="H89" s="50"/>
      <x:c r="I89" s="44"/>
      <x:c r="J89" s="46"/>
      <x:c r="K89" s="57" t="str">
        <x:f>IF(C89="","",IF(G89="已完成",0,E89-$C$3))</x:f>
      </x:c>
      <x:c r="L89" s="58" t="str">
        <x:f>IF(C89="","",IF(G89="已完成","已完成",IF(E89&lt;$C$3,"已逾期",IF(E89-$C$3&lt;=3,"即將到期","正常"))))</x:f>
      </x:c>
    </x:row>
    <x:row r="90" ht="27" customHeight="1">
      <x:c r="A90" s="44"/>
      <x:c r="B90" s="44"/>
      <x:c r="C90" s="34"/>
      <x:c r="D90" s="44"/>
      <x:c r="E90" s="46"/>
      <x:c r="F90" s="42"/>
      <x:c r="G90" s="44"/>
      <x:c r="H90" s="50"/>
      <x:c r="I90" s="44"/>
      <x:c r="J90" s="46"/>
      <x:c r="K90" s="57" t="str">
        <x:f>IF(C90="","",IF(G90="已完成",0,E90-$C$3))</x:f>
      </x:c>
      <x:c r="L90" s="58" t="str">
        <x:f>IF(C90="","",IF(G90="已完成","已完成",IF(E90&lt;$C$3,"已逾期",IF(E90-$C$3&lt;=3,"即將到期","正常"))))</x:f>
      </x:c>
    </x:row>
    <x:row r="91" ht="27" customHeight="1">
      <x:c r="A91" s="44"/>
      <x:c r="B91" s="44"/>
      <x:c r="C91" s="34"/>
      <x:c r="D91" s="44"/>
      <x:c r="E91" s="46"/>
      <x:c r="F91" s="42"/>
      <x:c r="G91" s="44"/>
      <x:c r="H91" s="50"/>
      <x:c r="I91" s="44"/>
      <x:c r="J91" s="46"/>
      <x:c r="K91" s="57" t="str">
        <x:f>IF(C91="","",IF(G91="已完成",0,E91-$C$3))</x:f>
      </x:c>
      <x:c r="L91" s="58" t="str">
        <x:f>IF(C91="","",IF(G91="已完成","已完成",IF(E91&lt;$C$3,"已逾期",IF(E91-$C$3&lt;=3,"即將到期","正常"))))</x:f>
      </x:c>
    </x:row>
    <x:row r="92" ht="27" customHeight="1">
      <x:c r="A92" s="44"/>
      <x:c r="B92" s="44"/>
      <x:c r="C92" s="34"/>
      <x:c r="D92" s="44"/>
      <x:c r="E92" s="46"/>
      <x:c r="F92" s="42"/>
      <x:c r="G92" s="44"/>
      <x:c r="H92" s="50"/>
      <x:c r="I92" s="44"/>
      <x:c r="J92" s="46"/>
      <x:c r="K92" s="57" t="str">
        <x:f>IF(C92="","",IF(G92="已完成",0,E92-$C$3))</x:f>
      </x:c>
      <x:c r="L92" s="58" t="str">
        <x:f>IF(C92="","",IF(G92="已完成","已完成",IF(E92&lt;$C$3,"已逾期",IF(E92-$C$3&lt;=3,"即將到期","正常"))))</x:f>
      </x:c>
    </x:row>
    <x:row r="93" ht="27" customHeight="1">
      <x:c r="A93" s="44"/>
      <x:c r="B93" s="44"/>
      <x:c r="C93" s="34"/>
      <x:c r="D93" s="44"/>
      <x:c r="E93" s="46"/>
      <x:c r="F93" s="42"/>
      <x:c r="G93" s="44"/>
      <x:c r="H93" s="50"/>
      <x:c r="I93" s="44"/>
      <x:c r="J93" s="46"/>
      <x:c r="K93" s="57" t="str">
        <x:f>IF(C93="","",IF(G93="已完成",0,E93-$C$3))</x:f>
      </x:c>
      <x:c r="L93" s="58" t="str">
        <x:f>IF(C93="","",IF(G93="已完成","已完成",IF(E93&lt;$C$3,"已逾期",IF(E93-$C$3&lt;=3,"即將到期","正常"))))</x:f>
      </x:c>
    </x:row>
    <x:row r="94" ht="27" customHeight="1">
      <x:c r="A94" s="44"/>
      <x:c r="B94" s="44"/>
      <x:c r="C94" s="34"/>
      <x:c r="D94" s="44"/>
      <x:c r="E94" s="46"/>
      <x:c r="F94" s="42"/>
      <x:c r="G94" s="44"/>
      <x:c r="H94" s="50"/>
      <x:c r="I94" s="44"/>
      <x:c r="J94" s="46"/>
      <x:c r="K94" s="57" t="str">
        <x:f>IF(C94="","",IF(G94="已完成",0,E94-$C$3))</x:f>
      </x:c>
      <x:c r="L94" s="58" t="str">
        <x:f>IF(C94="","",IF(G94="已完成","已完成",IF(E94&lt;$C$3,"已逾期",IF(E94-$C$3&lt;=3,"即將到期","正常"))))</x:f>
      </x:c>
    </x:row>
    <x:row r="95" ht="27" customHeight="1">
      <x:c r="A95" s="44"/>
      <x:c r="B95" s="44"/>
      <x:c r="C95" s="34"/>
      <x:c r="D95" s="44"/>
      <x:c r="E95" s="46"/>
      <x:c r="F95" s="42"/>
      <x:c r="G95" s="44"/>
      <x:c r="H95" s="50"/>
      <x:c r="I95" s="44"/>
      <x:c r="J95" s="46"/>
      <x:c r="K95" s="57" t="str">
        <x:f>IF(C95="","",IF(G95="已完成",0,E95-$C$3))</x:f>
      </x:c>
      <x:c r="L95" s="58" t="str">
        <x:f>IF(C95="","",IF(G95="已完成","已完成",IF(E95&lt;$C$3,"已逾期",IF(E95-$C$3&lt;=3,"即將到期","正常"))))</x:f>
      </x:c>
    </x:row>
    <x:row r="96" ht="27" customHeight="1">
      <x:c r="A96" s="44"/>
      <x:c r="B96" s="44"/>
      <x:c r="C96" s="34"/>
      <x:c r="D96" s="44"/>
      <x:c r="E96" s="46"/>
      <x:c r="F96" s="42"/>
      <x:c r="G96" s="44"/>
      <x:c r="H96" s="50"/>
      <x:c r="I96" s="44"/>
      <x:c r="J96" s="46"/>
      <x:c r="K96" s="57" t="str">
        <x:f>IF(C96="","",IF(G96="已完成",0,E96-$C$3))</x:f>
      </x:c>
      <x:c r="L96" s="58" t="str">
        <x:f>IF(C96="","",IF(G96="已完成","已完成",IF(E96&lt;$C$3,"已逾期",IF(E96-$C$3&lt;=3,"即將到期","正常"))))</x:f>
      </x:c>
    </x:row>
    <x:row r="97" ht="27" customHeight="1">
      <x:c r="A97" s="44"/>
      <x:c r="B97" s="44"/>
      <x:c r="C97" s="34"/>
      <x:c r="D97" s="44"/>
      <x:c r="E97" s="46"/>
      <x:c r="F97" s="42"/>
      <x:c r="G97" s="44"/>
      <x:c r="H97" s="50"/>
      <x:c r="I97" s="44"/>
      <x:c r="J97" s="46"/>
      <x:c r="K97" s="57" t="str">
        <x:f>IF(C97="","",IF(G97="已完成",0,E97-$C$3))</x:f>
      </x:c>
      <x:c r="L97" s="58" t="str">
        <x:f>IF(C97="","",IF(G97="已完成","已完成",IF(E97&lt;$C$3,"已逾期",IF(E97-$C$3&lt;=3,"即將到期","正常"))))</x:f>
      </x:c>
    </x:row>
    <x:row r="98" ht="27" customHeight="1">
      <x:c r="A98" s="44"/>
      <x:c r="B98" s="44"/>
      <x:c r="C98" s="34"/>
      <x:c r="D98" s="44"/>
      <x:c r="E98" s="46"/>
      <x:c r="F98" s="42"/>
      <x:c r="G98" s="44"/>
      <x:c r="H98" s="50"/>
      <x:c r="I98" s="44"/>
      <x:c r="J98" s="46"/>
      <x:c r="K98" s="57" t="str">
        <x:f>IF(C98="","",IF(G98="已完成",0,E98-$C$3))</x:f>
      </x:c>
      <x:c r="L98" s="58" t="str">
        <x:f>IF(C98="","",IF(G98="已完成","已完成",IF(E98&lt;$C$3,"已逾期",IF(E98-$C$3&lt;=3,"即將到期","正常"))))</x:f>
      </x:c>
    </x:row>
    <x:row r="99" ht="27" customHeight="1">
      <x:c r="A99" s="44"/>
      <x:c r="B99" s="44"/>
      <x:c r="C99" s="34"/>
      <x:c r="D99" s="44"/>
      <x:c r="E99" s="46"/>
      <x:c r="F99" s="42"/>
      <x:c r="G99" s="44"/>
      <x:c r="H99" s="50"/>
      <x:c r="I99" s="44"/>
      <x:c r="J99" s="46"/>
      <x:c r="K99" s="57" t="str">
        <x:f>IF(C99="","",IF(G99="已完成",0,E99-$C$3))</x:f>
      </x:c>
      <x:c r="L99" s="58" t="str">
        <x:f>IF(C99="","",IF(G99="已完成","已完成",IF(E99&lt;$C$3,"已逾期",IF(E99-$C$3&lt;=3,"即將到期","正常"))))</x:f>
      </x:c>
    </x:row>
    <x:row r="100" ht="27" customHeight="1">
      <x:c r="A100" s="44"/>
      <x:c r="B100" s="44"/>
      <x:c r="C100" s="34"/>
      <x:c r="D100" s="44"/>
      <x:c r="E100" s="46"/>
      <x:c r="F100" s="42"/>
      <x:c r="G100" s="44"/>
      <x:c r="H100" s="50"/>
      <x:c r="I100" s="44"/>
      <x:c r="J100" s="46"/>
      <x:c r="K100" s="57" t="str">
        <x:f>IF(C100="","",IF(G100="已完成",0,E100-$C$3))</x:f>
      </x:c>
      <x:c r="L100" s="58" t="str">
        <x:f>IF(C100="","",IF(G100="已完成","已完成",IF(E100&lt;$C$3,"已逾期",IF(E100-$C$3&lt;=3,"即將到期","正常"))))</x:f>
      </x:c>
    </x:row>
  </x:sheetData>
  <x:mergeCells>
    <x:mergeCell ref="A1:L1"/>
    <x:mergeCell ref="A2:L2"/>
    <x:mergeCell ref="A3:B3"/>
  </x:mergeCells>
  <x:conditionalFormatting sqref="F8:F10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{76402A2F-9A37-39FA-A9EB-CBCC52F86CD6}</x14:id>
        </x:ext>
      </x:extLst>
    </x:cfRule>
  </x:conditionalFormatting>
  <x:conditionalFormatting sqref="L8:L100">
    <x:cfRule type="containsText" dxfId="0" priority="2" operator="containsText" text="已逾期"/>
    <x:cfRule type="containsText" dxfId="1" priority="3" operator="containsText" text="即將到期"/>
    <x:cfRule type="containsText" dxfId="2" priority="4" operator="containsText" text="已完成"/>
  </x:conditionalFormatting>
  <x:dataValidations count="3">
    <x:dataValidation type="list" sqref="B8:B100">
      <x:formula1>"設計部,行銷部,產品部,待確認"</x:formula1>
    </x:dataValidation>
    <x:dataValidation type="decimal" operator="between" sqref="F8:F100">
      <x:formula1>0</x:formula1>
      <x:formula2>1</x:formula2>
    </x:dataValidation>
    <x:dataValidation type="list" sqref="G8:G100">
      <x:formula1>"尚未開始,進行中,待確認,已完成"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9e146950394a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6402A2F-9A37-39FA-A9EB-CBCC52F86CD6}">
            <x14:dataBar gradient="1">
              <x14:cfvo type="min"/>
              <x14:cfvo type="max"/>
              <x14:fillColor rgb="FF2F75B5"/>
            </x14:dataBar>
          </x14:cfRule>
          <xm:sqref>F8:F100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專案進度總覽</x:v>
      </x:c>
      <x:c r="B1" s="4" t="str">
        <x:v>專案進度總覽</x:v>
      </x:c>
      <x:c r="C1" s="4" t="str">
        <x:v>專案進度總覽</x:v>
      </x:c>
      <x:c r="D1" s="4" t="str">
        <x:v>專案進度總覽</x:v>
      </x:c>
      <x:c r="E1" s="4" t="str">
        <x:v>專案進度總覽</x:v>
      </x:c>
      <x:c r="F1" s="4" t="str">
        <x:v>專案進度總覽</x:v>
      </x:c>
      <x:c r="G1" s="4" t="str">
        <x:v>專案進度總覽</x:v>
      </x:c>
      <x:c r="H1" s="4" t="str">
        <x:v>專案進度總覽</x:v>
      </x:c>
    </x:row>
    <x:row r="2">
      <x:c r="A2" s="6" t="str">
        <x:v>資料會隨「專案進度」工作表更新，請先核對來源與異動內容再保存。</x:v>
      </x:c>
      <x:c r="B2" s="6" t="str">
        <x:v>資料會隨「專案進度」工作表更新，請先核對來源與異動內容再保存。</x:v>
      </x:c>
      <x:c r="C2" s="6" t="str">
        <x:v>資料會隨「專案進度」工作表更新，請先核對來源與異動內容再保存。</x:v>
      </x:c>
      <x:c r="D2" s="6" t="str">
        <x:v>資料會隨「專案進度」工作表更新，請先核對來源與異動內容再保存。</x:v>
      </x:c>
      <x:c r="E2" s="6" t="str">
        <x:v>資料會隨「專案進度」工作表更新，請先核對來源與異動內容再保存。</x:v>
      </x:c>
      <x:c r="F2" s="6" t="str">
        <x:v>資料會隨「專案進度」工作表更新，請先核對來源與異動內容再保存。</x:v>
      </x:c>
      <x:c r="G2" s="6" t="str">
        <x:v>資料會隨「專案進度」工作表更新，請先核對來源與異動內容再保存。</x:v>
      </x:c>
      <x:c r="H2" s="6" t="str">
        <x:v>資料會隨「專案進度」工作表更新，請先核對來源與異動內容再保存。</x:v>
      </x:c>
    </x:row>
    <x:row r="4">
      <x:c r="A4" s="63" t="str">
        <x:v>整體完成率</x:v>
      </x:c>
      <x:c r="B4" s="64" t="str">
        <x:v>整體完成率</x:v>
      </x:c>
      <x:c r="C4" s="63" t="str">
        <x:v>逾期件數</x:v>
      </x:c>
      <x:c r="D4" s="64" t="str">
        <x:v>逾期件數</x:v>
      </x:c>
      <x:c r="E4" s="63" t="str">
        <x:v>7 日內到期</x:v>
      </x:c>
      <x:c r="F4" s="64" t="str">
        <x:v>7 日內到期</x:v>
      </x:c>
      <x:c r="G4" s="63" t="str">
        <x:v>已完成件數</x:v>
      </x:c>
      <x:c r="H4" s="64" t="str">
        <x:v>已完成件數</x:v>
      </x:c>
    </x:row>
    <x:row r="5">
      <x:c r="A5" s="78" t="n">
        <x:f>IFERROR(AVERAGE('專案進度'!$F$8:$F$100),0)</x:f>
        <x:v>0.45</x:v>
      </x:c>
      <x:c r="B5" s="79"/>
      <x:c r="C5" s="74" t="n">
        <x:f>COUNTIF('專案進度'!$L$8:$L$100,"已逾期")</x:f>
        <x:v>1</x:v>
      </x:c>
      <x:c r="D5" s="75"/>
      <x:c r="E5" s="74" t="n">
        <x:f>COUNTIFS('專案進度'!$C$8:$C$100,"&lt;&gt;",'專案進度'!$K$8:$K$100,"&gt;=0",'專案進度'!$K$8:$K$100,"&lt;=7",'專案進度'!$G$8:$G$100,"&lt;&gt;已完成")</x:f>
        <x:v>7</x:v>
      </x:c>
      <x:c r="F5" s="75"/>
      <x:c r="G5" s="74" t="n">
        <x:f>COUNTIF('專案進度'!$G$8:$G$100,"已完成")</x:f>
        <x:v>0</x:v>
      </x:c>
      <x:c r="H5" s="75"/>
    </x:row>
    <x:row r="6">
      <x:c r="A6" s="80"/>
      <x:c r="B6" s="81"/>
      <x:c r="C6" s="76"/>
      <x:c r="D6" s="77"/>
      <x:c r="E6" s="76"/>
      <x:c r="F6" s="77"/>
      <x:c r="G6" s="76"/>
      <x:c r="H6" s="77"/>
    </x:row>
    <x:row r="9" ht="30" customHeight="1">
      <x:c r="A9" s="86" t="str">
        <x:v>部門</x:v>
      </x:c>
      <x:c r="B9" s="86" t="str">
        <x:v>平均完成率</x:v>
      </x:c>
    </x:row>
    <x:row r="10" ht="24" customHeight="1">
      <x:c r="A10" s="33" t="str">
        <x:v>設計部</x:v>
      </x:c>
      <x:c r="B10" s="37" t="n">
        <x:f>IFERROR(SUMIF('專案進度'!$B$8:$B$100,A10,'專案進度'!$F$8:$F$100)/COUNTIF('專案進度'!$B$8:$B$100,A10),0)</x:f>
        <x:v>0.39999999999999997</x:v>
      </x:c>
    </x:row>
    <x:row r="11" ht="24" customHeight="1">
      <x:c r="A11" s="34" t="str">
        <x:v>行銷部</x:v>
      </x:c>
      <x:c r="B11" s="38" t="n">
        <x:f>IFERROR(SUMIF('專案進度'!$B$8:$B$100,A11,'專案進度'!$F$8:$F$100)/COUNTIF('專案進度'!$B$8:$B$100,A11),0)</x:f>
        <x:v>0.4666666666666666</x:v>
      </x:c>
    </x:row>
    <x:row r="12" ht="24" customHeight="1">
      <x:c r="A12" s="34" t="str">
        <x:v>產品部</x:v>
      </x:c>
      <x:c r="B12" s="38" t="n">
        <x:f>IFERROR(SUMIF('專案進度'!$B$8:$B$100,A12,'專案進度'!$F$8:$F$100)/COUNTIF('專案進度'!$B$8:$B$100,A12),0)</x:f>
        <x:v>0.47500000000000003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  <x:drawing xmlns:r="http://schemas.openxmlformats.org/officeDocument/2006/relationships" r:id="Rc1d332a80c77440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42" hidden="0" customWidth="1"/>
  </x:cols>
  <x:sheetData>
    <x:row r="1" ht="34" customHeight="1">
      <x:c r="A1" s="4" t="str">
        <x:v>欄位與更新規則</x:v>
      </x:c>
      <x:c r="B1" s="4" t="str">
        <x:v>欄位與更新規則</x:v>
      </x:c>
      <x:c r="C1" s="4" t="str">
        <x:v>欄位與更新規則</x:v>
      </x:c>
      <x:c r="D1" s="4" t="str">
        <x:v>欄位與更新規則</x:v>
      </x:c>
    </x:row>
    <x:row r="3" ht="30" customHeight="1">
      <x:c r="A3" s="86" t="str">
        <x:v>欄位</x:v>
      </x:c>
      <x:c r="B3" s="86" t="str">
        <x:v>用途</x:v>
      </x:c>
      <x:c r="C3" s="86" t="str">
        <x:v>輸入方式</x:v>
      </x:c>
      <x:c r="D3" s="86" t="str">
        <x:v>更新注意事項</x:v>
      </x:c>
    </x:row>
    <x:row r="4" ht="34" customHeight="1">
      <x:c r="A4" s="87" t="str">
        <x:v>任務編號</x:v>
      </x:c>
      <x:c r="B4" s="49" t="str">
        <x:v>每項工作的唯一識別碼</x:v>
      </x:c>
      <x:c r="C4" s="49" t="str">
        <x:v>文字</x:v>
      </x:c>
      <x:c r="D4" s="49" t="str">
        <x:v>新增任務時依序接續編號</x:v>
      </x:c>
    </x:row>
    <x:row r="5" ht="34" customHeight="1">
      <x:c r="A5" s="88" t="str">
        <x:v>所屬部門</x:v>
      </x:c>
      <x:c r="B5" s="50" t="str">
        <x:v>負責處理工作的部門</x:v>
      </x:c>
      <x:c r="C5" s="50" t="str">
        <x:v>下拉選單</x:v>
      </x:c>
      <x:c r="D5" s="50" t="str">
        <x:v>無法判斷時填「待確認」</x:v>
      </x:c>
    </x:row>
    <x:row r="6" ht="34" customHeight="1">
      <x:c r="A6" s="88" t="str">
        <x:v>工作項目</x:v>
      </x:c>
      <x:c r="B6" s="50" t="str">
        <x:v>可追蹤的具體工作</x:v>
      </x:c>
      <x:c r="C6" s="50" t="str">
        <x:v>文字</x:v>
      </x:c>
      <x:c r="D6" s="50" t="str">
        <x:v>先比對既有項目，避免重複新增</x:v>
      </x:c>
    </x:row>
    <x:row r="7" ht="34" customHeight="1">
      <x:c r="A7" s="88" t="str">
        <x:v>負責人</x:v>
      </x:c>
      <x:c r="B7" s="50" t="str">
        <x:v>主要承辦人員</x:v>
      </x:c>
      <x:c r="C7" s="50" t="str">
        <x:v>文字</x:v>
      </x:c>
      <x:c r="D7" s="50" t="str">
        <x:v>文件未明確指定時填「待確認」</x:v>
      </x:c>
    </x:row>
    <x:row r="8" ht="34" customHeight="1">
      <x:c r="A8" s="88" t="str">
        <x:v>預計完成日</x:v>
      </x:c>
      <x:c r="B8" s="50" t="str">
        <x:v>目前確認的完成期限</x:v>
      </x:c>
      <x:c r="C8" s="50" t="str">
        <x:v>日期</x:v>
      </x:c>
      <x:c r="D8" s="50" t="str">
        <x:v>以最新且明確的異動為準</x:v>
      </x:c>
    </x:row>
    <x:row r="9" ht="34" customHeight="1">
      <x:c r="A9" s="88" t="str">
        <x:v>目前進度</x:v>
      </x:c>
      <x:c r="B9" s="50" t="str">
        <x:v>工作完成程度</x:v>
      </x:c>
      <x:c r="C9" s="50" t="str">
        <x:v>百分比</x:v>
      </x:c>
      <x:c r="D9" s="50" t="str">
        <x:v>只採用文件中明確出現的數字</x:v>
      </x:c>
    </x:row>
    <x:row r="10" ht="34" customHeight="1">
      <x:c r="A10" s="88" t="str">
        <x:v>執行狀態</x:v>
      </x:c>
      <x:c r="B10" s="50" t="str">
        <x:v>目前處理階段</x:v>
      </x:c>
      <x:c r="C10" s="50" t="str">
        <x:v>下拉選單</x:v>
      </x:c>
      <x:c r="D10" s="50" t="str">
        <x:v>使用既有選項，不自行增加分類</x:v>
      </x:c>
    </x:row>
    <x:row r="11" ht="34" customHeight="1">
      <x:c r="A11" s="88" t="str">
        <x:v>最新說明</x:v>
      </x:c>
      <x:c r="B11" s="50" t="str">
        <x:v>保留進度、阻礙或異動原因</x:v>
      </x:c>
      <x:c r="C11" s="50" t="str">
        <x:v>文字</x:v>
      </x:c>
      <x:c r="D11" s="50" t="str">
        <x:v>摘要即可，不必貼上整段原文</x:v>
      </x:c>
    </x:row>
    <x:row r="12" ht="34" customHeight="1">
      <x:c r="A12" s="88" t="str">
        <x:v>資料來源</x:v>
      </x:c>
      <x:c r="B12" s="50" t="str">
        <x:v>本次更新所依據的檔案</x:v>
      </x:c>
      <x:c r="C12" s="50" t="str">
        <x:v>文字</x:v>
      </x:c>
      <x:c r="D12" s="50" t="str">
        <x:v>填入檔名，方便後續核對</x:v>
      </x:c>
    </x:row>
    <x:row r="13" ht="34" customHeight="1">
      <x:c r="A13" s="88" t="str">
        <x:v>更新日期</x:v>
      </x:c>
      <x:c r="B13" s="50" t="str">
        <x:v>此次資料所屬日期</x:v>
      </x:c>
      <x:c r="C13" s="50" t="str">
        <x:v>日期</x:v>
      </x:c>
      <x:c r="D13" s="50" t="str">
        <x:v>優先採文件標示的回報日期</x:v>
      </x:c>
    </x:row>
    <x:row r="14" ht="34" customHeight="1">
      <x:c r="A14" s="88" t="str">
        <x:v>剩餘天數</x:v>
      </x:c>
      <x:c r="B14" s="50" t="str">
        <x:v>距離期限的天數</x:v>
      </x:c>
      <x:c r="C14" s="50" t="str">
        <x:v>公式</x:v>
      </x:c>
      <x:c r="D14" s="50" t="str">
        <x:v>灰色欄位，請勿手動輸入</x:v>
      </x:c>
    </x:row>
    <x:row r="15" ht="34" customHeight="1">
      <x:c r="A15" s="88" t="str">
        <x:v>時程判斷</x:v>
      </x:c>
      <x:c r="B15" s="50" t="str">
        <x:v>顯示正常、即將到期或逾期</x:v>
      </x:c>
      <x:c r="C15" s="50" t="str">
        <x:v>公式</x:v>
      </x:c>
      <x:c r="D15" s="50" t="str">
        <x:v>灰色欄位，請勿手動輸入</x:v>
      </x:c>
    </x:row>
  </x:sheetData>
  <x:mergeCells>
    <x:mergeCell ref="A1:D1"/>
  </x:mergeCells>
  <x:pageMargins left="0.7" right="0.7" top="0.75" bottom="0.75" header="0.3" footer="0.3"/>
</x:worksheet>
</file>