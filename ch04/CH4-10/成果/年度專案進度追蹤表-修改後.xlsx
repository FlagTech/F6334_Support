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F6334\"/>
    </mc:Choice>
  </mc:AlternateContent>
  <xr:revisionPtr revIDLastSave="0" documentId="13_ncr:1_{DE5AB72D-49A9-4E82-B54C-8062A0AA421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專案進度" sheetId="1" r:id="rId1"/>
    <sheet name="進度總覽" sheetId="2" r:id="rId2"/>
    <sheet name="欄位說明" sheetId="3" r:id="rId3"/>
  </sheets>
  <calcPr calcId="181029"/>
</workbook>
</file>

<file path=xl/calcChain.xml><?xml version="1.0" encoding="utf-8"?>
<calcChain xmlns="http://schemas.openxmlformats.org/spreadsheetml/2006/main">
  <c r="B12" i="2" l="1"/>
  <c r="B11" i="2"/>
  <c r="B10" i="2"/>
  <c r="G5" i="2"/>
  <c r="E5" i="2"/>
  <c r="A5" i="2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H4" i="1"/>
  <c r="G4" i="1"/>
  <c r="E4" i="1"/>
  <c r="F4" i="1" l="1"/>
  <c r="C5" i="2"/>
</calcChain>
</file>

<file path=xl/sharedStrings.xml><?xml version="1.0" encoding="utf-8"?>
<sst xmlns="http://schemas.openxmlformats.org/spreadsheetml/2006/main" count="204" uniqueCount="106">
  <si>
    <t>年度專案進度追蹤表</t>
  </si>
  <si>
    <t>專案：企業官網改版｜公式欄位以灰色標示，請勿手動輸入；新增與異動請保留資料來源。</t>
  </si>
  <si>
    <t>資料基準日</t>
  </si>
  <si>
    <t>整體完成率</t>
  </si>
  <si>
    <t>逾期件數</t>
  </si>
  <si>
    <t>7 日內到期</t>
  </si>
  <si>
    <t>已完成件數</t>
  </si>
  <si>
    <t>任務編號</t>
  </si>
  <si>
    <t>所屬部門</t>
  </si>
  <si>
    <t>工作項目</t>
  </si>
  <si>
    <t>負責人</t>
  </si>
  <si>
    <t>預計完成日</t>
  </si>
  <si>
    <t>目前進度</t>
  </si>
  <si>
    <t>執行狀態</t>
  </si>
  <si>
    <t>最新說明</t>
  </si>
  <si>
    <t>資料來源</t>
  </si>
  <si>
    <t>更新日期</t>
  </si>
  <si>
    <t>剩餘天數</t>
  </si>
  <si>
    <t>時程判斷</t>
  </si>
  <si>
    <t>P-001</t>
  </si>
  <si>
    <t>設計部</t>
  </si>
  <si>
    <t>首頁視覺設計</t>
  </si>
  <si>
    <t>小安</t>
  </si>
  <si>
    <t>進行中</t>
  </si>
  <si>
    <t>P-002</t>
  </si>
  <si>
    <t>產品頁版型設計</t>
  </si>
  <si>
    <t>芷晴</t>
  </si>
  <si>
    <t>P-003</t>
  </si>
  <si>
    <t>行動版介面檢查</t>
  </si>
  <si>
    <t>P-004</t>
  </si>
  <si>
    <t>行銷部</t>
  </si>
  <si>
    <t>SEO 關鍵字清單</t>
  </si>
  <si>
    <t>雅婷</t>
  </si>
  <si>
    <t>P-005</t>
  </si>
  <si>
    <t>新聞稿初稿</t>
  </si>
  <si>
    <t>俊豪</t>
  </si>
  <si>
    <t>P-006</t>
  </si>
  <si>
    <t>媒體邀請名單</t>
  </si>
  <si>
    <t>P-007</t>
  </si>
  <si>
    <t>產品部</t>
  </si>
  <si>
    <t>產品功能測試</t>
  </si>
  <si>
    <t>承恩</t>
  </si>
  <si>
    <t>P-008</t>
  </si>
  <si>
    <t>操作手冊定稿</t>
  </si>
  <si>
    <t>佩珊</t>
  </si>
  <si>
    <t>P-009</t>
  </si>
  <si>
    <t>產品照片提供</t>
  </si>
  <si>
    <t>P-010</t>
  </si>
  <si>
    <t>上線前整合測試</t>
  </si>
  <si>
    <t>尚未開始</t>
  </si>
  <si>
    <t>專案進度總覽</t>
  </si>
  <si>
    <t>資料會隨「專案進度」工作表更新，請先核對來源與異動內容再保存。</t>
  </si>
  <si>
    <t>部門</t>
  </si>
  <si>
    <t>平均完成率</t>
  </si>
  <si>
    <t>欄位與更新規則</t>
  </si>
  <si>
    <t>欄位</t>
  </si>
  <si>
    <t>用途</t>
  </si>
  <si>
    <t>輸入方式</t>
  </si>
  <si>
    <t>更新注意事項</t>
  </si>
  <si>
    <t>每項工作的唯一識別碼</t>
  </si>
  <si>
    <t>文字</t>
  </si>
  <si>
    <t>新增任務時依序接續編號</t>
  </si>
  <si>
    <t>負責處理工作的部門</t>
  </si>
  <si>
    <t>下拉選單</t>
  </si>
  <si>
    <t>無法判斷時填「待確認」</t>
  </si>
  <si>
    <t>可追蹤的具體工作</t>
  </si>
  <si>
    <t>先比對既有項目，避免重複新增</t>
  </si>
  <si>
    <t>主要承辦人員</t>
  </si>
  <si>
    <t>文件未明確指定時填「待確認」</t>
  </si>
  <si>
    <t>目前確認的完成期限</t>
  </si>
  <si>
    <t>日期</t>
  </si>
  <si>
    <t>以最新且明確的異動為準</t>
  </si>
  <si>
    <t>工作完成程度</t>
  </si>
  <si>
    <t>百分比</t>
  </si>
  <si>
    <t>只採用文件中明確出現的數字</t>
  </si>
  <si>
    <t>目前處理階段</t>
  </si>
  <si>
    <t>使用既有選項，不自行增加分類</t>
  </si>
  <si>
    <t>保留進度、阻礙或異動原因</t>
  </si>
  <si>
    <t>摘要即可，不必貼上整段原文</t>
  </si>
  <si>
    <t>本次更新所依據的檔案</t>
  </si>
  <si>
    <t>填入檔名，方便後續核對</t>
  </si>
  <si>
    <t>此次資料所屬日期</t>
  </si>
  <si>
    <t>優先採文件標示的回報日期</t>
  </si>
  <si>
    <t>距離期限的天數</t>
  </si>
  <si>
    <t>公式</t>
  </si>
  <si>
    <t>灰色欄位，請勿手動輸入</t>
  </si>
  <si>
    <t>顯示正常、即將到期或逾期</t>
  </si>
  <si>
    <t>主版、圖示與主要文案配置已完成，完成第二輪內部確認；尚缺 3 張產品照片</t>
  </si>
  <si>
    <t>設計部進度回報.docx</t>
  </si>
  <si>
    <t>桌面版配置已完成，正在調整規格區塊與產品比較區；因欄位名稱較晚確認，完成日順延至 8/19</t>
  </si>
  <si>
    <t>已完成首頁與導覽列檢查，接續處理產品頁；小尺寸螢幕仍有斷行問題</t>
  </si>
  <si>
    <t>已完成</t>
  </si>
  <si>
    <t>三組產品關鍵字已補齊並完成最後確認，可結案</t>
  </si>
  <si>
    <t>行銷部需求調整.txt</t>
  </si>
  <si>
    <t>第一輪修訂已完成，目前約 60%；發布時間因上線提前調至 8/18</t>
  </si>
  <si>
    <t>已整理 35 家媒體，僅餘聯絡資料核對，預計 8/14 下班前完成</t>
  </si>
  <si>
    <t>產品功能測試完成約 65%，未發現新的重大問題；期限提前至 8/16</t>
  </si>
  <si>
    <t>本週會議紀錄.docx</t>
  </si>
  <si>
    <t>內容完成 70%，尚需補上新版畫面；預計 8/19 送交內部審查</t>
  </si>
  <si>
    <t>上線前整合測試期限提前至 8/22</t>
  </si>
  <si>
    <t>原有照片不適用，改為重新蒐集；8 張已收到 5 張，尚缺 3 張</t>
  </si>
  <si>
    <t>P-011</t>
  </si>
  <si>
    <t>待確認</t>
  </si>
  <si>
    <t>網站無障礙檢查</t>
  </si>
  <si>
    <t>列入追蹤，檢查範圍需由產品部確認；設計部可配合介面檢查</t>
  </si>
  <si>
    <t>本週會議紀錄.docx、設計部進度回報.docx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</si>
</sst>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name val="Carlito"/>
    </font>
    <font>
      <b/>
      <sz val="18"/>
      <color rgb="FFFFFFFF"/>
      <name val="Microsoft JhengHei"/>
      <family val="2"/>
      <charset val="136"/>
    </font>
    <font>
      <sz val="10"/>
      <color rgb="FF44546A"/>
      <name val="Microsoft JhengHei"/>
      <family val="2"/>
      <charset val="136"/>
    </font>
    <font>
      <b/>
      <sz val="10"/>
      <color rgb="FF163A5F"/>
      <name val="Microsoft JhengHei"/>
      <family val="2"/>
      <charset val="136"/>
    </font>
    <font>
      <b/>
      <sz val="9"/>
      <color rgb="FF163A5F"/>
      <name val="Microsoft JhengHei"/>
      <family val="2"/>
      <charset val="136"/>
    </font>
    <font>
      <b/>
      <sz val="14"/>
      <color rgb="FF2F75B5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0"/>
      <color rgb="FF1F1F1F"/>
      <name val="Microsoft JhengHei"/>
      <family val="2"/>
      <charset val="136"/>
    </font>
    <font>
      <b/>
      <sz val="18"/>
      <color rgb="FF2F75B5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EF5FB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EEF1F4"/>
      </patternFill>
    </fill>
  </fills>
  <borders count="1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C4D5E3"/>
      </left>
      <right style="thin">
        <color rgb="FFC4D5E3"/>
      </right>
      <top style="thin">
        <color rgb="FFC4D5E3"/>
      </top>
      <bottom style="thin">
        <color rgb="FFC4D5E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E2E7EC"/>
      </bottom>
      <diagonal/>
    </border>
    <border>
      <left/>
      <right/>
      <top style="thin">
        <color rgb="FFE2E7EC"/>
      </top>
      <bottom style="thin">
        <color rgb="FFE2E7EC"/>
      </bottom>
      <diagonal/>
    </border>
    <border>
      <left style="thin">
        <color rgb="FFC4D5E3"/>
      </left>
      <right/>
      <top style="thin">
        <color rgb="FFC4D5E3"/>
      </top>
      <bottom style="thin">
        <color rgb="FFC4D5E3"/>
      </bottom>
      <diagonal/>
    </border>
    <border>
      <left/>
      <right style="thin">
        <color rgb="FFC4D5E3"/>
      </right>
      <top style="thin">
        <color rgb="FFC4D5E3"/>
      </top>
      <bottom style="thin">
        <color rgb="FFC4D5E3"/>
      </bottom>
      <diagonal/>
    </border>
    <border>
      <left style="thin">
        <color rgb="FFC4D5E3"/>
      </left>
      <right/>
      <top style="thin">
        <color rgb="FFC4D5E3"/>
      </top>
      <bottom/>
      <diagonal/>
    </border>
    <border>
      <left/>
      <right style="thin">
        <color rgb="FFC4D5E3"/>
      </right>
      <top style="thin">
        <color rgb="FFC4D5E3"/>
      </top>
      <bottom/>
      <diagonal/>
    </border>
    <border>
      <left style="thin">
        <color rgb="FFC4D5E3"/>
      </left>
      <right/>
      <top/>
      <bottom style="thin">
        <color rgb="FFC4D5E3"/>
      </bottom>
      <diagonal/>
    </border>
    <border>
      <left/>
      <right style="thin">
        <color rgb="FFC4D5E3"/>
      </right>
      <top/>
      <bottom style="thin">
        <color rgb="FFC4D5E3"/>
      </bottom>
      <diagonal/>
    </border>
    <border>
      <left/>
      <right/>
      <top style="thin">
        <color rgb="FFE2E7EC"/>
      </top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176" fontId="3" fillId="5" borderId="1" xfId="1" applyNumberFormat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5" fillId="5" borderId="2" xfId="1" applyFont="1" applyFill="1" applyBorder="1" applyAlignment="1">
      <alignment horizontal="center"/>
    </xf>
    <xf numFmtId="9" fontId="5" fillId="5" borderId="2" xfId="1" applyNumberFormat="1" applyFont="1" applyFill="1" applyBorder="1" applyAlignment="1">
      <alignment horizontal="center"/>
    </xf>
    <xf numFmtId="0" fontId="6" fillId="6" borderId="3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9" fontId="7" fillId="0" borderId="4" xfId="1" applyNumberFormat="1" applyFont="1" applyBorder="1" applyAlignment="1">
      <alignment vertical="center"/>
    </xf>
    <xf numFmtId="9" fontId="7" fillId="0" borderId="5" xfId="1" applyNumberFormat="1" applyFont="1" applyBorder="1" applyAlignment="1">
      <alignment vertical="center"/>
    </xf>
    <xf numFmtId="9" fontId="7" fillId="0" borderId="4" xfId="1" applyNumberFormat="1" applyFont="1" applyBorder="1" applyAlignment="1">
      <alignment horizontal="center" vertical="center"/>
    </xf>
    <xf numFmtId="9" fontId="7" fillId="0" borderId="5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76" fontId="7" fillId="0" borderId="4" xfId="1" applyNumberFormat="1" applyFont="1" applyBorder="1" applyAlignment="1">
      <alignment horizontal="center" vertical="center"/>
    </xf>
    <xf numFmtId="176" fontId="7" fillId="0" borderId="5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1" fontId="2" fillId="7" borderId="4" xfId="1" applyNumberFormat="1" applyFont="1" applyFill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1" fontId="2" fillId="7" borderId="5" xfId="1" applyNumberFormat="1" applyFont="1" applyFill="1" applyBorder="1" applyAlignment="1">
      <alignment horizontal="center" vertical="center"/>
    </xf>
    <xf numFmtId="0" fontId="2" fillId="7" borderId="5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center"/>
    </xf>
    <xf numFmtId="0" fontId="2" fillId="3" borderId="0" xfId="1" applyFont="1" applyFill="1"/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9" fontId="8" fillId="5" borderId="8" xfId="1" applyNumberFormat="1" applyFont="1" applyFill="1" applyBorder="1" applyAlignment="1">
      <alignment horizontal="center" vertical="center"/>
    </xf>
    <xf numFmtId="9" fontId="8" fillId="5" borderId="9" xfId="1" applyNumberFormat="1" applyFont="1" applyFill="1" applyBorder="1" applyAlignment="1">
      <alignment horizontal="center" vertical="center"/>
    </xf>
    <xf numFmtId="9" fontId="8" fillId="5" borderId="10" xfId="1" applyNumberFormat="1" applyFont="1" applyFill="1" applyBorder="1" applyAlignment="1">
      <alignment horizontal="center" vertical="center"/>
    </xf>
    <xf numFmtId="9" fontId="8" fillId="5" borderId="11" xfId="1" applyNumberFormat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2" xfId="1" applyFont="1" applyBorder="1" applyAlignment="1">
      <alignment vertical="center"/>
    </xf>
    <xf numFmtId="176" fontId="7" fillId="0" borderId="12" xfId="1" applyNumberFormat="1" applyFont="1" applyBorder="1" applyAlignment="1">
      <alignment horizontal="center" vertical="center"/>
    </xf>
    <xf numFmtId="9" fontId="7" fillId="0" borderId="12" xfId="1" applyNumberFormat="1" applyFont="1" applyBorder="1" applyAlignment="1">
      <alignment horizontal="center" vertical="center"/>
    </xf>
    <xf numFmtId="0" fontId="7" fillId="0" borderId="12" xfId="1" applyFont="1" applyBorder="1" applyAlignment="1">
      <alignment vertical="center" wrapText="1"/>
    </xf>
    <xf numFmtId="1" fontId="2" fillId="7" borderId="12" xfId="1" applyNumberFormat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3"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A66B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 sz="900"/>
              <a:t>各部門平均完成率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平均完成率</c:v>
          </c:tx>
          <c:invertIfNegative val="1"/>
          <c:cat>
            <c:strRef>
              <c:f>進度總覽!$A$10:$A$12</c:f>
              <c:strCache>
                <c:ptCount val="3"/>
                <c:pt idx="0">
                  <c:v>設計部</c:v>
                </c:pt>
                <c:pt idx="1">
                  <c:v>行銷部</c:v>
                </c:pt>
                <c:pt idx="2">
                  <c:v>產品部</c:v>
                </c:pt>
              </c:strCache>
            </c:strRef>
          </c:cat>
          <c:val>
            <c:numRef>
              <c:f>進度總覽!$B$10:$B$12</c:f>
              <c:numCache>
                <c:formatCode>0%</c:formatCode>
                <c:ptCount val="3"/>
                <c:pt idx="0">
                  <c:v>0.6333333333333333</c:v>
                </c:pt>
                <c:pt idx="1">
                  <c:v>0.83333333333333337</c:v>
                </c:pt>
                <c:pt idx="2">
                  <c:v>0.49375000000000002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1-4C44-BFAD-318C31D36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asks" displayName="ProjectTasks" ref="A7:L18" totalsRowShown="0">
  <autoFilter ref="A7:L18" xr:uid="{00000000-0009-0000-0100-000001000000}"/>
  <tableColumns count="12">
    <tableColumn id="1" xr3:uid="{00000000-0010-0000-0000-000001000000}" name="任務編號"/>
    <tableColumn id="2" xr3:uid="{00000000-0010-0000-0000-000002000000}" name="所屬部門"/>
    <tableColumn id="3" xr3:uid="{00000000-0010-0000-0000-000003000000}" name="工作項目"/>
    <tableColumn id="4" xr3:uid="{00000000-0010-0000-0000-000004000000}" name="負責人"/>
    <tableColumn id="5" xr3:uid="{00000000-0010-0000-0000-000005000000}" name="預計完成日"/>
    <tableColumn id="6" xr3:uid="{00000000-0010-0000-0000-000006000000}" name="目前進度"/>
    <tableColumn id="7" xr3:uid="{00000000-0010-0000-0000-000007000000}" name="執行狀態"/>
    <tableColumn id="8" xr3:uid="{00000000-0010-0000-0000-000008000000}" name="最新說明"/>
    <tableColumn id="9" xr3:uid="{00000000-0010-0000-0000-000009000000}" name="資料來源"/>
    <tableColumn id="10" xr3:uid="{00000000-0010-0000-0000-00000A000000}" name="更新日期"/>
    <tableColumn id="11" xr3:uid="{00000000-0010-0000-0000-00000B000000}" name="剩餘天數"/>
    <tableColumn id="12" xr3:uid="{00000000-0010-0000-0000-00000C000000}" name="時程判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C855EE-86A1-4DEB-A587-672F4D7F7158}">
  <we:reference id="wa200010215" version="2.0.0.0" store="zh-TW" storeType="OMEX"/>
  <we:alternateReferences>
    <we:reference id="wa200010215" version="2.0.0.0" store="wa200010215" storeType="OMEX"/>
  </we:alternateReferences>
  <we:properties>
    <we:property name="bps.codex_control.document_id" value="&quot;110de3cc-82b4-4680-9e1d-3035559d03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workbookViewId="0">
      <selection activeCell="H20" sqref="H20"/>
    </sheetView>
  </sheetViews>
  <sheetFormatPr defaultRowHeight="13.8"/>
  <cols>
    <col min="1" max="2" width="11" customWidth="1"/>
    <col min="3" max="3" width="22" customWidth="1"/>
    <col min="4" max="4" width="10" customWidth="1"/>
    <col min="5" max="5" width="13" customWidth="1"/>
    <col min="6" max="6" width="11" customWidth="1"/>
    <col min="7" max="7" width="12" customWidth="1"/>
    <col min="8" max="8" width="34" customWidth="1"/>
    <col min="9" max="9" width="18" customWidth="1"/>
    <col min="10" max="10" width="13" customWidth="1"/>
    <col min="11" max="11" width="11" customWidth="1"/>
    <col min="12" max="12" width="12" customWidth="1"/>
  </cols>
  <sheetData>
    <row r="1" spans="1:12" ht="34.049999999999997" customHeight="1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  <c r="G1" s="25" t="s">
        <v>0</v>
      </c>
      <c r="H1" s="25" t="s">
        <v>0</v>
      </c>
      <c r="I1" s="25" t="s">
        <v>0</v>
      </c>
      <c r="J1" s="25" t="s">
        <v>0</v>
      </c>
      <c r="K1" s="25" t="s">
        <v>0</v>
      </c>
      <c r="L1" s="25" t="s">
        <v>0</v>
      </c>
    </row>
    <row r="2" spans="1:12" ht="24" customHeight="1">
      <c r="A2" s="26" t="s">
        <v>1</v>
      </c>
      <c r="B2" s="26" t="s">
        <v>1</v>
      </c>
      <c r="C2" s="26" t="s">
        <v>1</v>
      </c>
      <c r="D2" s="26" t="s">
        <v>1</v>
      </c>
      <c r="E2" s="26" t="s">
        <v>1</v>
      </c>
      <c r="F2" s="26" t="s">
        <v>1</v>
      </c>
      <c r="G2" s="26" t="s">
        <v>1</v>
      </c>
      <c r="H2" s="26" t="s">
        <v>1</v>
      </c>
      <c r="I2" s="26" t="s">
        <v>1</v>
      </c>
      <c r="J2" s="26" t="s">
        <v>1</v>
      </c>
      <c r="K2" s="26" t="s">
        <v>1</v>
      </c>
      <c r="L2" s="26" t="s">
        <v>1</v>
      </c>
    </row>
    <row r="3" spans="1:12" ht="14.4">
      <c r="A3" s="27" t="s">
        <v>2</v>
      </c>
      <c r="B3" s="27" t="s">
        <v>2</v>
      </c>
      <c r="C3" s="1">
        <v>46247</v>
      </c>
      <c r="E3" s="2" t="s">
        <v>3</v>
      </c>
      <c r="F3" s="2" t="s">
        <v>4</v>
      </c>
      <c r="G3" s="2" t="s">
        <v>5</v>
      </c>
      <c r="H3" s="2" t="s">
        <v>6</v>
      </c>
    </row>
    <row r="4" spans="1:12" ht="18">
      <c r="E4" s="4">
        <f>IFERROR(AVERAGE($F$8:$F$100),0)</f>
        <v>0.63750000000000007</v>
      </c>
      <c r="F4" s="3">
        <f>COUNTIF($L$8:$L$100,"已逾期")</f>
        <v>1</v>
      </c>
      <c r="G4" s="3">
        <f>COUNTIFS($C$8:$C$100,"&lt;&gt;",$K$8:$K$100,"&gt;=0",$K$8:$K$100,"&lt;=7",$G$8:$G$100,"&lt;&gt;已完成")</f>
        <v>6</v>
      </c>
      <c r="H4" s="3">
        <f>COUNTIF($G$8:$G$100,"已完成")</f>
        <v>1</v>
      </c>
    </row>
    <row r="7" spans="1:12" ht="30" customHeight="1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  <c r="L7" s="5" t="s">
        <v>18</v>
      </c>
    </row>
    <row r="8" spans="1:12" ht="27" customHeight="1">
      <c r="A8" s="12" t="s">
        <v>19</v>
      </c>
      <c r="B8" s="12" t="s">
        <v>20</v>
      </c>
      <c r="C8" s="6" t="s">
        <v>21</v>
      </c>
      <c r="D8" s="12" t="s">
        <v>22</v>
      </c>
      <c r="E8" s="14">
        <v>46249</v>
      </c>
      <c r="F8" s="10">
        <v>0.85</v>
      </c>
      <c r="G8" s="12" t="s">
        <v>23</v>
      </c>
      <c r="H8" s="16" t="s">
        <v>87</v>
      </c>
      <c r="I8" s="12" t="s">
        <v>88</v>
      </c>
      <c r="J8" s="14">
        <v>46247</v>
      </c>
      <c r="K8" s="18">
        <f t="shared" ref="K8:K39" si="0">IF(C8="","",IF(G8="已完成",0,E8-$C$3))</f>
        <v>2</v>
      </c>
      <c r="L8" s="19" t="str">
        <f t="shared" ref="L8:L39" si="1">IF(C8="","",IF(G8="已完成","已完成",IF(E8&lt;$C$3,"已逾期",IF(E8-$C$3&lt;=3,"即將到期","正常"))))</f>
        <v>即將到期</v>
      </c>
    </row>
    <row r="9" spans="1:12" ht="27" customHeight="1">
      <c r="A9" s="13" t="s">
        <v>24</v>
      </c>
      <c r="B9" s="13" t="s">
        <v>20</v>
      </c>
      <c r="C9" s="7" t="s">
        <v>25</v>
      </c>
      <c r="D9" s="13" t="s">
        <v>26</v>
      </c>
      <c r="E9" s="15">
        <v>46253</v>
      </c>
      <c r="F9" s="11">
        <v>0.7</v>
      </c>
      <c r="G9" s="13" t="s">
        <v>23</v>
      </c>
      <c r="H9" s="17" t="s">
        <v>89</v>
      </c>
      <c r="I9" s="13" t="s">
        <v>88</v>
      </c>
      <c r="J9" s="15">
        <v>46247</v>
      </c>
      <c r="K9" s="20">
        <f t="shared" si="0"/>
        <v>6</v>
      </c>
      <c r="L9" s="21" t="str">
        <f t="shared" si="1"/>
        <v>正常</v>
      </c>
    </row>
    <row r="10" spans="1:12" ht="27" customHeight="1">
      <c r="A10" s="13" t="s">
        <v>27</v>
      </c>
      <c r="B10" s="13" t="s">
        <v>20</v>
      </c>
      <c r="C10" s="7" t="s">
        <v>28</v>
      </c>
      <c r="D10" s="13" t="s">
        <v>22</v>
      </c>
      <c r="E10" s="15">
        <v>46256</v>
      </c>
      <c r="F10" s="11">
        <v>0.35</v>
      </c>
      <c r="G10" s="13" t="s">
        <v>23</v>
      </c>
      <c r="H10" s="17" t="s">
        <v>90</v>
      </c>
      <c r="I10" s="13" t="s">
        <v>88</v>
      </c>
      <c r="J10" s="15">
        <v>46247</v>
      </c>
      <c r="K10" s="20">
        <f t="shared" si="0"/>
        <v>9</v>
      </c>
      <c r="L10" s="21" t="str">
        <f t="shared" si="1"/>
        <v>正常</v>
      </c>
    </row>
    <row r="11" spans="1:12" ht="27" customHeight="1">
      <c r="A11" s="13" t="s">
        <v>29</v>
      </c>
      <c r="B11" s="13" t="s">
        <v>30</v>
      </c>
      <c r="C11" s="7" t="s">
        <v>31</v>
      </c>
      <c r="D11" s="13" t="s">
        <v>32</v>
      </c>
      <c r="E11" s="15">
        <v>46248</v>
      </c>
      <c r="F11" s="11">
        <v>1</v>
      </c>
      <c r="G11" s="13" t="s">
        <v>91</v>
      </c>
      <c r="H11" s="17" t="s">
        <v>92</v>
      </c>
      <c r="I11" s="13" t="s">
        <v>93</v>
      </c>
      <c r="J11" s="15">
        <v>46247</v>
      </c>
      <c r="K11" s="20">
        <f t="shared" si="0"/>
        <v>0</v>
      </c>
      <c r="L11" s="21" t="str">
        <f t="shared" si="1"/>
        <v>已完成</v>
      </c>
    </row>
    <row r="12" spans="1:12" ht="27" customHeight="1">
      <c r="A12" s="13" t="s">
        <v>33</v>
      </c>
      <c r="B12" s="13" t="s">
        <v>30</v>
      </c>
      <c r="C12" s="7" t="s">
        <v>34</v>
      </c>
      <c r="D12" s="13" t="s">
        <v>35</v>
      </c>
      <c r="E12" s="15">
        <v>46252</v>
      </c>
      <c r="F12" s="11">
        <v>0.6</v>
      </c>
      <c r="G12" s="13" t="s">
        <v>23</v>
      </c>
      <c r="H12" s="17" t="s">
        <v>94</v>
      </c>
      <c r="I12" s="13" t="s">
        <v>93</v>
      </c>
      <c r="J12" s="15">
        <v>46247</v>
      </c>
      <c r="K12" s="20">
        <f t="shared" si="0"/>
        <v>5</v>
      </c>
      <c r="L12" s="21" t="str">
        <f t="shared" si="1"/>
        <v>正常</v>
      </c>
    </row>
    <row r="13" spans="1:12" ht="27" customHeight="1">
      <c r="A13" s="13" t="s">
        <v>36</v>
      </c>
      <c r="B13" s="13" t="s">
        <v>30</v>
      </c>
      <c r="C13" s="7" t="s">
        <v>37</v>
      </c>
      <c r="D13" s="13" t="s">
        <v>32</v>
      </c>
      <c r="E13" s="15">
        <v>46248</v>
      </c>
      <c r="F13" s="11">
        <v>0.9</v>
      </c>
      <c r="G13" s="13" t="s">
        <v>23</v>
      </c>
      <c r="H13" s="17" t="s">
        <v>95</v>
      </c>
      <c r="I13" s="13" t="s">
        <v>93</v>
      </c>
      <c r="J13" s="15">
        <v>46247</v>
      </c>
      <c r="K13" s="20">
        <f t="shared" si="0"/>
        <v>1</v>
      </c>
      <c r="L13" s="21" t="str">
        <f t="shared" si="1"/>
        <v>即將到期</v>
      </c>
    </row>
    <row r="14" spans="1:12" ht="27" customHeight="1">
      <c r="A14" s="13" t="s">
        <v>38</v>
      </c>
      <c r="B14" s="13" t="s">
        <v>39</v>
      </c>
      <c r="C14" s="7" t="s">
        <v>40</v>
      </c>
      <c r="D14" s="13" t="s">
        <v>41</v>
      </c>
      <c r="E14" s="15">
        <v>46250</v>
      </c>
      <c r="F14" s="11">
        <v>0.65</v>
      </c>
      <c r="G14" s="13" t="s">
        <v>23</v>
      </c>
      <c r="H14" s="17" t="s">
        <v>96</v>
      </c>
      <c r="I14" s="13" t="s">
        <v>97</v>
      </c>
      <c r="J14" s="15">
        <v>46246</v>
      </c>
      <c r="K14" s="20">
        <f t="shared" si="0"/>
        <v>3</v>
      </c>
      <c r="L14" s="21" t="str">
        <f t="shared" si="1"/>
        <v>即將到期</v>
      </c>
    </row>
    <row r="15" spans="1:12" ht="27" customHeight="1">
      <c r="A15" s="13" t="s">
        <v>42</v>
      </c>
      <c r="B15" s="13" t="s">
        <v>39</v>
      </c>
      <c r="C15" s="7" t="s">
        <v>43</v>
      </c>
      <c r="D15" s="13" t="s">
        <v>44</v>
      </c>
      <c r="E15" s="15">
        <v>46253</v>
      </c>
      <c r="F15" s="11">
        <v>0.7</v>
      </c>
      <c r="G15" s="13" t="s">
        <v>23</v>
      </c>
      <c r="H15" s="17" t="s">
        <v>98</v>
      </c>
      <c r="I15" s="13" t="s">
        <v>97</v>
      </c>
      <c r="J15" s="15">
        <v>46246</v>
      </c>
      <c r="K15" s="20">
        <f t="shared" si="0"/>
        <v>6</v>
      </c>
      <c r="L15" s="21" t="str">
        <f t="shared" si="1"/>
        <v>正常</v>
      </c>
    </row>
    <row r="16" spans="1:12" ht="27" customHeight="1">
      <c r="A16" s="13" t="s">
        <v>45</v>
      </c>
      <c r="B16" s="13" t="s">
        <v>39</v>
      </c>
      <c r="C16" s="7" t="s">
        <v>46</v>
      </c>
      <c r="D16" s="13" t="s">
        <v>41</v>
      </c>
      <c r="E16" s="15">
        <v>46246</v>
      </c>
      <c r="F16" s="11">
        <v>0.625</v>
      </c>
      <c r="G16" s="13" t="s">
        <v>23</v>
      </c>
      <c r="H16" s="17" t="s">
        <v>100</v>
      </c>
      <c r="I16" s="13" t="s">
        <v>88</v>
      </c>
      <c r="J16" s="15">
        <v>46247</v>
      </c>
      <c r="K16" s="20">
        <f t="shared" si="0"/>
        <v>-1</v>
      </c>
      <c r="L16" s="21" t="str">
        <f t="shared" si="1"/>
        <v>已逾期</v>
      </c>
    </row>
    <row r="17" spans="1:12" ht="27" customHeight="1">
      <c r="A17" s="13" t="s">
        <v>47</v>
      </c>
      <c r="B17" s="13" t="s">
        <v>39</v>
      </c>
      <c r="C17" s="7" t="s">
        <v>48</v>
      </c>
      <c r="D17" s="13" t="s">
        <v>41</v>
      </c>
      <c r="E17" s="15">
        <v>46256</v>
      </c>
      <c r="F17" s="11">
        <v>0</v>
      </c>
      <c r="G17" s="13" t="s">
        <v>49</v>
      </c>
      <c r="H17" s="17" t="s">
        <v>99</v>
      </c>
      <c r="I17" s="13" t="s">
        <v>97</v>
      </c>
      <c r="J17" s="15">
        <v>46246</v>
      </c>
      <c r="K17" s="20">
        <f t="shared" si="0"/>
        <v>9</v>
      </c>
      <c r="L17" s="21" t="str">
        <f t="shared" si="1"/>
        <v>正常</v>
      </c>
    </row>
    <row r="18" spans="1:12" ht="27" customHeight="1">
      <c r="A18" s="39" t="s">
        <v>101</v>
      </c>
      <c r="B18" s="39" t="s">
        <v>102</v>
      </c>
      <c r="C18" s="40" t="s">
        <v>103</v>
      </c>
      <c r="D18" s="39" t="s">
        <v>102</v>
      </c>
      <c r="E18" s="41">
        <v>46255</v>
      </c>
      <c r="F18" s="42"/>
      <c r="G18" s="39" t="s">
        <v>102</v>
      </c>
      <c r="H18" s="43" t="s">
        <v>104</v>
      </c>
      <c r="I18" s="39" t="s">
        <v>105</v>
      </c>
      <c r="J18" s="41">
        <v>46247</v>
      </c>
      <c r="K18" s="44">
        <f t="shared" si="0"/>
        <v>8</v>
      </c>
      <c r="L18" s="45" t="str">
        <f t="shared" si="1"/>
        <v>正常</v>
      </c>
    </row>
    <row r="19" spans="1:12" ht="27" customHeight="1">
      <c r="A19" s="13"/>
      <c r="B19" s="13"/>
      <c r="C19" s="7"/>
      <c r="D19" s="13"/>
      <c r="E19" s="15"/>
      <c r="F19" s="11"/>
      <c r="G19" s="13"/>
      <c r="H19" s="17"/>
      <c r="I19" s="13"/>
      <c r="J19" s="15"/>
      <c r="K19" s="20" t="str">
        <f t="shared" si="0"/>
        <v/>
      </c>
      <c r="L19" s="21" t="str">
        <f t="shared" si="1"/>
        <v/>
      </c>
    </row>
    <row r="20" spans="1:12" ht="27" customHeight="1">
      <c r="A20" s="13"/>
      <c r="B20" s="13"/>
      <c r="C20" s="7"/>
      <c r="D20" s="13"/>
      <c r="E20" s="15"/>
      <c r="F20" s="11"/>
      <c r="G20" s="13"/>
      <c r="H20" s="17"/>
      <c r="I20" s="13"/>
      <c r="J20" s="15"/>
      <c r="K20" s="20" t="str">
        <f t="shared" si="0"/>
        <v/>
      </c>
      <c r="L20" s="21" t="str">
        <f t="shared" si="1"/>
        <v/>
      </c>
    </row>
    <row r="21" spans="1:12" ht="27" customHeight="1">
      <c r="A21" s="13"/>
      <c r="B21" s="13"/>
      <c r="C21" s="7"/>
      <c r="D21" s="13"/>
      <c r="E21" s="15"/>
      <c r="F21" s="11"/>
      <c r="G21" s="13"/>
      <c r="H21" s="17"/>
      <c r="I21" s="13"/>
      <c r="J21" s="15"/>
      <c r="K21" s="20" t="str">
        <f t="shared" si="0"/>
        <v/>
      </c>
      <c r="L21" s="21" t="str">
        <f t="shared" si="1"/>
        <v/>
      </c>
    </row>
    <row r="22" spans="1:12" ht="27" customHeight="1">
      <c r="A22" s="13"/>
      <c r="B22" s="13"/>
      <c r="C22" s="7"/>
      <c r="D22" s="13"/>
      <c r="E22" s="15"/>
      <c r="F22" s="11"/>
      <c r="G22" s="13"/>
      <c r="H22" s="17"/>
      <c r="I22" s="13"/>
      <c r="J22" s="15"/>
      <c r="K22" s="20" t="str">
        <f t="shared" si="0"/>
        <v/>
      </c>
      <c r="L22" s="21" t="str">
        <f t="shared" si="1"/>
        <v/>
      </c>
    </row>
    <row r="23" spans="1:12" ht="27" customHeight="1">
      <c r="A23" s="13"/>
      <c r="B23" s="13"/>
      <c r="C23" s="7"/>
      <c r="D23" s="13"/>
      <c r="E23" s="15"/>
      <c r="F23" s="11"/>
      <c r="G23" s="13"/>
      <c r="H23" s="17"/>
      <c r="I23" s="13"/>
      <c r="J23" s="15"/>
      <c r="K23" s="20" t="str">
        <f t="shared" si="0"/>
        <v/>
      </c>
      <c r="L23" s="21" t="str">
        <f t="shared" si="1"/>
        <v/>
      </c>
    </row>
    <row r="24" spans="1:12" ht="27" customHeight="1">
      <c r="A24" s="13"/>
      <c r="B24" s="13"/>
      <c r="C24" s="7"/>
      <c r="D24" s="13"/>
      <c r="E24" s="15"/>
      <c r="F24" s="11"/>
      <c r="G24" s="13"/>
      <c r="H24" s="17"/>
      <c r="I24" s="13"/>
      <c r="J24" s="15"/>
      <c r="K24" s="20" t="str">
        <f t="shared" si="0"/>
        <v/>
      </c>
      <c r="L24" s="21" t="str">
        <f t="shared" si="1"/>
        <v/>
      </c>
    </row>
    <row r="25" spans="1:12" ht="27" customHeight="1">
      <c r="A25" s="13"/>
      <c r="B25" s="13"/>
      <c r="C25" s="7"/>
      <c r="D25" s="13"/>
      <c r="E25" s="15"/>
      <c r="F25" s="11"/>
      <c r="G25" s="13"/>
      <c r="H25" s="17"/>
      <c r="I25" s="13"/>
      <c r="J25" s="15"/>
      <c r="K25" s="20" t="str">
        <f t="shared" si="0"/>
        <v/>
      </c>
      <c r="L25" s="21" t="str">
        <f t="shared" si="1"/>
        <v/>
      </c>
    </row>
    <row r="26" spans="1:12" ht="27" customHeight="1">
      <c r="A26" s="13"/>
      <c r="B26" s="13"/>
      <c r="C26" s="7"/>
      <c r="D26" s="13"/>
      <c r="E26" s="15"/>
      <c r="F26" s="11"/>
      <c r="G26" s="13"/>
      <c r="H26" s="17"/>
      <c r="I26" s="13"/>
      <c r="J26" s="15"/>
      <c r="K26" s="20" t="str">
        <f t="shared" si="0"/>
        <v/>
      </c>
      <c r="L26" s="21" t="str">
        <f t="shared" si="1"/>
        <v/>
      </c>
    </row>
    <row r="27" spans="1:12" ht="27" customHeight="1">
      <c r="A27" s="13"/>
      <c r="B27" s="13"/>
      <c r="C27" s="7"/>
      <c r="D27" s="13"/>
      <c r="E27" s="15"/>
      <c r="F27" s="11"/>
      <c r="G27" s="13"/>
      <c r="H27" s="17"/>
      <c r="I27" s="13"/>
      <c r="J27" s="15"/>
      <c r="K27" s="20" t="str">
        <f t="shared" si="0"/>
        <v/>
      </c>
      <c r="L27" s="21" t="str">
        <f t="shared" si="1"/>
        <v/>
      </c>
    </row>
    <row r="28" spans="1:12" ht="27" customHeight="1">
      <c r="A28" s="13"/>
      <c r="B28" s="13"/>
      <c r="C28" s="7"/>
      <c r="D28" s="13"/>
      <c r="E28" s="15"/>
      <c r="F28" s="11"/>
      <c r="G28" s="13"/>
      <c r="H28" s="17"/>
      <c r="I28" s="13"/>
      <c r="J28" s="15"/>
      <c r="K28" s="20" t="str">
        <f t="shared" si="0"/>
        <v/>
      </c>
      <c r="L28" s="21" t="str">
        <f t="shared" si="1"/>
        <v/>
      </c>
    </row>
    <row r="29" spans="1:12" ht="27" customHeight="1">
      <c r="A29" s="13"/>
      <c r="B29" s="13"/>
      <c r="C29" s="7"/>
      <c r="D29" s="13"/>
      <c r="E29" s="15"/>
      <c r="F29" s="11"/>
      <c r="G29" s="13"/>
      <c r="H29" s="17"/>
      <c r="I29" s="13"/>
      <c r="J29" s="15"/>
      <c r="K29" s="20" t="str">
        <f t="shared" si="0"/>
        <v/>
      </c>
      <c r="L29" s="21" t="str">
        <f t="shared" si="1"/>
        <v/>
      </c>
    </row>
    <row r="30" spans="1:12" ht="27" customHeight="1">
      <c r="A30" s="13"/>
      <c r="B30" s="13"/>
      <c r="C30" s="7"/>
      <c r="D30" s="13"/>
      <c r="E30" s="15"/>
      <c r="F30" s="11"/>
      <c r="G30" s="13"/>
      <c r="H30" s="17"/>
      <c r="I30" s="13"/>
      <c r="J30" s="15"/>
      <c r="K30" s="20" t="str">
        <f t="shared" si="0"/>
        <v/>
      </c>
      <c r="L30" s="21" t="str">
        <f t="shared" si="1"/>
        <v/>
      </c>
    </row>
    <row r="31" spans="1:12" ht="27" customHeight="1">
      <c r="A31" s="13"/>
      <c r="B31" s="13"/>
      <c r="C31" s="7"/>
      <c r="D31" s="13"/>
      <c r="E31" s="15"/>
      <c r="F31" s="11"/>
      <c r="G31" s="13"/>
      <c r="H31" s="17"/>
      <c r="I31" s="13"/>
      <c r="J31" s="15"/>
      <c r="K31" s="20" t="str">
        <f t="shared" si="0"/>
        <v/>
      </c>
      <c r="L31" s="21" t="str">
        <f t="shared" si="1"/>
        <v/>
      </c>
    </row>
    <row r="32" spans="1:12" ht="27" customHeight="1">
      <c r="A32" s="13"/>
      <c r="B32" s="13"/>
      <c r="C32" s="7"/>
      <c r="D32" s="13"/>
      <c r="E32" s="15"/>
      <c r="F32" s="11"/>
      <c r="G32" s="13"/>
      <c r="H32" s="17"/>
      <c r="I32" s="13"/>
      <c r="J32" s="15"/>
      <c r="K32" s="20" t="str">
        <f t="shared" si="0"/>
        <v/>
      </c>
      <c r="L32" s="21" t="str">
        <f t="shared" si="1"/>
        <v/>
      </c>
    </row>
    <row r="33" spans="1:12" ht="27" customHeight="1">
      <c r="A33" s="13"/>
      <c r="B33" s="13"/>
      <c r="C33" s="7"/>
      <c r="D33" s="13"/>
      <c r="E33" s="15"/>
      <c r="F33" s="11"/>
      <c r="G33" s="13"/>
      <c r="H33" s="17"/>
      <c r="I33" s="13"/>
      <c r="J33" s="15"/>
      <c r="K33" s="20" t="str">
        <f t="shared" si="0"/>
        <v/>
      </c>
      <c r="L33" s="21" t="str">
        <f t="shared" si="1"/>
        <v/>
      </c>
    </row>
    <row r="34" spans="1:12" ht="27" customHeight="1">
      <c r="A34" s="13"/>
      <c r="B34" s="13"/>
      <c r="C34" s="7"/>
      <c r="D34" s="13"/>
      <c r="E34" s="15"/>
      <c r="F34" s="11"/>
      <c r="G34" s="13"/>
      <c r="H34" s="17"/>
      <c r="I34" s="13"/>
      <c r="J34" s="15"/>
      <c r="K34" s="20" t="str">
        <f t="shared" si="0"/>
        <v/>
      </c>
      <c r="L34" s="21" t="str">
        <f t="shared" si="1"/>
        <v/>
      </c>
    </row>
    <row r="35" spans="1:12" ht="27" customHeight="1">
      <c r="A35" s="13"/>
      <c r="B35" s="13"/>
      <c r="C35" s="7"/>
      <c r="D35" s="13"/>
      <c r="E35" s="15"/>
      <c r="F35" s="11"/>
      <c r="G35" s="13"/>
      <c r="H35" s="17"/>
      <c r="I35" s="13"/>
      <c r="J35" s="15"/>
      <c r="K35" s="20" t="str">
        <f t="shared" si="0"/>
        <v/>
      </c>
      <c r="L35" s="21" t="str">
        <f t="shared" si="1"/>
        <v/>
      </c>
    </row>
    <row r="36" spans="1:12" ht="27" customHeight="1">
      <c r="A36" s="13"/>
      <c r="B36" s="13"/>
      <c r="C36" s="7"/>
      <c r="D36" s="13"/>
      <c r="E36" s="15"/>
      <c r="F36" s="11"/>
      <c r="G36" s="13"/>
      <c r="H36" s="17"/>
      <c r="I36" s="13"/>
      <c r="J36" s="15"/>
      <c r="K36" s="20" t="str">
        <f t="shared" si="0"/>
        <v/>
      </c>
      <c r="L36" s="21" t="str">
        <f t="shared" si="1"/>
        <v/>
      </c>
    </row>
    <row r="37" spans="1:12" ht="27" customHeight="1">
      <c r="A37" s="13"/>
      <c r="B37" s="13"/>
      <c r="C37" s="7"/>
      <c r="D37" s="13"/>
      <c r="E37" s="15"/>
      <c r="F37" s="11"/>
      <c r="G37" s="13"/>
      <c r="H37" s="17"/>
      <c r="I37" s="13"/>
      <c r="J37" s="15"/>
      <c r="K37" s="20" t="str">
        <f t="shared" si="0"/>
        <v/>
      </c>
      <c r="L37" s="21" t="str">
        <f t="shared" si="1"/>
        <v/>
      </c>
    </row>
    <row r="38" spans="1:12" ht="27" customHeight="1">
      <c r="A38" s="13"/>
      <c r="B38" s="13"/>
      <c r="C38" s="7"/>
      <c r="D38" s="13"/>
      <c r="E38" s="15"/>
      <c r="F38" s="11"/>
      <c r="G38" s="13"/>
      <c r="H38" s="17"/>
      <c r="I38" s="13"/>
      <c r="J38" s="15"/>
      <c r="K38" s="20" t="str">
        <f t="shared" si="0"/>
        <v/>
      </c>
      <c r="L38" s="21" t="str">
        <f t="shared" si="1"/>
        <v/>
      </c>
    </row>
    <row r="39" spans="1:12" ht="27" customHeight="1">
      <c r="A39" s="13"/>
      <c r="B39" s="13"/>
      <c r="C39" s="7"/>
      <c r="D39" s="13"/>
      <c r="E39" s="15"/>
      <c r="F39" s="11"/>
      <c r="G39" s="13"/>
      <c r="H39" s="17"/>
      <c r="I39" s="13"/>
      <c r="J39" s="15"/>
      <c r="K39" s="20" t="str">
        <f t="shared" si="0"/>
        <v/>
      </c>
      <c r="L39" s="21" t="str">
        <f t="shared" si="1"/>
        <v/>
      </c>
    </row>
    <row r="40" spans="1:12" ht="27" customHeight="1">
      <c r="A40" s="13"/>
      <c r="B40" s="13"/>
      <c r="C40" s="7"/>
      <c r="D40" s="13"/>
      <c r="E40" s="15"/>
      <c r="F40" s="11"/>
      <c r="G40" s="13"/>
      <c r="H40" s="17"/>
      <c r="I40" s="13"/>
      <c r="J40" s="15"/>
      <c r="K40" s="20" t="str">
        <f t="shared" ref="K40:K71" si="2">IF(C40="","",IF(G40="已完成",0,E40-$C$3))</f>
        <v/>
      </c>
      <c r="L40" s="21" t="str">
        <f t="shared" ref="L40:L71" si="3">IF(C40="","",IF(G40="已完成","已完成",IF(E40&lt;$C$3,"已逾期",IF(E40-$C$3&lt;=3,"即將到期","正常"))))</f>
        <v/>
      </c>
    </row>
    <row r="41" spans="1:12" ht="27" customHeight="1">
      <c r="A41" s="13"/>
      <c r="B41" s="13"/>
      <c r="C41" s="7"/>
      <c r="D41" s="13"/>
      <c r="E41" s="15"/>
      <c r="F41" s="11"/>
      <c r="G41" s="13"/>
      <c r="H41" s="17"/>
      <c r="I41" s="13"/>
      <c r="J41" s="15"/>
      <c r="K41" s="20" t="str">
        <f t="shared" si="2"/>
        <v/>
      </c>
      <c r="L41" s="21" t="str">
        <f t="shared" si="3"/>
        <v/>
      </c>
    </row>
    <row r="42" spans="1:12" ht="27" customHeight="1">
      <c r="A42" s="13"/>
      <c r="B42" s="13"/>
      <c r="C42" s="7"/>
      <c r="D42" s="13"/>
      <c r="E42" s="15"/>
      <c r="F42" s="11"/>
      <c r="G42" s="13"/>
      <c r="H42" s="17"/>
      <c r="I42" s="13"/>
      <c r="J42" s="15"/>
      <c r="K42" s="20" t="str">
        <f t="shared" si="2"/>
        <v/>
      </c>
      <c r="L42" s="21" t="str">
        <f t="shared" si="3"/>
        <v/>
      </c>
    </row>
    <row r="43" spans="1:12" ht="27" customHeight="1">
      <c r="A43" s="13"/>
      <c r="B43" s="13"/>
      <c r="C43" s="7"/>
      <c r="D43" s="13"/>
      <c r="E43" s="15"/>
      <c r="F43" s="11"/>
      <c r="G43" s="13"/>
      <c r="H43" s="17"/>
      <c r="I43" s="13"/>
      <c r="J43" s="15"/>
      <c r="K43" s="20" t="str">
        <f t="shared" si="2"/>
        <v/>
      </c>
      <c r="L43" s="21" t="str">
        <f t="shared" si="3"/>
        <v/>
      </c>
    </row>
    <row r="44" spans="1:12" ht="27" customHeight="1">
      <c r="A44" s="13"/>
      <c r="B44" s="13"/>
      <c r="C44" s="7"/>
      <c r="D44" s="13"/>
      <c r="E44" s="15"/>
      <c r="F44" s="11"/>
      <c r="G44" s="13"/>
      <c r="H44" s="17"/>
      <c r="I44" s="13"/>
      <c r="J44" s="15"/>
      <c r="K44" s="20" t="str">
        <f t="shared" si="2"/>
        <v/>
      </c>
      <c r="L44" s="21" t="str">
        <f t="shared" si="3"/>
        <v/>
      </c>
    </row>
    <row r="45" spans="1:12" ht="27" customHeight="1">
      <c r="A45" s="13"/>
      <c r="B45" s="13"/>
      <c r="C45" s="7"/>
      <c r="D45" s="13"/>
      <c r="E45" s="15"/>
      <c r="F45" s="11"/>
      <c r="G45" s="13"/>
      <c r="H45" s="17"/>
      <c r="I45" s="13"/>
      <c r="J45" s="15"/>
      <c r="K45" s="20" t="str">
        <f t="shared" si="2"/>
        <v/>
      </c>
      <c r="L45" s="21" t="str">
        <f t="shared" si="3"/>
        <v/>
      </c>
    </row>
    <row r="46" spans="1:12" ht="27" customHeight="1">
      <c r="A46" s="13"/>
      <c r="B46" s="13"/>
      <c r="C46" s="7"/>
      <c r="D46" s="13"/>
      <c r="E46" s="15"/>
      <c r="F46" s="11"/>
      <c r="G46" s="13"/>
      <c r="H46" s="17"/>
      <c r="I46" s="13"/>
      <c r="J46" s="15"/>
      <c r="K46" s="20" t="str">
        <f t="shared" si="2"/>
        <v/>
      </c>
      <c r="L46" s="21" t="str">
        <f t="shared" si="3"/>
        <v/>
      </c>
    </row>
    <row r="47" spans="1:12" ht="27" customHeight="1">
      <c r="A47" s="13"/>
      <c r="B47" s="13"/>
      <c r="C47" s="7"/>
      <c r="D47" s="13"/>
      <c r="E47" s="15"/>
      <c r="F47" s="11"/>
      <c r="G47" s="13"/>
      <c r="H47" s="17"/>
      <c r="I47" s="13"/>
      <c r="J47" s="15"/>
      <c r="K47" s="20" t="str">
        <f t="shared" si="2"/>
        <v/>
      </c>
      <c r="L47" s="21" t="str">
        <f t="shared" si="3"/>
        <v/>
      </c>
    </row>
    <row r="48" spans="1:12" ht="27" customHeight="1">
      <c r="A48" s="13"/>
      <c r="B48" s="13"/>
      <c r="C48" s="7"/>
      <c r="D48" s="13"/>
      <c r="E48" s="15"/>
      <c r="F48" s="11"/>
      <c r="G48" s="13"/>
      <c r="H48" s="17"/>
      <c r="I48" s="13"/>
      <c r="J48" s="15"/>
      <c r="K48" s="20" t="str">
        <f t="shared" si="2"/>
        <v/>
      </c>
      <c r="L48" s="21" t="str">
        <f t="shared" si="3"/>
        <v/>
      </c>
    </row>
    <row r="49" spans="1:12" ht="27" customHeight="1">
      <c r="A49" s="13"/>
      <c r="B49" s="13"/>
      <c r="C49" s="7"/>
      <c r="D49" s="13"/>
      <c r="E49" s="15"/>
      <c r="F49" s="11"/>
      <c r="G49" s="13"/>
      <c r="H49" s="17"/>
      <c r="I49" s="13"/>
      <c r="J49" s="15"/>
      <c r="K49" s="20" t="str">
        <f t="shared" si="2"/>
        <v/>
      </c>
      <c r="L49" s="21" t="str">
        <f t="shared" si="3"/>
        <v/>
      </c>
    </row>
    <row r="50" spans="1:12" ht="27" customHeight="1">
      <c r="A50" s="13"/>
      <c r="B50" s="13"/>
      <c r="C50" s="7"/>
      <c r="D50" s="13"/>
      <c r="E50" s="15"/>
      <c r="F50" s="11"/>
      <c r="G50" s="13"/>
      <c r="H50" s="17"/>
      <c r="I50" s="13"/>
      <c r="J50" s="15"/>
      <c r="K50" s="20" t="str">
        <f t="shared" si="2"/>
        <v/>
      </c>
      <c r="L50" s="21" t="str">
        <f t="shared" si="3"/>
        <v/>
      </c>
    </row>
    <row r="51" spans="1:12" ht="27" customHeight="1">
      <c r="A51" s="13"/>
      <c r="B51" s="13"/>
      <c r="C51" s="7"/>
      <c r="D51" s="13"/>
      <c r="E51" s="15"/>
      <c r="F51" s="11"/>
      <c r="G51" s="13"/>
      <c r="H51" s="17"/>
      <c r="I51" s="13"/>
      <c r="J51" s="15"/>
      <c r="K51" s="20" t="str">
        <f t="shared" si="2"/>
        <v/>
      </c>
      <c r="L51" s="21" t="str">
        <f t="shared" si="3"/>
        <v/>
      </c>
    </row>
    <row r="52" spans="1:12" ht="27" customHeight="1">
      <c r="A52" s="13"/>
      <c r="B52" s="13"/>
      <c r="C52" s="7"/>
      <c r="D52" s="13"/>
      <c r="E52" s="15"/>
      <c r="F52" s="11"/>
      <c r="G52" s="13"/>
      <c r="H52" s="17"/>
      <c r="I52" s="13"/>
      <c r="J52" s="15"/>
      <c r="K52" s="20" t="str">
        <f t="shared" si="2"/>
        <v/>
      </c>
      <c r="L52" s="21" t="str">
        <f t="shared" si="3"/>
        <v/>
      </c>
    </row>
    <row r="53" spans="1:12" ht="27" customHeight="1">
      <c r="A53" s="13"/>
      <c r="B53" s="13"/>
      <c r="C53" s="7"/>
      <c r="D53" s="13"/>
      <c r="E53" s="15"/>
      <c r="F53" s="11"/>
      <c r="G53" s="13"/>
      <c r="H53" s="17"/>
      <c r="I53" s="13"/>
      <c r="J53" s="15"/>
      <c r="K53" s="20" t="str">
        <f t="shared" si="2"/>
        <v/>
      </c>
      <c r="L53" s="21" t="str">
        <f t="shared" si="3"/>
        <v/>
      </c>
    </row>
    <row r="54" spans="1:12" ht="27" customHeight="1">
      <c r="A54" s="13"/>
      <c r="B54" s="13"/>
      <c r="C54" s="7"/>
      <c r="D54" s="13"/>
      <c r="E54" s="15"/>
      <c r="F54" s="11"/>
      <c r="G54" s="13"/>
      <c r="H54" s="17"/>
      <c r="I54" s="13"/>
      <c r="J54" s="15"/>
      <c r="K54" s="20" t="str">
        <f t="shared" si="2"/>
        <v/>
      </c>
      <c r="L54" s="21" t="str">
        <f t="shared" si="3"/>
        <v/>
      </c>
    </row>
    <row r="55" spans="1:12" ht="27" customHeight="1">
      <c r="A55" s="13"/>
      <c r="B55" s="13"/>
      <c r="C55" s="7"/>
      <c r="D55" s="13"/>
      <c r="E55" s="15"/>
      <c r="F55" s="11"/>
      <c r="G55" s="13"/>
      <c r="H55" s="17"/>
      <c r="I55" s="13"/>
      <c r="J55" s="15"/>
      <c r="K55" s="20" t="str">
        <f t="shared" si="2"/>
        <v/>
      </c>
      <c r="L55" s="21" t="str">
        <f t="shared" si="3"/>
        <v/>
      </c>
    </row>
    <row r="56" spans="1:12" ht="27" customHeight="1">
      <c r="A56" s="13"/>
      <c r="B56" s="13"/>
      <c r="C56" s="7"/>
      <c r="D56" s="13"/>
      <c r="E56" s="15"/>
      <c r="F56" s="11"/>
      <c r="G56" s="13"/>
      <c r="H56" s="17"/>
      <c r="I56" s="13"/>
      <c r="J56" s="15"/>
      <c r="K56" s="20" t="str">
        <f t="shared" si="2"/>
        <v/>
      </c>
      <c r="L56" s="21" t="str">
        <f t="shared" si="3"/>
        <v/>
      </c>
    </row>
    <row r="57" spans="1:12" ht="27" customHeight="1">
      <c r="A57" s="13"/>
      <c r="B57" s="13"/>
      <c r="C57" s="7"/>
      <c r="D57" s="13"/>
      <c r="E57" s="15"/>
      <c r="F57" s="11"/>
      <c r="G57" s="13"/>
      <c r="H57" s="17"/>
      <c r="I57" s="13"/>
      <c r="J57" s="15"/>
      <c r="K57" s="20" t="str">
        <f t="shared" si="2"/>
        <v/>
      </c>
      <c r="L57" s="21" t="str">
        <f t="shared" si="3"/>
        <v/>
      </c>
    </row>
    <row r="58" spans="1:12" ht="27" customHeight="1">
      <c r="A58" s="13"/>
      <c r="B58" s="13"/>
      <c r="C58" s="7"/>
      <c r="D58" s="13"/>
      <c r="E58" s="15"/>
      <c r="F58" s="11"/>
      <c r="G58" s="13"/>
      <c r="H58" s="17"/>
      <c r="I58" s="13"/>
      <c r="J58" s="15"/>
      <c r="K58" s="20" t="str">
        <f t="shared" si="2"/>
        <v/>
      </c>
      <c r="L58" s="21" t="str">
        <f t="shared" si="3"/>
        <v/>
      </c>
    </row>
    <row r="59" spans="1:12" ht="27" customHeight="1">
      <c r="A59" s="13"/>
      <c r="B59" s="13"/>
      <c r="C59" s="7"/>
      <c r="D59" s="13"/>
      <c r="E59" s="15"/>
      <c r="F59" s="11"/>
      <c r="G59" s="13"/>
      <c r="H59" s="17"/>
      <c r="I59" s="13"/>
      <c r="J59" s="15"/>
      <c r="K59" s="20" t="str">
        <f t="shared" si="2"/>
        <v/>
      </c>
      <c r="L59" s="21" t="str">
        <f t="shared" si="3"/>
        <v/>
      </c>
    </row>
    <row r="60" spans="1:12" ht="27" customHeight="1">
      <c r="A60" s="13"/>
      <c r="B60" s="13"/>
      <c r="C60" s="7"/>
      <c r="D60" s="13"/>
      <c r="E60" s="15"/>
      <c r="F60" s="11"/>
      <c r="G60" s="13"/>
      <c r="H60" s="17"/>
      <c r="I60" s="13"/>
      <c r="J60" s="15"/>
      <c r="K60" s="20" t="str">
        <f t="shared" si="2"/>
        <v/>
      </c>
      <c r="L60" s="21" t="str">
        <f t="shared" si="3"/>
        <v/>
      </c>
    </row>
    <row r="61" spans="1:12" ht="27" customHeight="1">
      <c r="A61" s="13"/>
      <c r="B61" s="13"/>
      <c r="C61" s="7"/>
      <c r="D61" s="13"/>
      <c r="E61" s="15"/>
      <c r="F61" s="11"/>
      <c r="G61" s="13"/>
      <c r="H61" s="17"/>
      <c r="I61" s="13"/>
      <c r="J61" s="15"/>
      <c r="K61" s="20" t="str">
        <f t="shared" si="2"/>
        <v/>
      </c>
      <c r="L61" s="21" t="str">
        <f t="shared" si="3"/>
        <v/>
      </c>
    </row>
    <row r="62" spans="1:12" ht="27" customHeight="1">
      <c r="A62" s="13"/>
      <c r="B62" s="13"/>
      <c r="C62" s="7"/>
      <c r="D62" s="13"/>
      <c r="E62" s="15"/>
      <c r="F62" s="11"/>
      <c r="G62" s="13"/>
      <c r="H62" s="17"/>
      <c r="I62" s="13"/>
      <c r="J62" s="15"/>
      <c r="K62" s="20" t="str">
        <f t="shared" si="2"/>
        <v/>
      </c>
      <c r="L62" s="21" t="str">
        <f t="shared" si="3"/>
        <v/>
      </c>
    </row>
    <row r="63" spans="1:12" ht="27" customHeight="1">
      <c r="A63" s="13"/>
      <c r="B63" s="13"/>
      <c r="C63" s="7"/>
      <c r="D63" s="13"/>
      <c r="E63" s="15"/>
      <c r="F63" s="11"/>
      <c r="G63" s="13"/>
      <c r="H63" s="17"/>
      <c r="I63" s="13"/>
      <c r="J63" s="15"/>
      <c r="K63" s="20" t="str">
        <f t="shared" si="2"/>
        <v/>
      </c>
      <c r="L63" s="21" t="str">
        <f t="shared" si="3"/>
        <v/>
      </c>
    </row>
    <row r="64" spans="1:12" ht="27" customHeight="1">
      <c r="A64" s="13"/>
      <c r="B64" s="13"/>
      <c r="C64" s="7"/>
      <c r="D64" s="13"/>
      <c r="E64" s="15"/>
      <c r="F64" s="11"/>
      <c r="G64" s="13"/>
      <c r="H64" s="17"/>
      <c r="I64" s="13"/>
      <c r="J64" s="15"/>
      <c r="K64" s="20" t="str">
        <f t="shared" si="2"/>
        <v/>
      </c>
      <c r="L64" s="21" t="str">
        <f t="shared" si="3"/>
        <v/>
      </c>
    </row>
    <row r="65" spans="1:12" ht="27" customHeight="1">
      <c r="A65" s="13"/>
      <c r="B65" s="13"/>
      <c r="C65" s="7"/>
      <c r="D65" s="13"/>
      <c r="E65" s="15"/>
      <c r="F65" s="11"/>
      <c r="G65" s="13"/>
      <c r="H65" s="17"/>
      <c r="I65" s="13"/>
      <c r="J65" s="15"/>
      <c r="K65" s="20" t="str">
        <f t="shared" si="2"/>
        <v/>
      </c>
      <c r="L65" s="21" t="str">
        <f t="shared" si="3"/>
        <v/>
      </c>
    </row>
    <row r="66" spans="1:12" ht="27" customHeight="1">
      <c r="A66" s="13"/>
      <c r="B66" s="13"/>
      <c r="C66" s="7"/>
      <c r="D66" s="13"/>
      <c r="E66" s="15"/>
      <c r="F66" s="11"/>
      <c r="G66" s="13"/>
      <c r="H66" s="17"/>
      <c r="I66" s="13"/>
      <c r="J66" s="15"/>
      <c r="K66" s="20" t="str">
        <f t="shared" si="2"/>
        <v/>
      </c>
      <c r="L66" s="21" t="str">
        <f t="shared" si="3"/>
        <v/>
      </c>
    </row>
    <row r="67" spans="1:12" ht="27" customHeight="1">
      <c r="A67" s="13"/>
      <c r="B67" s="13"/>
      <c r="C67" s="7"/>
      <c r="D67" s="13"/>
      <c r="E67" s="15"/>
      <c r="F67" s="11"/>
      <c r="G67" s="13"/>
      <c r="H67" s="17"/>
      <c r="I67" s="13"/>
      <c r="J67" s="15"/>
      <c r="K67" s="20" t="str">
        <f t="shared" si="2"/>
        <v/>
      </c>
      <c r="L67" s="21" t="str">
        <f t="shared" si="3"/>
        <v/>
      </c>
    </row>
    <row r="68" spans="1:12" ht="27" customHeight="1">
      <c r="A68" s="13"/>
      <c r="B68" s="13"/>
      <c r="C68" s="7"/>
      <c r="D68" s="13"/>
      <c r="E68" s="15"/>
      <c r="F68" s="11"/>
      <c r="G68" s="13"/>
      <c r="H68" s="17"/>
      <c r="I68" s="13"/>
      <c r="J68" s="15"/>
      <c r="K68" s="20" t="str">
        <f t="shared" si="2"/>
        <v/>
      </c>
      <c r="L68" s="21" t="str">
        <f t="shared" si="3"/>
        <v/>
      </c>
    </row>
    <row r="69" spans="1:12" ht="27" customHeight="1">
      <c r="A69" s="13"/>
      <c r="B69" s="13"/>
      <c r="C69" s="7"/>
      <c r="D69" s="13"/>
      <c r="E69" s="15"/>
      <c r="F69" s="11"/>
      <c r="G69" s="13"/>
      <c r="H69" s="17"/>
      <c r="I69" s="13"/>
      <c r="J69" s="15"/>
      <c r="K69" s="20" t="str">
        <f t="shared" si="2"/>
        <v/>
      </c>
      <c r="L69" s="21" t="str">
        <f t="shared" si="3"/>
        <v/>
      </c>
    </row>
    <row r="70" spans="1:12" ht="27" customHeight="1">
      <c r="A70" s="13"/>
      <c r="B70" s="13"/>
      <c r="C70" s="7"/>
      <c r="D70" s="13"/>
      <c r="E70" s="15"/>
      <c r="F70" s="11"/>
      <c r="G70" s="13"/>
      <c r="H70" s="17"/>
      <c r="I70" s="13"/>
      <c r="J70" s="15"/>
      <c r="K70" s="20" t="str">
        <f t="shared" si="2"/>
        <v/>
      </c>
      <c r="L70" s="21" t="str">
        <f t="shared" si="3"/>
        <v/>
      </c>
    </row>
    <row r="71" spans="1:12" ht="27" customHeight="1">
      <c r="A71" s="13"/>
      <c r="B71" s="13"/>
      <c r="C71" s="7"/>
      <c r="D71" s="13"/>
      <c r="E71" s="15"/>
      <c r="F71" s="11"/>
      <c r="G71" s="13"/>
      <c r="H71" s="17"/>
      <c r="I71" s="13"/>
      <c r="J71" s="15"/>
      <c r="K71" s="20" t="str">
        <f t="shared" si="2"/>
        <v/>
      </c>
      <c r="L71" s="21" t="str">
        <f t="shared" si="3"/>
        <v/>
      </c>
    </row>
    <row r="72" spans="1:12" ht="27" customHeight="1">
      <c r="A72" s="13"/>
      <c r="B72" s="13"/>
      <c r="C72" s="7"/>
      <c r="D72" s="13"/>
      <c r="E72" s="15"/>
      <c r="F72" s="11"/>
      <c r="G72" s="13"/>
      <c r="H72" s="17"/>
      <c r="I72" s="13"/>
      <c r="J72" s="15"/>
      <c r="K72" s="20" t="str">
        <f t="shared" ref="K72:K100" si="4">IF(C72="","",IF(G72="已完成",0,E72-$C$3))</f>
        <v/>
      </c>
      <c r="L72" s="21" t="str">
        <f t="shared" ref="L72:L100" si="5">IF(C72="","",IF(G72="已完成","已完成",IF(E72&lt;$C$3,"已逾期",IF(E72-$C$3&lt;=3,"即將到期","正常"))))</f>
        <v/>
      </c>
    </row>
    <row r="73" spans="1:12" ht="27" customHeight="1">
      <c r="A73" s="13"/>
      <c r="B73" s="13"/>
      <c r="C73" s="7"/>
      <c r="D73" s="13"/>
      <c r="E73" s="15"/>
      <c r="F73" s="11"/>
      <c r="G73" s="13"/>
      <c r="H73" s="17"/>
      <c r="I73" s="13"/>
      <c r="J73" s="15"/>
      <c r="K73" s="20" t="str">
        <f t="shared" si="4"/>
        <v/>
      </c>
      <c r="L73" s="21" t="str">
        <f t="shared" si="5"/>
        <v/>
      </c>
    </row>
    <row r="74" spans="1:12" ht="27" customHeight="1">
      <c r="A74" s="13"/>
      <c r="B74" s="13"/>
      <c r="C74" s="7"/>
      <c r="D74" s="13"/>
      <c r="E74" s="15"/>
      <c r="F74" s="11"/>
      <c r="G74" s="13"/>
      <c r="H74" s="17"/>
      <c r="I74" s="13"/>
      <c r="J74" s="15"/>
      <c r="K74" s="20" t="str">
        <f t="shared" si="4"/>
        <v/>
      </c>
      <c r="L74" s="21" t="str">
        <f t="shared" si="5"/>
        <v/>
      </c>
    </row>
    <row r="75" spans="1:12" ht="27" customHeight="1">
      <c r="A75" s="13"/>
      <c r="B75" s="13"/>
      <c r="C75" s="7"/>
      <c r="D75" s="13"/>
      <c r="E75" s="15"/>
      <c r="F75" s="11"/>
      <c r="G75" s="13"/>
      <c r="H75" s="17"/>
      <c r="I75" s="13"/>
      <c r="J75" s="15"/>
      <c r="K75" s="20" t="str">
        <f t="shared" si="4"/>
        <v/>
      </c>
      <c r="L75" s="21" t="str">
        <f t="shared" si="5"/>
        <v/>
      </c>
    </row>
    <row r="76" spans="1:12" ht="27" customHeight="1">
      <c r="A76" s="13"/>
      <c r="B76" s="13"/>
      <c r="C76" s="7"/>
      <c r="D76" s="13"/>
      <c r="E76" s="15"/>
      <c r="F76" s="11"/>
      <c r="G76" s="13"/>
      <c r="H76" s="17"/>
      <c r="I76" s="13"/>
      <c r="J76" s="15"/>
      <c r="K76" s="20" t="str">
        <f t="shared" si="4"/>
        <v/>
      </c>
      <c r="L76" s="21" t="str">
        <f t="shared" si="5"/>
        <v/>
      </c>
    </row>
    <row r="77" spans="1:12" ht="27" customHeight="1">
      <c r="A77" s="13"/>
      <c r="B77" s="13"/>
      <c r="C77" s="7"/>
      <c r="D77" s="13"/>
      <c r="E77" s="15"/>
      <c r="F77" s="11"/>
      <c r="G77" s="13"/>
      <c r="H77" s="17"/>
      <c r="I77" s="13"/>
      <c r="J77" s="15"/>
      <c r="K77" s="20" t="str">
        <f t="shared" si="4"/>
        <v/>
      </c>
      <c r="L77" s="21" t="str">
        <f t="shared" si="5"/>
        <v/>
      </c>
    </row>
    <row r="78" spans="1:12" ht="27" customHeight="1">
      <c r="A78" s="13"/>
      <c r="B78" s="13"/>
      <c r="C78" s="7"/>
      <c r="D78" s="13"/>
      <c r="E78" s="15"/>
      <c r="F78" s="11"/>
      <c r="G78" s="13"/>
      <c r="H78" s="17"/>
      <c r="I78" s="13"/>
      <c r="J78" s="15"/>
      <c r="K78" s="20" t="str">
        <f t="shared" si="4"/>
        <v/>
      </c>
      <c r="L78" s="21" t="str">
        <f t="shared" si="5"/>
        <v/>
      </c>
    </row>
    <row r="79" spans="1:12" ht="27" customHeight="1">
      <c r="A79" s="13"/>
      <c r="B79" s="13"/>
      <c r="C79" s="7"/>
      <c r="D79" s="13"/>
      <c r="E79" s="15"/>
      <c r="F79" s="11"/>
      <c r="G79" s="13"/>
      <c r="H79" s="17"/>
      <c r="I79" s="13"/>
      <c r="J79" s="15"/>
      <c r="K79" s="20" t="str">
        <f t="shared" si="4"/>
        <v/>
      </c>
      <c r="L79" s="21" t="str">
        <f t="shared" si="5"/>
        <v/>
      </c>
    </row>
    <row r="80" spans="1:12" ht="27" customHeight="1">
      <c r="A80" s="13"/>
      <c r="B80" s="13"/>
      <c r="C80" s="7"/>
      <c r="D80" s="13"/>
      <c r="E80" s="15"/>
      <c r="F80" s="11"/>
      <c r="G80" s="13"/>
      <c r="H80" s="17"/>
      <c r="I80" s="13"/>
      <c r="J80" s="15"/>
      <c r="K80" s="20" t="str">
        <f t="shared" si="4"/>
        <v/>
      </c>
      <c r="L80" s="21" t="str">
        <f t="shared" si="5"/>
        <v/>
      </c>
    </row>
    <row r="81" spans="1:12" ht="27" customHeight="1">
      <c r="A81" s="13"/>
      <c r="B81" s="13"/>
      <c r="C81" s="7"/>
      <c r="D81" s="13"/>
      <c r="E81" s="15"/>
      <c r="F81" s="11"/>
      <c r="G81" s="13"/>
      <c r="H81" s="17"/>
      <c r="I81" s="13"/>
      <c r="J81" s="15"/>
      <c r="K81" s="20" t="str">
        <f t="shared" si="4"/>
        <v/>
      </c>
      <c r="L81" s="21" t="str">
        <f t="shared" si="5"/>
        <v/>
      </c>
    </row>
    <row r="82" spans="1:12" ht="27" customHeight="1">
      <c r="A82" s="13"/>
      <c r="B82" s="13"/>
      <c r="C82" s="7"/>
      <c r="D82" s="13"/>
      <c r="E82" s="15"/>
      <c r="F82" s="11"/>
      <c r="G82" s="13"/>
      <c r="H82" s="17"/>
      <c r="I82" s="13"/>
      <c r="J82" s="15"/>
      <c r="K82" s="20" t="str">
        <f t="shared" si="4"/>
        <v/>
      </c>
      <c r="L82" s="21" t="str">
        <f t="shared" si="5"/>
        <v/>
      </c>
    </row>
    <row r="83" spans="1:12" ht="27" customHeight="1">
      <c r="A83" s="13"/>
      <c r="B83" s="13"/>
      <c r="C83" s="7"/>
      <c r="D83" s="13"/>
      <c r="E83" s="15"/>
      <c r="F83" s="11"/>
      <c r="G83" s="13"/>
      <c r="H83" s="17"/>
      <c r="I83" s="13"/>
      <c r="J83" s="15"/>
      <c r="K83" s="20" t="str">
        <f t="shared" si="4"/>
        <v/>
      </c>
      <c r="L83" s="21" t="str">
        <f t="shared" si="5"/>
        <v/>
      </c>
    </row>
    <row r="84" spans="1:12" ht="27" customHeight="1">
      <c r="A84" s="13"/>
      <c r="B84" s="13"/>
      <c r="C84" s="7"/>
      <c r="D84" s="13"/>
      <c r="E84" s="15"/>
      <c r="F84" s="11"/>
      <c r="G84" s="13"/>
      <c r="H84" s="17"/>
      <c r="I84" s="13"/>
      <c r="J84" s="15"/>
      <c r="K84" s="20" t="str">
        <f t="shared" si="4"/>
        <v/>
      </c>
      <c r="L84" s="21" t="str">
        <f t="shared" si="5"/>
        <v/>
      </c>
    </row>
    <row r="85" spans="1:12" ht="27" customHeight="1">
      <c r="A85" s="13"/>
      <c r="B85" s="13"/>
      <c r="C85" s="7"/>
      <c r="D85" s="13"/>
      <c r="E85" s="15"/>
      <c r="F85" s="11"/>
      <c r="G85" s="13"/>
      <c r="H85" s="17"/>
      <c r="I85" s="13"/>
      <c r="J85" s="15"/>
      <c r="K85" s="20" t="str">
        <f t="shared" si="4"/>
        <v/>
      </c>
      <c r="L85" s="21" t="str">
        <f t="shared" si="5"/>
        <v/>
      </c>
    </row>
    <row r="86" spans="1:12" ht="27" customHeight="1">
      <c r="A86" s="13"/>
      <c r="B86" s="13"/>
      <c r="C86" s="7"/>
      <c r="D86" s="13"/>
      <c r="E86" s="15"/>
      <c r="F86" s="11"/>
      <c r="G86" s="13"/>
      <c r="H86" s="17"/>
      <c r="I86" s="13"/>
      <c r="J86" s="15"/>
      <c r="K86" s="20" t="str">
        <f t="shared" si="4"/>
        <v/>
      </c>
      <c r="L86" s="21" t="str">
        <f t="shared" si="5"/>
        <v/>
      </c>
    </row>
    <row r="87" spans="1:12" ht="27" customHeight="1">
      <c r="A87" s="13"/>
      <c r="B87" s="13"/>
      <c r="C87" s="7"/>
      <c r="D87" s="13"/>
      <c r="E87" s="15"/>
      <c r="F87" s="11"/>
      <c r="G87" s="13"/>
      <c r="H87" s="17"/>
      <c r="I87" s="13"/>
      <c r="J87" s="15"/>
      <c r="K87" s="20" t="str">
        <f t="shared" si="4"/>
        <v/>
      </c>
      <c r="L87" s="21" t="str">
        <f t="shared" si="5"/>
        <v/>
      </c>
    </row>
    <row r="88" spans="1:12" ht="27" customHeight="1">
      <c r="A88" s="13"/>
      <c r="B88" s="13"/>
      <c r="C88" s="7"/>
      <c r="D88" s="13"/>
      <c r="E88" s="15"/>
      <c r="F88" s="11"/>
      <c r="G88" s="13"/>
      <c r="H88" s="17"/>
      <c r="I88" s="13"/>
      <c r="J88" s="15"/>
      <c r="K88" s="20" t="str">
        <f t="shared" si="4"/>
        <v/>
      </c>
      <c r="L88" s="21" t="str">
        <f t="shared" si="5"/>
        <v/>
      </c>
    </row>
    <row r="89" spans="1:12" ht="27" customHeight="1">
      <c r="A89" s="13"/>
      <c r="B89" s="13"/>
      <c r="C89" s="7"/>
      <c r="D89" s="13"/>
      <c r="E89" s="15"/>
      <c r="F89" s="11"/>
      <c r="G89" s="13"/>
      <c r="H89" s="17"/>
      <c r="I89" s="13"/>
      <c r="J89" s="15"/>
      <c r="K89" s="20" t="str">
        <f t="shared" si="4"/>
        <v/>
      </c>
      <c r="L89" s="21" t="str">
        <f t="shared" si="5"/>
        <v/>
      </c>
    </row>
    <row r="90" spans="1:12" ht="27" customHeight="1">
      <c r="A90" s="13"/>
      <c r="B90" s="13"/>
      <c r="C90" s="7"/>
      <c r="D90" s="13"/>
      <c r="E90" s="15"/>
      <c r="F90" s="11"/>
      <c r="G90" s="13"/>
      <c r="H90" s="17"/>
      <c r="I90" s="13"/>
      <c r="J90" s="15"/>
      <c r="K90" s="20" t="str">
        <f t="shared" si="4"/>
        <v/>
      </c>
      <c r="L90" s="21" t="str">
        <f t="shared" si="5"/>
        <v/>
      </c>
    </row>
    <row r="91" spans="1:12" ht="27" customHeight="1">
      <c r="A91" s="13"/>
      <c r="B91" s="13"/>
      <c r="C91" s="7"/>
      <c r="D91" s="13"/>
      <c r="E91" s="15"/>
      <c r="F91" s="11"/>
      <c r="G91" s="13"/>
      <c r="H91" s="17"/>
      <c r="I91" s="13"/>
      <c r="J91" s="15"/>
      <c r="K91" s="20" t="str">
        <f t="shared" si="4"/>
        <v/>
      </c>
      <c r="L91" s="21" t="str">
        <f t="shared" si="5"/>
        <v/>
      </c>
    </row>
    <row r="92" spans="1:12" ht="27" customHeight="1">
      <c r="A92" s="13"/>
      <c r="B92" s="13"/>
      <c r="C92" s="7"/>
      <c r="D92" s="13"/>
      <c r="E92" s="15"/>
      <c r="F92" s="11"/>
      <c r="G92" s="13"/>
      <c r="H92" s="17"/>
      <c r="I92" s="13"/>
      <c r="J92" s="15"/>
      <c r="K92" s="20" t="str">
        <f t="shared" si="4"/>
        <v/>
      </c>
      <c r="L92" s="21" t="str">
        <f t="shared" si="5"/>
        <v/>
      </c>
    </row>
    <row r="93" spans="1:12" ht="27" customHeight="1">
      <c r="A93" s="13"/>
      <c r="B93" s="13"/>
      <c r="C93" s="7"/>
      <c r="D93" s="13"/>
      <c r="E93" s="15"/>
      <c r="F93" s="11"/>
      <c r="G93" s="13"/>
      <c r="H93" s="17"/>
      <c r="I93" s="13"/>
      <c r="J93" s="15"/>
      <c r="K93" s="20" t="str">
        <f t="shared" si="4"/>
        <v/>
      </c>
      <c r="L93" s="21" t="str">
        <f t="shared" si="5"/>
        <v/>
      </c>
    </row>
    <row r="94" spans="1:12" ht="27" customHeight="1">
      <c r="A94" s="13"/>
      <c r="B94" s="13"/>
      <c r="C94" s="7"/>
      <c r="D94" s="13"/>
      <c r="E94" s="15"/>
      <c r="F94" s="11"/>
      <c r="G94" s="13"/>
      <c r="H94" s="17"/>
      <c r="I94" s="13"/>
      <c r="J94" s="15"/>
      <c r="K94" s="20" t="str">
        <f t="shared" si="4"/>
        <v/>
      </c>
      <c r="L94" s="21" t="str">
        <f t="shared" si="5"/>
        <v/>
      </c>
    </row>
    <row r="95" spans="1:12" ht="27" customHeight="1">
      <c r="A95" s="13"/>
      <c r="B95" s="13"/>
      <c r="C95" s="7"/>
      <c r="D95" s="13"/>
      <c r="E95" s="15"/>
      <c r="F95" s="11"/>
      <c r="G95" s="13"/>
      <c r="H95" s="17"/>
      <c r="I95" s="13"/>
      <c r="J95" s="15"/>
      <c r="K95" s="20" t="str">
        <f t="shared" si="4"/>
        <v/>
      </c>
      <c r="L95" s="21" t="str">
        <f t="shared" si="5"/>
        <v/>
      </c>
    </row>
    <row r="96" spans="1:12" ht="27" customHeight="1">
      <c r="A96" s="13"/>
      <c r="B96" s="13"/>
      <c r="C96" s="7"/>
      <c r="D96" s="13"/>
      <c r="E96" s="15"/>
      <c r="F96" s="11"/>
      <c r="G96" s="13"/>
      <c r="H96" s="17"/>
      <c r="I96" s="13"/>
      <c r="J96" s="15"/>
      <c r="K96" s="20" t="str">
        <f t="shared" si="4"/>
        <v/>
      </c>
      <c r="L96" s="21" t="str">
        <f t="shared" si="5"/>
        <v/>
      </c>
    </row>
    <row r="97" spans="1:12" ht="27" customHeight="1">
      <c r="A97" s="13"/>
      <c r="B97" s="13"/>
      <c r="C97" s="7"/>
      <c r="D97" s="13"/>
      <c r="E97" s="15"/>
      <c r="F97" s="11"/>
      <c r="G97" s="13"/>
      <c r="H97" s="17"/>
      <c r="I97" s="13"/>
      <c r="J97" s="15"/>
      <c r="K97" s="20" t="str">
        <f t="shared" si="4"/>
        <v/>
      </c>
      <c r="L97" s="21" t="str">
        <f t="shared" si="5"/>
        <v/>
      </c>
    </row>
    <row r="98" spans="1:12" ht="27" customHeight="1">
      <c r="A98" s="13"/>
      <c r="B98" s="13"/>
      <c r="C98" s="7"/>
      <c r="D98" s="13"/>
      <c r="E98" s="15"/>
      <c r="F98" s="11"/>
      <c r="G98" s="13"/>
      <c r="H98" s="17"/>
      <c r="I98" s="13"/>
      <c r="J98" s="15"/>
      <c r="K98" s="20" t="str">
        <f t="shared" si="4"/>
        <v/>
      </c>
      <c r="L98" s="21" t="str">
        <f t="shared" si="5"/>
        <v/>
      </c>
    </row>
    <row r="99" spans="1:12" ht="27" customHeight="1">
      <c r="A99" s="13"/>
      <c r="B99" s="13"/>
      <c r="C99" s="7"/>
      <c r="D99" s="13"/>
      <c r="E99" s="15"/>
      <c r="F99" s="11"/>
      <c r="G99" s="13"/>
      <c r="H99" s="17"/>
      <c r="I99" s="13"/>
      <c r="J99" s="15"/>
      <c r="K99" s="20" t="str">
        <f t="shared" si="4"/>
        <v/>
      </c>
      <c r="L99" s="21" t="str">
        <f t="shared" si="5"/>
        <v/>
      </c>
    </row>
    <row r="100" spans="1:12" ht="27" customHeight="1">
      <c r="A100" s="13"/>
      <c r="B100" s="13"/>
      <c r="C100" s="7"/>
      <c r="D100" s="13"/>
      <c r="E100" s="15"/>
      <c r="F100" s="11"/>
      <c r="G100" s="13"/>
      <c r="H100" s="17"/>
      <c r="I100" s="13"/>
      <c r="J100" s="15"/>
      <c r="K100" s="20" t="str">
        <f t="shared" si="4"/>
        <v/>
      </c>
      <c r="L100" s="21" t="str">
        <f t="shared" si="5"/>
        <v/>
      </c>
    </row>
  </sheetData>
  <mergeCells count="3">
    <mergeCell ref="A1:L1"/>
    <mergeCell ref="A2:L2"/>
    <mergeCell ref="A3:B3"/>
  </mergeCells>
  <phoneticPr fontId="10" type="noConversion"/>
  <conditionalFormatting sqref="F8:F100">
    <cfRule type="dataBar" priority="1">
      <dataBar>
        <cfvo type="min"/>
        <cfvo type="max"/>
        <color rgb="FF2F75B5"/>
      </dataBar>
    </cfRule>
    <cfRule type="dataBar" priority="5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{76402A2F-9A37-39FA-A9EB-CBCC52F86CD6}</x14:id>
        </ext>
      </extLst>
    </cfRule>
  </conditionalFormatting>
  <conditionalFormatting sqref="L8:L100">
    <cfRule type="containsText" dxfId="2" priority="2" operator="containsText" text="已逾期"/>
    <cfRule type="containsText" dxfId="1" priority="3" operator="containsText" text="即將到期"/>
    <cfRule type="containsText" dxfId="0" priority="4" operator="containsText" text="已完成"/>
  </conditionalFormatting>
  <dataValidations count="3">
    <dataValidation type="list" sqref="B8:B100" xr:uid="{00000000-0002-0000-0000-000000000000}">
      <formula1>"設計部,行銷部,產品部,待確認"</formula1>
    </dataValidation>
    <dataValidation type="decimal" sqref="F8:F100" xr:uid="{00000000-0002-0000-0000-000001000000}">
      <formula1>0</formula1>
      <formula2>1</formula2>
    </dataValidation>
    <dataValidation type="list" sqref="G8:G100" xr:uid="{00000000-0002-0000-0000-000002000000}">
      <formula1>"尚未開始,進行中,待確認,已完成"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402A2F-9A37-39FA-A9EB-CBCC52F86CD6}">
            <x14:dataBar>
              <x14:cfvo type="min"/>
              <x14:cfvo type="max"/>
              <x14:negativeFillColor auto="1"/>
              <x14:axisColor auto="1"/>
            </x14:dataBar>
          </x14:cfRule>
          <xm:sqref>F8:F100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tabSelected="1" workbookViewId="0">
      <selection activeCell="J16" sqref="J16"/>
    </sheetView>
  </sheetViews>
  <sheetFormatPr defaultRowHeight="13.8"/>
  <cols>
    <col min="1" max="8" width="14" customWidth="1"/>
  </cols>
  <sheetData>
    <row r="1" spans="1:8" ht="34.049999999999997" customHeight="1">
      <c r="A1" s="25" t="s">
        <v>50</v>
      </c>
      <c r="B1" s="25" t="s">
        <v>50</v>
      </c>
      <c r="C1" s="25" t="s">
        <v>50</v>
      </c>
      <c r="D1" s="25" t="s">
        <v>50</v>
      </c>
      <c r="E1" s="25" t="s">
        <v>50</v>
      </c>
      <c r="F1" s="25" t="s">
        <v>50</v>
      </c>
      <c r="G1" s="25" t="s">
        <v>50</v>
      </c>
      <c r="H1" s="25" t="s">
        <v>50</v>
      </c>
    </row>
    <row r="2" spans="1:8" ht="14.4">
      <c r="A2" s="28" t="s">
        <v>51</v>
      </c>
      <c r="B2" s="28" t="s">
        <v>51</v>
      </c>
      <c r="C2" s="28" t="s">
        <v>51</v>
      </c>
      <c r="D2" s="28" t="s">
        <v>51</v>
      </c>
      <c r="E2" s="28" t="s">
        <v>51</v>
      </c>
      <c r="F2" s="28" t="s">
        <v>51</v>
      </c>
      <c r="G2" s="28" t="s">
        <v>51</v>
      </c>
      <c r="H2" s="28" t="s">
        <v>51</v>
      </c>
    </row>
    <row r="4" spans="1:8">
      <c r="A4" s="29" t="s">
        <v>3</v>
      </c>
      <c r="B4" s="30" t="s">
        <v>3</v>
      </c>
      <c r="C4" s="29" t="s">
        <v>4</v>
      </c>
      <c r="D4" s="30" t="s">
        <v>4</v>
      </c>
      <c r="E4" s="29" t="s">
        <v>5</v>
      </c>
      <c r="F4" s="30" t="s">
        <v>5</v>
      </c>
      <c r="G4" s="29" t="s">
        <v>6</v>
      </c>
      <c r="H4" s="30" t="s">
        <v>6</v>
      </c>
    </row>
    <row r="5" spans="1:8">
      <c r="A5" s="31">
        <f>IFERROR(AVERAGE(專案進度!$F$8:$F$100),0)</f>
        <v>0.63750000000000007</v>
      </c>
      <c r="B5" s="32"/>
      <c r="C5" s="35">
        <f>COUNTIF(專案進度!$L$8:$L$100,"已逾期")</f>
        <v>1</v>
      </c>
      <c r="D5" s="36"/>
      <c r="E5" s="35">
        <f>COUNTIFS(專案進度!$C$8:$C$100,"&lt;&gt;",專案進度!$K$8:$K$100,"&gt;=0",專案進度!$K$8:$K$100,"&lt;=7",專案進度!$G$8:$G$100,"&lt;&gt;已完成")</f>
        <v>6</v>
      </c>
      <c r="F5" s="36"/>
      <c r="G5" s="35">
        <f>COUNTIF(專案進度!$G$8:$G$100,"已完成")</f>
        <v>1</v>
      </c>
      <c r="H5" s="36"/>
    </row>
    <row r="6" spans="1:8">
      <c r="A6" s="33"/>
      <c r="B6" s="34"/>
      <c r="C6" s="37"/>
      <c r="D6" s="38"/>
      <c r="E6" s="37"/>
      <c r="F6" s="38"/>
      <c r="G6" s="37"/>
      <c r="H6" s="38"/>
    </row>
    <row r="9" spans="1:8" ht="30" customHeight="1">
      <c r="A9" s="22" t="s">
        <v>52</v>
      </c>
      <c r="B9" s="22" t="s">
        <v>53</v>
      </c>
    </row>
    <row r="10" spans="1:8" ht="24" customHeight="1">
      <c r="A10" s="6" t="s">
        <v>20</v>
      </c>
      <c r="B10" s="8">
        <f>IFERROR(SUMIF(專案進度!$B$8:$B$100,A10,專案進度!$F$8:$F$100)/COUNTIF(專案進度!$B$8:$B$100,A10),0)</f>
        <v>0.6333333333333333</v>
      </c>
    </row>
    <row r="11" spans="1:8" ht="24" customHeight="1">
      <c r="A11" s="7" t="s">
        <v>30</v>
      </c>
      <c r="B11" s="9">
        <f>IFERROR(SUMIF(專案進度!$B$8:$B$100,A11,專案進度!$F$8:$F$100)/COUNTIF(專案進度!$B$8:$B$100,A11),0)</f>
        <v>0.83333333333333337</v>
      </c>
    </row>
    <row r="12" spans="1:8" ht="24" customHeight="1">
      <c r="A12" s="7" t="s">
        <v>39</v>
      </c>
      <c r="B12" s="9">
        <f>IFERROR(SUMIF(專案進度!$B$8:$B$100,A12,專案進度!$F$8:$F$100)/COUNTIF(專案進度!$B$8:$B$100,A12),0)</f>
        <v>0.49375000000000002</v>
      </c>
    </row>
  </sheetData>
  <mergeCells count="10"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selection activeCell="B8" sqref="B8"/>
    </sheetView>
  </sheetViews>
  <sheetFormatPr defaultRowHeight="13.8"/>
  <cols>
    <col min="1" max="1" width="14" customWidth="1"/>
    <col min="2" max="2" width="28" customWidth="1"/>
    <col min="3" max="3" width="16" customWidth="1"/>
    <col min="4" max="4" width="42" customWidth="1"/>
  </cols>
  <sheetData>
    <row r="1" spans="1:4" ht="34.049999999999997" customHeight="1">
      <c r="A1" s="25" t="s">
        <v>54</v>
      </c>
      <c r="B1" s="25" t="s">
        <v>54</v>
      </c>
      <c r="C1" s="25" t="s">
        <v>54</v>
      </c>
      <c r="D1" s="25" t="s">
        <v>54</v>
      </c>
    </row>
    <row r="3" spans="1:4" ht="30" customHeight="1">
      <c r="A3" s="22" t="s">
        <v>55</v>
      </c>
      <c r="B3" s="22" t="s">
        <v>56</v>
      </c>
      <c r="C3" s="22" t="s">
        <v>57</v>
      </c>
      <c r="D3" s="22" t="s">
        <v>58</v>
      </c>
    </row>
    <row r="4" spans="1:4" ht="34.049999999999997" customHeight="1">
      <c r="A4" s="23" t="s">
        <v>7</v>
      </c>
      <c r="B4" s="16" t="s">
        <v>59</v>
      </c>
      <c r="C4" s="16" t="s">
        <v>60</v>
      </c>
      <c r="D4" s="16" t="s">
        <v>61</v>
      </c>
    </row>
    <row r="5" spans="1:4" ht="34.049999999999997" customHeight="1">
      <c r="A5" s="24" t="s">
        <v>8</v>
      </c>
      <c r="B5" s="17" t="s">
        <v>62</v>
      </c>
      <c r="C5" s="17" t="s">
        <v>63</v>
      </c>
      <c r="D5" s="17" t="s">
        <v>64</v>
      </c>
    </row>
    <row r="6" spans="1:4" ht="34.049999999999997" customHeight="1">
      <c r="A6" s="24" t="s">
        <v>9</v>
      </c>
      <c r="B6" s="17" t="s">
        <v>65</v>
      </c>
      <c r="C6" s="17" t="s">
        <v>60</v>
      </c>
      <c r="D6" s="17" t="s">
        <v>66</v>
      </c>
    </row>
    <row r="7" spans="1:4" ht="34.049999999999997" customHeight="1">
      <c r="A7" s="24" t="s">
        <v>10</v>
      </c>
      <c r="B7" s="17" t="s">
        <v>67</v>
      </c>
      <c r="C7" s="17" t="s">
        <v>60</v>
      </c>
      <c r="D7" s="17" t="s">
        <v>68</v>
      </c>
    </row>
    <row r="8" spans="1:4" ht="34.049999999999997" customHeight="1">
      <c r="A8" s="24" t="s">
        <v>11</v>
      </c>
      <c r="B8" s="17" t="s">
        <v>69</v>
      </c>
      <c r="C8" s="17" t="s">
        <v>70</v>
      </c>
      <c r="D8" s="17" t="s">
        <v>71</v>
      </c>
    </row>
    <row r="9" spans="1:4" ht="34.049999999999997" customHeight="1">
      <c r="A9" s="24" t="s">
        <v>12</v>
      </c>
      <c r="B9" s="17" t="s">
        <v>72</v>
      </c>
      <c r="C9" s="17" t="s">
        <v>73</v>
      </c>
      <c r="D9" s="17" t="s">
        <v>74</v>
      </c>
    </row>
    <row r="10" spans="1:4" ht="34.049999999999997" customHeight="1">
      <c r="A10" s="24" t="s">
        <v>13</v>
      </c>
      <c r="B10" s="17" t="s">
        <v>75</v>
      </c>
      <c r="C10" s="17" t="s">
        <v>63</v>
      </c>
      <c r="D10" s="17" t="s">
        <v>76</v>
      </c>
    </row>
    <row r="11" spans="1:4" ht="34.049999999999997" customHeight="1">
      <c r="A11" s="24" t="s">
        <v>14</v>
      </c>
      <c r="B11" s="17" t="s">
        <v>77</v>
      </c>
      <c r="C11" s="17" t="s">
        <v>60</v>
      </c>
      <c r="D11" s="17" t="s">
        <v>78</v>
      </c>
    </row>
    <row r="12" spans="1:4" ht="34.049999999999997" customHeight="1">
      <c r="A12" s="24" t="s">
        <v>15</v>
      </c>
      <c r="B12" s="17" t="s">
        <v>79</v>
      </c>
      <c r="C12" s="17" t="s">
        <v>60</v>
      </c>
      <c r="D12" s="17" t="s">
        <v>80</v>
      </c>
    </row>
    <row r="13" spans="1:4" ht="34.049999999999997" customHeight="1">
      <c r="A13" s="24" t="s">
        <v>16</v>
      </c>
      <c r="B13" s="17" t="s">
        <v>81</v>
      </c>
      <c r="C13" s="17" t="s">
        <v>70</v>
      </c>
      <c r="D13" s="17" t="s">
        <v>82</v>
      </c>
    </row>
    <row r="14" spans="1:4" ht="34.049999999999997" customHeight="1">
      <c r="A14" s="24" t="s">
        <v>17</v>
      </c>
      <c r="B14" s="17" t="s">
        <v>83</v>
      </c>
      <c r="C14" s="17" t="s">
        <v>84</v>
      </c>
      <c r="D14" s="17" t="s">
        <v>85</v>
      </c>
    </row>
    <row r="15" spans="1:4" ht="34.049999999999997" customHeight="1">
      <c r="A15" s="24" t="s">
        <v>18</v>
      </c>
      <c r="B15" s="17" t="s">
        <v>86</v>
      </c>
      <c r="C15" s="17" t="s">
        <v>84</v>
      </c>
      <c r="D15" s="17" t="s">
        <v>85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專案進度</vt:lpstr>
      <vt:lpstr>進度總覽</vt:lpstr>
      <vt:lpstr>欄位說明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振豪 何</cp:lastModifiedBy>
  <dcterms:modified xsi:type="dcterms:W3CDTF">2026-07-29T08:16:48Z</dcterms:modified>
</cp:coreProperties>
</file>