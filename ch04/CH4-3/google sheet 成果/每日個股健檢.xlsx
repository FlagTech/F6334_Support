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每日個股健檢" sheetId="1" r:id="rId5"/>
    <sheet state="visible" name="歷史資料" sheetId="2" r:id="rId6"/>
    <sheet state="visible" name="健檢快照" sheetId="3" r:id="rId7"/>
  </sheets>
  <definedNames>
    <definedName hidden="1" localSheetId="2" name="_xlnm._FilterDatabase">'健檢快照'!$A$1:$AU$1000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tc={86221e44-7ce1-4b5c-aedb-38de6c642f2f}</author>
    <author>tc={e7c72fb0-6d4b-4d80-a4e6-7005bc7078d6}</author>
  </authors>
  <commentList>
    <comment authorId="0" ref="A33">
      <text>
        <t xml:space="preserve">勾選 H33 後，會把目前日期、完整健檢數據、分析摘要與個人追蹤新增到「健檢快照」最後一列；寫入後自動取消勾選。</t>
      </text>
    </comment>
    <comment authorId="0" ref="H33">
      <text>
        <t xml:space="preserve">勾選即儲存快照；完成後會自動恢復未勾選。</t>
      </text>
    </comment>
    <comment authorId="0" ref="B25">
      <text>
        <t xml:space="preserve">GOOGLEFINANCE 沒有提供真正的流通股數（free float）欄位，請依公司公告或交易所資料手動輸入。D25 的已發行股數來自 GOOGLEFINANCE("shares")。</t>
      </text>
    </comment>
    <comment authorId="0" ref="B4">
      <text>
        <t xml:space="preserve">請輸入「交易所:股票代號」，例如 TPE:2330 或 NASDAQ:AAPL。官方建議加上交易所代碼以減少辨識差異。</t>
      </text>
    </comment>
    <comment authorId="1" xr:uid="{86221e44-7ce1-4b5c-aedb-38de6c642f2f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請輸入「交易所:股票代號」，例如 TPE:2330 或 NASDAQ:AAPL。官方建議加上交易所代碼以減少辨識差異。
</t>
      </text>
    </comment>
    <comment authorId="2" xr:uid="{e7c72fb0-6d4b-4d80-a4e6-7005bc7078d6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GOOGLEFINANCE 沒有提供真正的流通股數（free float）欄位，請依公司公告或交易所資料手動輸入。D25 的已發行股數來自 GOOGLEFINANCE("shares")。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tc={3deb123f-e631-4cb7-b3fc-b93d3e722d50}</author>
  </authors>
  <commentList>
    <comment authorId="0" ref="A3">
      <text>
        <t xml:space="preserve">資料來源：https://support.google.com/docs/answer/3093281?hl=zh-Hant。GOOGLEFINANCE 報價可能延遲，且不支援所有市場與欄位。</t>
      </text>
    </comment>
    <comment authorId="1" xr:uid="{3deb123f-e631-4cb7-b3fc-b93d3e722d50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資料來源：https://support.google.com/docs/answer/3093281?hl=zh-Hant。GOOGLEFINANCE 報價可能延遲，且不支援所有市場與欄位。
</t>
      </text>
    </comment>
  </commentList>
</comments>
</file>

<file path=xl/sharedStrings.xml><?xml version="1.0" encoding="utf-8"?>
<sst xmlns="http://schemas.openxmlformats.org/spreadsheetml/2006/main" count="214" uniqueCount="117">
  <si>
    <t>每日個股健檢</t>
  </si>
  <si>
    <t>快照時間</t>
  </si>
  <si>
    <t>歷史資料（均線、RSI、報酬率與波動度計算）</t>
  </si>
  <si>
    <t>使用方式：在淡黃色欄位輸入「交易所:股票代號」（例：TPE:2330、NASDAQ:AAPL）。行情可能延遲最多 20 分鐘，部分市場或欄位可能無資料。</t>
  </si>
  <si>
    <t>股票代號</t>
  </si>
  <si>
    <t>中文名稱</t>
  </si>
  <si>
    <t>英文名稱</t>
  </si>
  <si>
    <t>風險判定設定</t>
  </si>
  <si>
    <t>投資週期</t>
  </si>
  <si>
    <t>持有狀態</t>
  </si>
  <si>
    <t>持有成本（每股）</t>
  </si>
  <si>
    <t>未實現損益（每股）</t>
  </si>
  <si>
    <t>未實現損益率</t>
  </si>
  <si>
    <t>現價</t>
  </si>
  <si>
    <t>今日漲跌幅</t>
  </si>
  <si>
    <t>基本設定</t>
  </si>
  <si>
    <t>開盤價</t>
  </si>
  <si>
    <t>A:F 由 GOOGLEFINANCE 取得近 500 日每日 OHLCV；G:O 為公式計算。切換主頁股票代號後會自動更新。資料不足時相關指標保持空白。</t>
  </si>
  <si>
    <t>最高價</t>
  </si>
  <si>
    <t>最低價</t>
  </si>
  <si>
    <t>成交量</t>
  </si>
  <si>
    <t>量比</t>
  </si>
  <si>
    <t>52 週價格位置</t>
  </si>
  <si>
    <t>5 日報酬</t>
  </si>
  <si>
    <t>20 日報酬</t>
  </si>
  <si>
    <t>60 日報酬</t>
  </si>
  <si>
    <t>MA5</t>
  </si>
  <si>
    <t>MA20</t>
  </si>
  <si>
    <t>MA60</t>
  </si>
  <si>
    <t>RSI（14）</t>
  </si>
  <si>
    <t>波動度（20 日年化）</t>
  </si>
  <si>
    <t>參數</t>
  </si>
  <si>
    <t>趨勢狀態</t>
  </si>
  <si>
    <t>風險等級</t>
  </si>
  <si>
    <t>52 週低點</t>
  </si>
  <si>
    <t>門檻</t>
  </si>
  <si>
    <t>NASDAQ:SKHY</t>
  </si>
  <si>
    <t>52 週高點</t>
  </si>
  <si>
    <t>市值</t>
  </si>
  <si>
    <t>本益比</t>
  </si>
  <si>
    <t>EPS</t>
  </si>
  <si>
    <t>Beta</t>
  </si>
  <si>
    <t>流通股數（手動）</t>
  </si>
  <si>
    <t>已發行股數</t>
  </si>
  <si>
    <t>幣別</t>
  </si>
  <si>
    <t>最後交易時間</t>
  </si>
  <si>
    <t>分析摘要－趨勢</t>
  </si>
  <si>
    <t>分析摘要－量能</t>
  </si>
  <si>
    <t>分析摘要－估值</t>
  </si>
  <si>
    <t>分析摘要－風險</t>
  </si>
  <si>
    <t>分析摘要－綜合</t>
  </si>
  <si>
    <t>觀察理由</t>
  </si>
  <si>
    <t>催化因素</t>
  </si>
  <si>
    <t>主要風險</t>
  </si>
  <si>
    <t>下次檢查條件</t>
  </si>
  <si>
    <t>個人結論</t>
  </si>
  <si>
    <t>TPE:2330</t>
  </si>
  <si>
    <t>台灣積體電路製造股份有限公司</t>
  </si>
  <si>
    <t>Taiwan Semiconductor Manufacturng Co Ltd</t>
  </si>
  <si>
    <t>波段（1–6 月）</t>
  </si>
  <si>
    <t>觀察中</t>
  </si>
  <si>
    <t>日報酬</t>
  </si>
  <si>
    <t>漲跌額</t>
  </si>
  <si>
    <t>0.57x</t>
  </si>
  <si>
    <t>上漲幅</t>
  </si>
  <si>
    <t>持有中</t>
  </si>
  <si>
    <t>下跌幅</t>
  </si>
  <si>
    <t>偏空震盪</t>
  </si>
  <si>
    <t>中</t>
  </si>
  <si>
    <t>27.2x</t>
  </si>
  <si>
    <t>中風險年化波動度</t>
  </si>
  <si>
    <t>TWD</t>
  </si>
  <si>
    <t>趨勢：偏空震盪；5／20／60 日報酬為 -8.3%／-12.0%／-2.0%。</t>
  </si>
  <si>
    <t>今日成交量 21,476,796 股，量比 0.57x，量能偏弱。</t>
  </si>
  <si>
    <t>市值 61,589,378,750,000 TWD；本益比 27.2x；EPS 87.38。</t>
  </si>
  <si>
    <t>風險等級：中；RSI(14) 33.1；20 日年化波動度 36.9%；52 週位置 88.3%。</t>
  </si>
  <si>
    <t>綜合判讀：訊號分歧，宜等待價格、量能與基本面出現一致性。</t>
  </si>
  <si>
    <t>現價 2,370.00 高於 MA5 2,277.00、低於 MA20 2,383.50、高於 MA60 2,345.17；5／20／60 日報酬 -8.3%／-12.0%／-2.0%，趨勢為 偏空震盪。RSI 33.1；量比 0.57x，量能偏弱。52 週位置 88.3%；本益比 27.2x，缺少歷史與同業比較，無法判斷估值高低。</t>
  </si>
  <si>
    <t>可驗證的潛在催化：①收盤重新站上 MA5 2,277.00 或 MA20 2,383.50，並伴隨量比 ≥1.5x；②公司公布下一次月營收、季報／法說，以及資本支出或展望更新。試算表未提供公告日期、法人預期與新聞，基本面催化的時間及方向資料不足。</t>
  </si>
  <si>
    <t>已反映：風險等級 中、20 日年化波動度 36.9%；現價相對 MA5／MA20／MA60 為 高於或等於／低於／高於或等於。待確認：客戶需求、先進製程產能／良率、匯率、出口管制與地緣事件；試算表無相關資料。RSI 33.1 僅為動能訊號，不代表已止跌。</t>
  </si>
  <si>
    <t>每日收盤檢查：①站上 MA5 2,277.00 且量比 ≥1.5x，視為初步止跌；②站上 MA20 2,383.50（較佳為連續 2 日）再確認波段轉強；③收盤跌破今日低點 2,345.00 或 RSI 跌破 30 時提高警戒，RSI 回到 40 以上則觀察動能修復；④公司公布月營收、財報或法說後重評。</t>
  </si>
  <si>
    <t>等待確認。投資週期為 波段（1–6 月）、持有狀態為 觀察中，持有成本未填（資料不足）；現價 2,370.00、RSI 33.1、量比 0.57x。建議先觀察價格與量能是否共同確認，結論為非絕對化追蹤判斷。</t>
  </si>
  <si>
    <t>TPE:2303</t>
  </si>
  <si>
    <t>聯華電子股份有限公司</t>
  </si>
  <si>
    <t>United Microelectronics Corp</t>
  </si>
  <si>
    <t>0.18x</t>
  </si>
  <si>
    <t>高</t>
  </si>
  <si>
    <t>30.4x</t>
  </si>
  <si>
    <t>趨勢：偏空震盪；5／20／60 日報酬為 -20.6%／-34.9%／32.4%。</t>
  </si>
  <si>
    <t>今日成交量 36,884,207 股，量比 0.18x，量能偏弱。</t>
  </si>
  <si>
    <t>市值 1,521,814,580,000 TWD；本益比 30.4x；EPS 3.98。</t>
  </si>
  <si>
    <t>今日行情</t>
  </si>
  <si>
    <t>風險等級：高；RSI(14) 28.9；20 日年化波動度 94.5%；52 週位置 55.6%。</t>
  </si>
  <si>
    <t>預設分析定義：請說明目前最值得追蹤的趨勢、量能、估值或價格位置。資料不足請註明，勿虛構。</t>
  </si>
  <si>
    <t>預設分析定義：請列出可能改變股價或基本面的具體事件，不要只寫「市場轉好」等空泛內容。資料不足請註明，勿虛構。</t>
  </si>
  <si>
    <t>預設分析定義：請指出目前數據已反映的風險，以及尚待確認的外部風險。資料不足請註明，勿虛構。</t>
  </si>
  <si>
    <t>預設分析定義：請使用可以驗證的條件，例如突破或跌破 MA20／MA60、量比超過特定門檻、RSI 進入特定區間、接近 52 週高低點，或公司公布財報與法說。資料不足請註明，勿虛構。</t>
  </si>
  <si>
    <t>預設分析定義：請根據投資週期、持有狀態與持有成本，給出「繼續觀察、等待確認、續抱追蹤、提高警戒」等明確但非絕對化的結論，並簡述原因。資料不足請註明，勿虛構。</t>
  </si>
  <si>
    <t>趨勢風險</t>
  </si>
  <si>
    <t>高風險年化波動度</t>
  </si>
  <si>
    <t>RSI 超買</t>
  </si>
  <si>
    <t>RSI 極端超買</t>
  </si>
  <si>
    <t>RSI 超賣</t>
  </si>
  <si>
    <t>RSI 極端超賣</t>
  </si>
  <si>
    <t>年交易日數</t>
  </si>
  <si>
    <t>基本面</t>
  </si>
  <si>
    <t>分析摘要</t>
  </si>
  <si>
    <t>趨勢</t>
  </si>
  <si>
    <t>量能</t>
  </si>
  <si>
    <t>估值</t>
  </si>
  <si>
    <t>風險</t>
  </si>
  <si>
    <t>綜合摘要</t>
  </si>
  <si>
    <t>儲存快照（勾選右側按鈕，即以純值新增一筆）</t>
  </si>
  <si>
    <t>個人追蹤</t>
  </si>
  <si>
    <t>資料來源與限制</t>
  </si>
  <si>
    <t>GOOGLEFINANCE 官方說明：https://support.google.com/docs/answer/3093281?hl=zh-Hant</t>
  </si>
  <si>
    <t>限制：報價可能延遲最多 20 分鐘；部分市場與屬性不支援。中英文名稱由 GOOGLEFINANCE("name") 與 GOOGLETRANSLATE 自動處理；真正的流通股數仍需手動輸入。「已發行股數」來自 GOOGLEFINANCE("shares")，兩者概念不同。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</si>
</sst>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 h:mm:ss"/>
    <numFmt numFmtId="165" formatCode="yyyy-mm-dd h:mm"/>
    <numFmt numFmtId="166" formatCode="yyyy-mm-dd"/>
    <numFmt numFmtId="167" formatCode="#,##0.00;[Red]-#,##0.00"/>
    <numFmt numFmtId="168" formatCode="0.00%;[Red]-0.00%"/>
    <numFmt numFmtId="169" formatCode="0.00x"/>
    <numFmt numFmtId="170" formatCode="0.0%"/>
    <numFmt numFmtId="171" formatCode="0.0"/>
    <numFmt numFmtId="172" formatCode="0.0x"/>
    <numFmt numFmtId="173" formatCode="yyyy-mm-dd hh:mm"/>
  </numFmts>
  <fonts count="14">
    <font>
      <sz val="11.0"/>
      <color rgb="FF000000"/>
      <name val="Carlito"/>
      <scheme val="minor"/>
    </font>
    <font>
      <b/>
      <sz val="18.0"/>
      <color rgb="FFFFFFFF"/>
      <name val="Arial"/>
    </font>
    <font>
      <b/>
      <sz val="15.0"/>
      <color rgb="FFFFFFFF"/>
      <name val="Arial"/>
    </font>
    <font>
      <b/>
      <sz val="10.0"/>
      <color rgb="FFFFFFFF"/>
      <name val="Arial"/>
    </font>
    <font>
      <i/>
      <sz val="10.0"/>
      <color rgb="FF1F2937"/>
      <name val="Arial"/>
    </font>
    <font>
      <sz val="9.0"/>
      <color rgb="FF1F2937"/>
      <name val="Arial"/>
    </font>
    <font/>
    <font>
      <b/>
      <sz val="11.0"/>
      <color rgb="FFFFFFFF"/>
      <name val="Arial"/>
    </font>
    <font>
      <i/>
      <sz val="9.0"/>
      <color rgb="FF1F2937"/>
      <name val="Arial"/>
    </font>
    <font>
      <b/>
      <sz val="10.0"/>
      <color rgb="FF1F2937"/>
      <name val="Arial"/>
    </font>
    <font>
      <b/>
      <sz val="9.0"/>
      <color rgb="FF1F2937"/>
      <name val="Arial"/>
    </font>
    <font>
      <sz val="10.0"/>
      <color rgb="FF1F2937"/>
      <name val="Arial"/>
    </font>
    <font>
      <color theme="1"/>
      <name val="Carlito"/>
      <scheme val="minor"/>
    </font>
    <font>
      <b/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7F9FC"/>
        <bgColor rgb="FFF7F9FC"/>
      </patternFill>
    </fill>
    <fill>
      <patternFill patternType="solid">
        <fgColor rgb="FFD9E7F3"/>
        <bgColor rgb="FFD9E7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</fills>
  <borders count="23">
    <border/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n">
        <color rgb="FFB7C9D6"/>
      </right>
    </border>
    <border>
      <bottom style="thin">
        <color rgb="FFE8EEF2"/>
      </bottom>
    </border>
    <border>
      <top style="thin">
        <color rgb="FFE8EEF2"/>
      </top>
      <bottom style="thin">
        <color rgb="FFE8EEF2"/>
      </bottom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B7C9D6"/>
      </top>
    </border>
    <border>
      <left style="thin">
        <color rgb="FFB7C9D6"/>
      </left>
      <top style="thin">
        <color rgb="FFB7C9D6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17365D"/>
      </bottom>
    </border>
    <border>
      <top style="thin">
        <color rgb="FFE8EEF2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 vertical="center"/>
    </xf>
    <xf borderId="0" fillId="2" fontId="3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Font="1"/>
    <xf borderId="2" fillId="0" fontId="6" numFmtId="0" xfId="0" applyBorder="1" applyFont="1"/>
    <xf borderId="3" fillId="2" fontId="7" numFmtId="0" xfId="0" applyAlignment="1" applyBorder="1" applyFont="1">
      <alignment horizontal="left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1" fillId="3" fontId="8" numFmtId="0" xfId="0" applyAlignment="1" applyBorder="1" applyFont="1">
      <alignment shrinkToFit="0" vertical="center" wrapText="1"/>
    </xf>
    <xf borderId="7" fillId="4" fontId="9" numFmtId="0" xfId="0" applyAlignment="1" applyBorder="1" applyFill="1" applyFont="1">
      <alignment horizontal="left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7" fillId="5" fontId="11" numFmtId="0" xfId="0" applyAlignment="1" applyBorder="1" applyFill="1" applyFont="1">
      <alignment horizontal="right" readingOrder="0" shrinkToFit="0" vertical="center" wrapText="1"/>
    </xf>
    <xf borderId="7" fillId="4" fontId="9" numFmtId="0" xfId="0" applyAlignment="1" applyBorder="1" applyFont="1">
      <alignment horizontal="left" readingOrder="0" shrinkToFit="0" vertical="center" wrapText="1"/>
    </xf>
    <xf borderId="7" fillId="6" fontId="11" numFmtId="0" xfId="0" applyAlignment="1" applyBorder="1" applyFill="1" applyFont="1">
      <alignment horizontal="left" shrinkToFit="0" vertical="center" wrapText="1"/>
    </xf>
    <xf borderId="0" fillId="0" fontId="12" numFmtId="164" xfId="0" applyAlignment="1" applyFont="1" applyNumberFormat="1">
      <alignment readingOrder="0" vertical="top"/>
    </xf>
    <xf borderId="7" fillId="7" fontId="13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readingOrder="0" vertical="top"/>
    </xf>
    <xf borderId="0" fillId="0" fontId="12" numFmtId="0" xfId="0" applyAlignment="1" applyFont="1">
      <alignment vertical="top"/>
    </xf>
    <xf borderId="0" fillId="0" fontId="12" numFmtId="4" xfId="0" applyAlignment="1" applyFont="1" applyNumberFormat="1">
      <alignment readingOrder="0" vertical="top"/>
    </xf>
    <xf borderId="0" fillId="0" fontId="12" numFmtId="10" xfId="0" applyAlignment="1" applyFont="1" applyNumberFormat="1">
      <alignment readingOrder="0" vertical="top"/>
    </xf>
    <xf borderId="7" fillId="5" fontId="11" numFmtId="0" xfId="0" applyAlignment="1" applyBorder="1" applyFont="1">
      <alignment horizontal="right" shrinkToFit="0" vertical="center" wrapText="1"/>
    </xf>
    <xf borderId="0" fillId="0" fontId="12" numFmtId="3" xfId="0" applyAlignment="1" applyFont="1" applyNumberFormat="1">
      <alignment readingOrder="0" vertical="top"/>
    </xf>
    <xf borderId="7" fillId="5" fontId="11" numFmtId="4" xfId="0" applyAlignment="1" applyBorder="1" applyFont="1" applyNumberFormat="1">
      <alignment horizontal="right" readingOrder="0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0" fillId="0" fontId="12" numFmtId="165" xfId="0" applyAlignment="1" applyFont="1" applyNumberFormat="1">
      <alignment readingOrder="0" vertical="top"/>
    </xf>
    <xf borderId="8" fillId="5" fontId="5" numFmtId="9" xfId="0" applyAlignment="1" applyBorder="1" applyFont="1" applyNumberFormat="1">
      <alignment horizontal="right" shrinkToFit="0" vertical="center" wrapText="1"/>
    </xf>
    <xf borderId="0" fillId="0" fontId="12" numFmtId="0" xfId="0" applyAlignment="1" applyFont="1">
      <alignment readingOrder="0" shrinkToFit="0" vertical="top" wrapText="1"/>
    </xf>
    <xf borderId="9" fillId="0" fontId="5" numFmtId="166" xfId="0" applyAlignment="1" applyBorder="1" applyFont="1" applyNumberFormat="1">
      <alignment horizontal="right" vertical="center"/>
    </xf>
    <xf borderId="7" fillId="6" fontId="11" numFmtId="167" xfId="0" applyAlignment="1" applyBorder="1" applyFont="1" applyNumberFormat="1">
      <alignment horizontal="right" shrinkToFit="0" vertical="center" wrapText="1"/>
    </xf>
    <xf borderId="9" fillId="0" fontId="5" numFmtId="4" xfId="0" applyAlignment="1" applyBorder="1" applyFont="1" applyNumberFormat="1">
      <alignment horizontal="right" vertical="center"/>
    </xf>
    <xf borderId="9" fillId="0" fontId="5" numFmtId="3" xfId="0" applyAlignment="1" applyBorder="1" applyFont="1" applyNumberFormat="1">
      <alignment horizontal="right" vertical="center"/>
    </xf>
    <xf borderId="7" fillId="6" fontId="11" numFmtId="168" xfId="0" applyAlignment="1" applyBorder="1" applyFont="1" applyNumberFormat="1">
      <alignment horizontal="right" shrinkToFit="0" vertical="center" wrapText="1"/>
    </xf>
    <xf borderId="0" fillId="0" fontId="11" numFmtId="0" xfId="0" applyFont="1"/>
    <xf borderId="9" fillId="0" fontId="5" numFmtId="168" xfId="0" applyAlignment="1" applyBorder="1" applyFont="1" applyNumberFormat="1">
      <alignment horizontal="right" vertical="center"/>
    </xf>
    <xf borderId="9" fillId="0" fontId="5" numFmtId="167" xfId="0" applyAlignment="1" applyBorder="1" applyFont="1" applyNumberFormat="1">
      <alignment horizontal="right" vertical="center"/>
    </xf>
    <xf borderId="7" fillId="6" fontId="11" numFmtId="4" xfId="0" applyAlignment="1" applyBorder="1" applyFont="1" applyNumberFormat="1">
      <alignment horizontal="right" shrinkToFit="0" vertical="center" wrapText="1"/>
    </xf>
    <xf borderId="0" fillId="0" fontId="11" numFmtId="4" xfId="0" applyFont="1" applyNumberFormat="1"/>
    <xf borderId="7" fillId="6" fontId="11" numFmtId="3" xfId="0" applyAlignment="1" applyBorder="1" applyFont="1" applyNumberFormat="1">
      <alignment horizontal="right" shrinkToFit="0" vertical="center" wrapText="1"/>
    </xf>
    <xf borderId="0" fillId="0" fontId="12" numFmtId="0" xfId="0" applyAlignment="1" applyFont="1">
      <alignment shrinkToFit="0" vertical="top" wrapText="1"/>
    </xf>
    <xf borderId="7" fillId="6" fontId="11" numFmtId="169" xfId="0" applyAlignment="1" applyBorder="1" applyFont="1" applyNumberFormat="1">
      <alignment horizontal="right" shrinkToFit="0" vertical="center" wrapText="1"/>
    </xf>
    <xf borderId="7" fillId="6" fontId="11" numFmtId="170" xfId="0" applyAlignment="1" applyBorder="1" applyFont="1" applyNumberFormat="1">
      <alignment horizontal="right" shrinkToFit="0" vertical="center" wrapText="1"/>
    </xf>
    <xf borderId="9" fillId="0" fontId="5" numFmtId="171" xfId="0" applyAlignment="1" applyBorder="1" applyFont="1" applyNumberFormat="1">
      <alignment horizontal="right" vertical="center"/>
    </xf>
    <xf borderId="9" fillId="0" fontId="5" numFmtId="170" xfId="0" applyAlignment="1" applyBorder="1" applyFont="1" applyNumberFormat="1">
      <alignment horizontal="right" vertical="center"/>
    </xf>
    <xf borderId="10" fillId="0" fontId="5" numFmtId="166" xfId="0" applyAlignment="1" applyBorder="1" applyFont="1" applyNumberFormat="1">
      <alignment horizontal="right" vertical="center"/>
    </xf>
    <xf borderId="10" fillId="0" fontId="5" numFmtId="4" xfId="0" applyAlignment="1" applyBorder="1" applyFont="1" applyNumberFormat="1">
      <alignment horizontal="right" vertical="center"/>
    </xf>
    <xf borderId="10" fillId="0" fontId="5" numFmtId="3" xfId="0" applyAlignment="1" applyBorder="1" applyFont="1" applyNumberFormat="1">
      <alignment horizontal="right" vertical="center"/>
    </xf>
    <xf borderId="0" fillId="0" fontId="11" numFmtId="168" xfId="0" applyFont="1" applyNumberFormat="1"/>
    <xf borderId="8" fillId="5" fontId="5" numFmtId="0" xfId="0" applyAlignment="1" applyBorder="1" applyFont="1">
      <alignment horizontal="right" shrinkToFit="0" vertical="center" wrapText="1"/>
    </xf>
    <xf borderId="7" fillId="6" fontId="11" numFmtId="171" xfId="0" applyAlignment="1" applyBorder="1" applyFont="1" applyNumberFormat="1">
      <alignment horizontal="right" shrinkToFit="0" vertical="center" wrapText="1"/>
    </xf>
    <xf borderId="7" fillId="6" fontId="11" numFmtId="0" xfId="0" applyAlignment="1" applyBorder="1" applyFont="1">
      <alignment horizontal="right" shrinkToFit="0" vertical="center" wrapText="1"/>
    </xf>
    <xf borderId="11" fillId="4" fontId="10" numFmtId="0" xfId="0" applyAlignment="1" applyBorder="1" applyFont="1">
      <alignment horizontal="left" shrinkToFit="0" vertical="center" wrapText="1"/>
    </xf>
    <xf borderId="11" fillId="5" fontId="5" numFmtId="0" xfId="0" applyAlignment="1" applyBorder="1" applyFont="1">
      <alignment horizontal="right" shrinkToFit="0" vertical="center" wrapText="1"/>
    </xf>
    <xf borderId="7" fillId="6" fontId="11" numFmtId="172" xfId="0" applyAlignment="1" applyBorder="1" applyFont="1" applyNumberFormat="1">
      <alignment horizontal="right" shrinkToFit="0" vertical="center" wrapText="1"/>
    </xf>
    <xf borderId="7" fillId="6" fontId="11" numFmtId="2" xfId="0" applyAlignment="1" applyBorder="1" applyFont="1" applyNumberFormat="1">
      <alignment horizontal="right" shrinkToFit="0" vertical="center" wrapText="1"/>
    </xf>
    <xf borderId="0" fillId="0" fontId="11" numFmtId="2" xfId="0" applyFont="1" applyNumberFormat="1"/>
    <xf borderId="7" fillId="5" fontId="11" numFmtId="3" xfId="0" applyAlignment="1" applyBorder="1" applyFont="1" applyNumberFormat="1">
      <alignment horizontal="right" shrinkToFit="0" vertical="center" wrapText="1"/>
    </xf>
    <xf borderId="0" fillId="0" fontId="11" numFmtId="3" xfId="0" applyFont="1" applyNumberFormat="1"/>
    <xf borderId="7" fillId="6" fontId="11" numFmtId="173" xfId="0" applyAlignment="1" applyBorder="1" applyFont="1" applyNumberFormat="1">
      <alignment horizontal="right"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3" fillId="3" fontId="11" numFmtId="0" xfId="0" applyAlignment="1" applyBorder="1" applyFont="1">
      <alignment horizontal="left" shrinkToFit="0" vertical="center" wrapText="1"/>
    </xf>
    <xf borderId="14" fillId="0" fontId="6" numFmtId="0" xfId="0" applyBorder="1" applyFont="1"/>
    <xf borderId="15" fillId="0" fontId="6" numFmtId="0" xfId="0" applyBorder="1" applyFont="1"/>
    <xf borderId="8" fillId="4" fontId="9" numFmtId="0" xfId="0" applyAlignment="1" applyBorder="1" applyFont="1">
      <alignment horizontal="left" shrinkToFit="0" vertical="center" wrapText="1"/>
    </xf>
    <xf borderId="16" fillId="3" fontId="11" numFmtId="0" xfId="0" applyAlignment="1" applyBorder="1" applyFont="1">
      <alignment horizontal="left" shrinkToFit="0" vertical="center" wrapText="1"/>
    </xf>
    <xf borderId="17" fillId="0" fontId="6" numFmtId="0" xfId="0" applyBorder="1" applyFont="1"/>
    <xf borderId="11" fillId="4" fontId="9" numFmtId="0" xfId="0" applyAlignment="1" applyBorder="1" applyFont="1">
      <alignment horizontal="left" shrinkToFit="0" vertical="center" wrapText="1"/>
    </xf>
    <xf borderId="18" fillId="3" fontId="11" numFmtId="0" xfId="0" applyAlignment="1" applyBorder="1" applyFont="1">
      <alignment horizontal="left" shrinkToFit="0" vertical="center" wrapText="1"/>
    </xf>
    <xf borderId="19" fillId="0" fontId="6" numFmtId="0" xfId="0" applyBorder="1" applyFont="1"/>
    <xf borderId="20" fillId="0" fontId="6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21" fillId="8" fontId="11" numFmtId="0" xfId="0" applyAlignment="1" applyBorder="1" applyFill="1" applyFont="1">
      <alignment horizontal="center" readingOrder="0" vertical="center"/>
    </xf>
    <xf borderId="13" fillId="5" fontId="11" numFmtId="0" xfId="0" applyAlignment="1" applyBorder="1" applyFont="1">
      <alignment horizontal="left" readingOrder="0" shrinkToFit="0" vertical="center" wrapText="1"/>
    </xf>
    <xf borderId="16" fillId="5" fontId="11" numFmtId="0" xfId="0" applyAlignment="1" applyBorder="1" applyFont="1">
      <alignment horizontal="left" readingOrder="0" shrinkToFit="0" vertical="center" wrapText="1"/>
    </xf>
    <xf borderId="18" fillId="5" fontId="11" numFmtId="0" xfId="0" applyAlignment="1" applyBorder="1" applyFont="1">
      <alignment horizontal="left" readingOrder="0" shrinkToFit="0" vertical="center" wrapText="1"/>
    </xf>
    <xf borderId="18" fillId="3" fontId="11" numFmtId="0" xfId="0" applyAlignment="1" applyBorder="1" applyFont="1">
      <alignment horizontal="left" readingOrder="0" shrinkToFit="0" vertical="center" wrapText="1"/>
    </xf>
    <xf borderId="22" fillId="0" fontId="5" numFmtId="166" xfId="0" applyAlignment="1" applyBorder="1" applyFont="1" applyNumberFormat="1">
      <alignment horizontal="right" vertical="center"/>
    </xf>
    <xf borderId="22" fillId="0" fontId="5" numFmtId="4" xfId="0" applyAlignment="1" applyBorder="1" applyFont="1" applyNumberFormat="1">
      <alignment horizontal="right" vertical="center"/>
    </xf>
    <xf borderId="22" fillId="0" fontId="5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5">
    <dxf>
      <font>
        <b/>
        <color rgb="FF008000"/>
      </font>
      <fill>
        <patternFill patternType="none"/>
      </fill>
      <border/>
    </dxf>
    <dxf>
      <font>
        <b/>
        <color rgb="FFC00000"/>
      </font>
      <fill>
        <patternFill patternType="none"/>
      </fill>
      <border/>
    </dxf>
    <dxf>
      <font>
        <b/>
        <color rgb="FF008000"/>
      </font>
      <fill>
        <patternFill patternType="solid">
          <fgColor rgb="FFE2F0D9"/>
          <bgColor rgb="FFE2F0D9"/>
        </patternFill>
      </fill>
      <border/>
    </dxf>
    <dxf>
      <font>
        <b/>
        <color rgb="FFC00000"/>
      </font>
      <fill>
        <patternFill patternType="solid">
          <fgColor rgb="FFFCE4D6"/>
          <bgColor rgb="FFFCE4D6"/>
        </patternFill>
      </fill>
      <border/>
    </dxf>
    <dxf>
      <font>
        <b/>
        <color rgb="FF9C65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ser" id="{971447b2-b85d-4e72-ae2c-b1af61df487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" dT="2026-07-30T08:59:01.00" personId="{971447b2-b85d-4e72-ae2c-b1af61df4873}" id="{86221e44-7ce1-4b5c-aedb-38de6c642f2f}" done="0">
    <x18tc:text xml:space="preserve">請輸入「交易所:股票代號」，例如 TPE:2330 或 NASDAQ:AAPL。官方建議加上交易所代碼以減少辨識差異。</x18tc:text>
  </x18tc:threadedComment>
  <x18tc:threadedComment ref="B25" dT="2026-07-30T08:59:01.00" personId="{971447b2-b85d-4e72-ae2c-b1af61df4873}" id="{e7c72fb0-6d4b-4d80-a4e6-7005bc7078d6}" done="0">
    <x18tc:text xml:space="preserve">GOOGLEFINANCE 沒有提供真正的流通股數（free float）欄位，請依公司公告或交易所資料手動輸入。D25 的已發行股數來自 GOOGLEFINANCE("shares")。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6-07-30T08:59:01.00" personId="{971447b2-b85d-4e72-ae2c-b1af61df4873}" id="{3deb123f-e631-4cb7-b3fc-b93d3e722d50}" done="0">
    <x18tc:text xml:space="preserve">資料來源：https://support.google.com/docs/answer/3093281?hl=zh-Hant。GOOGLEFINANCE 報價可能延遲，且不支援所有市場與欄位。</x18tc:text>
    <x18tc:extLst>
      <ext uri="{F7C98A9C-CBB3-438F-8F68-D28B6AF4A901}">
        <xltc2:checksum/>
        <xltc2:hyperlink startIndex="5" length="71" url="https://support.google.com/docs/answer/3093281?hl=zh-Hant。GOOGLEFINANCE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5.0"/>
    <col customWidth="1" min="2" max="2" width="18.13"/>
    <col customWidth="1" min="3" max="3" width="15.0"/>
    <col customWidth="1" min="4" max="4" width="18.13"/>
    <col customWidth="1" min="5" max="5" width="15.0"/>
    <col customWidth="1" min="6" max="6" width="18.13"/>
    <col customWidth="1" min="7" max="7" width="15.0"/>
    <col customWidth="1" min="8" max="8" width="18.13"/>
    <col customWidth="1" min="9" max="26" width="8.63"/>
  </cols>
  <sheetData>
    <row r="1" ht="28.5" customHeight="1">
      <c r="A1" s="1" t="s">
        <v>0</v>
      </c>
    </row>
    <row r="2" ht="27.0" customHeight="1">
      <c r="A2" s="4" t="s">
        <v>3</v>
      </c>
      <c r="B2" s="6"/>
      <c r="C2" s="6"/>
      <c r="D2" s="6"/>
      <c r="E2" s="6"/>
      <c r="F2" s="6"/>
      <c r="G2" s="6"/>
      <c r="H2" s="8"/>
    </row>
    <row r="3" ht="19.5" customHeight="1">
      <c r="A3" s="7" t="s">
        <v>15</v>
      </c>
      <c r="B3" s="10"/>
      <c r="C3" s="10"/>
      <c r="D3" s="10"/>
      <c r="E3" s="10"/>
      <c r="F3" s="10"/>
      <c r="G3" s="10"/>
      <c r="H3" s="9"/>
    </row>
    <row r="4" ht="30.0" customHeight="1">
      <c r="A4" s="12" t="s">
        <v>4</v>
      </c>
      <c r="B4" s="14" t="s">
        <v>36</v>
      </c>
      <c r="C4" s="15" t="s">
        <v>5</v>
      </c>
      <c r="D4" s="16" t="str">
        <f>IFERROR(__xludf.DUMMYFUNCTION("IFERROR(GOOGLETRANSLATE(GOOGLEFINANCE($B$4,""name""),""auto"",""zh-TW""),"""")"),"SK海力士股份有限公司 - ADR")</f>
        <v>SK海力士股份有限公司 - ADR</v>
      </c>
      <c r="E4" s="15" t="s">
        <v>6</v>
      </c>
      <c r="F4" s="16" t="str">
        <f>IFERROR(__xludf.DUMMYFUNCTION("IFERROR(GOOGLEFINANCE($B$4,""name""),"""")"),"SK Hynix Inc - ADR")</f>
        <v>SK Hynix Inc - ADR</v>
      </c>
      <c r="G4" s="12" t="s">
        <v>8</v>
      </c>
      <c r="H4" s="23" t="s">
        <v>59</v>
      </c>
    </row>
    <row r="5">
      <c r="A5" s="12" t="s">
        <v>9</v>
      </c>
      <c r="B5" s="14" t="s">
        <v>65</v>
      </c>
      <c r="C5" s="12" t="s">
        <v>10</v>
      </c>
      <c r="D5" s="25">
        <v>160.0</v>
      </c>
      <c r="E5" s="12" t="s">
        <v>11</v>
      </c>
      <c r="F5" s="31">
        <f>IF(OR(D5="",B9=""),"",B9-D5)</f>
        <v>-16.27</v>
      </c>
      <c r="G5" s="12" t="s">
        <v>12</v>
      </c>
      <c r="H5" s="34">
        <f>IF(OR(D5="",B9=""),"",B9/D5-1)</f>
        <v>-0.1016875</v>
      </c>
    </row>
    <row r="6">
      <c r="A6" s="35"/>
      <c r="B6" s="35"/>
      <c r="C6" s="35"/>
      <c r="D6" s="35"/>
      <c r="E6" s="35"/>
      <c r="F6" s="35"/>
      <c r="G6" s="35"/>
      <c r="H6" s="35"/>
    </row>
    <row r="7" ht="19.5" customHeight="1">
      <c r="A7" s="7" t="s">
        <v>91</v>
      </c>
      <c r="B7" s="10"/>
      <c r="C7" s="10"/>
      <c r="D7" s="10"/>
      <c r="E7" s="10"/>
      <c r="F7" s="10"/>
      <c r="G7" s="10"/>
      <c r="H7" s="9"/>
    </row>
    <row r="8">
      <c r="A8" s="12" t="s">
        <v>13</v>
      </c>
      <c r="B8" s="35"/>
      <c r="C8" s="12" t="s">
        <v>14</v>
      </c>
      <c r="D8" s="35"/>
      <c r="E8" s="12" t="s">
        <v>16</v>
      </c>
      <c r="F8" s="35"/>
      <c r="G8" s="12" t="s">
        <v>18</v>
      </c>
      <c r="H8" s="35"/>
    </row>
    <row r="9">
      <c r="A9" s="35"/>
      <c r="B9" s="38">
        <f>IFERROR(__xludf.DUMMYFUNCTION("IFERROR(GOOGLEFINANCE($B$4,""price""),"""")"),143.73)</f>
        <v>143.73</v>
      </c>
      <c r="C9" s="35"/>
      <c r="D9" s="34">
        <f>IFERROR(__xludf.DUMMYFUNCTION("IFERROR(GOOGLEFINANCE($B$4,""changepct"")/100,"""")"),-0.0354)</f>
        <v>-0.0354</v>
      </c>
      <c r="E9" s="35"/>
      <c r="F9" s="38">
        <f>IFERROR(__xludf.DUMMYFUNCTION("IFERROR(GOOGLEFINANCE($B$4,""priceopen""),"""")"),159.88)</f>
        <v>159.88</v>
      </c>
      <c r="G9" s="39"/>
      <c r="H9" s="38">
        <f>IFERROR(__xludf.DUMMYFUNCTION("IFERROR(GOOGLEFINANCE($B$4,""high""),"""")"),162.65)</f>
        <v>162.65</v>
      </c>
    </row>
    <row r="10">
      <c r="A10" s="12" t="s">
        <v>19</v>
      </c>
      <c r="B10" s="35"/>
      <c r="C10" s="12" t="s">
        <v>20</v>
      </c>
      <c r="D10" s="35"/>
      <c r="E10" s="12" t="s">
        <v>21</v>
      </c>
      <c r="F10" s="35"/>
      <c r="G10" s="12" t="s">
        <v>22</v>
      </c>
      <c r="H10" s="35"/>
    </row>
    <row r="11">
      <c r="A11" s="35"/>
      <c r="B11" s="38">
        <f>IFERROR(__xludf.DUMMYFUNCTION("IFERROR(GOOGLEFINANCE($B$4,""low""),"""")"),143.51)</f>
        <v>143.51</v>
      </c>
      <c r="C11" s="35"/>
      <c r="D11" s="40">
        <f>IFERROR(__xludf.DUMMYFUNCTION("IFERROR(GOOGLEFINANCE($B$4,""volume""),"""")"),834811.0)</f>
        <v>834811</v>
      </c>
      <c r="E11" s="35"/>
      <c r="F11" s="42">
        <f>IFERROR(__xludf.DUMMYFUNCTION("IFERROR(D11/GOOGLEFINANCE($B$4,""volumeavg""),"""")"),0.03462262191902436)</f>
        <v>0.03462262192</v>
      </c>
      <c r="G11" s="35"/>
      <c r="H11" s="43">
        <f>IFERROR(__xludf.DUMMYFUNCTION("IFERROR((B9-GOOGLEFINANCE($B$4,""low52""))/(GOOGLEFINANCE($B$4,""high52"")-GOOGLEFINANCE($B$4,""low52"")),"""")"),0.27178750897343856)</f>
        <v>0.271787509</v>
      </c>
    </row>
    <row r="12">
      <c r="A12" s="35"/>
      <c r="B12" s="35"/>
      <c r="C12" s="35"/>
      <c r="D12" s="35"/>
      <c r="E12" s="35"/>
      <c r="F12" s="35"/>
      <c r="G12" s="35"/>
      <c r="H12" s="35"/>
    </row>
    <row r="13" ht="19.5" customHeight="1">
      <c r="A13" s="7" t="s">
        <v>98</v>
      </c>
      <c r="B13" s="10"/>
      <c r="C13" s="10"/>
      <c r="D13" s="10"/>
      <c r="E13" s="10"/>
      <c r="F13" s="10"/>
      <c r="G13" s="10"/>
      <c r="H13" s="9"/>
    </row>
    <row r="14">
      <c r="A14" s="12" t="s">
        <v>23</v>
      </c>
      <c r="B14" s="35"/>
      <c r="C14" s="12" t="s">
        <v>24</v>
      </c>
      <c r="D14" s="35"/>
      <c r="E14" s="12" t="s">
        <v>25</v>
      </c>
      <c r="F14" s="35"/>
      <c r="G14" s="12" t="s">
        <v>26</v>
      </c>
      <c r="H14" s="35"/>
    </row>
    <row r="15">
      <c r="A15" s="35"/>
      <c r="B15" s="34">
        <f t="array" ref="B15">IF(COUNT('歷史資料'!$E$4:$E$603)&lt;6,"",INDEX('歷史資料'!$E$4:$E$603,COUNT('歷史資料'!$E$4:$E$603))/INDEX('歷史資料'!$E$4:$E$603,COUNT('歷史資料'!$E$4:$E$603)-5)-1)</f>
        <v>-0.07013003817</v>
      </c>
      <c r="C15" s="49"/>
      <c r="D15" s="34" t="str">
        <f t="array" ref="D15">IF(COUNT('歷史資料'!$E$4:$E$603)&lt;21,"",INDEX('歷史資料'!$E$4:$E$603,COUNT('歷史資料'!$E$4:$E$603))/INDEX('歷史資料'!$E$4:$E$603,COUNT('歷史資料'!$E$4:$E$603)-20)-1)</f>
        <v/>
      </c>
      <c r="E15" s="49"/>
      <c r="F15" s="34" t="str">
        <f t="array" ref="F15">IF(COUNT('歷史資料'!$E$4:$E$603)&lt;61,"",INDEX('歷史資料'!$E$4:$E$603,COUNT('歷史資料'!$E$4:$E$603))/INDEX('歷史資料'!$E$4:$E$603,COUNT('歷史資料'!$E$4:$E$603)-60)-1)</f>
        <v/>
      </c>
      <c r="G15" s="35"/>
      <c r="H15" s="38">
        <f t="array" ref="H15">IFERROR(INDEX('歷史資料'!$K$4:$K$603,COUNT('歷史資料'!$E$4:$E$603)),"")</f>
        <v>138.542</v>
      </c>
    </row>
    <row r="16">
      <c r="A16" s="12" t="s">
        <v>27</v>
      </c>
      <c r="B16" s="35"/>
      <c r="C16" s="12" t="s">
        <v>28</v>
      </c>
      <c r="D16" s="35"/>
      <c r="E16" s="12" t="s">
        <v>29</v>
      </c>
      <c r="F16" s="35"/>
      <c r="G16" s="12" t="s">
        <v>30</v>
      </c>
      <c r="H16" s="35"/>
    </row>
    <row r="17">
      <c r="A17" s="35"/>
      <c r="B17" s="38" t="str">
        <f t="array" ref="B17">IFERROR(INDEX('歷史資料'!$L$4:$L$603,COUNT('歷史資料'!$E$4:$E$603)),"")</f>
        <v/>
      </c>
      <c r="C17" s="39"/>
      <c r="D17" s="38" t="str">
        <f t="array" ref="D17">IFERROR(INDEX('歷史資料'!$M$4:$M$603,COUNT('歷史資料'!$E$4:$E$603)),"")</f>
        <v/>
      </c>
      <c r="E17" s="35"/>
      <c r="F17" s="51">
        <f t="array" ref="F17">IFERROR(INDEX('歷史資料'!$N$4:$N$603,COUNT('歷史資料'!$E$4:$E$603)),"")</f>
        <v>47.72727273</v>
      </c>
      <c r="G17" s="35"/>
      <c r="H17" s="43" t="str">
        <f t="array" ref="H17">IFERROR(INDEX('歷史資料'!$O$4:$O$603,COUNT('歷史資料'!$E$4:$E$603)),"")</f>
        <v/>
      </c>
    </row>
    <row r="18">
      <c r="A18" s="12" t="s">
        <v>32</v>
      </c>
      <c r="B18" s="35"/>
      <c r="C18" s="12" t="s">
        <v>33</v>
      </c>
      <c r="D18" s="35"/>
      <c r="E18" s="12" t="s">
        <v>34</v>
      </c>
      <c r="F18" s="35"/>
      <c r="G18" s="12" t="s">
        <v>37</v>
      </c>
      <c r="H18" s="35"/>
    </row>
    <row r="19">
      <c r="A19" s="35"/>
      <c r="B19" s="52" t="str">
        <f>IF(OR(B9="",H15="",B17="",D17=""),"",IFS(AND(B9&gt;H15,H15&gt;B17,B17&gt;D17),"多頭排列",AND(B9&lt;H15,H15&lt;B17,B17&lt;D17),"空頭排列",B9&gt;B17,"偏多震盪",B9&lt;B17,"偏空震盪",TRUE,"盤整"))</f>
        <v/>
      </c>
      <c r="C19" s="35"/>
      <c r="D19" s="52" t="str">
        <f>IF(OR(H17="",F17=""),"",IFS(OR(H17&gt;='歷史資料'!$R$4,F17&gt;='歷史資料'!$R$6,F17&lt;='歷史資料'!$R$8),"高",OR(H17&gt;='歷史資料'!$R$3,F17&gt;='歷史資料'!$R$5,F17&lt;='歷史資料'!$R$7),"中",TRUE,"低"))</f>
        <v/>
      </c>
      <c r="E19" s="35"/>
      <c r="F19" s="38">
        <f>IFERROR(__xludf.DUMMYFUNCTION("IFERROR(GOOGLEFINANCE($B$4,""low52""),"""")"),124.8)</f>
        <v>124.8</v>
      </c>
      <c r="G19" s="39"/>
      <c r="H19" s="38">
        <f>IFERROR(__xludf.DUMMYFUNCTION("IFERROR(GOOGLEFINANCE($B$4,""high52""),"""")"),194.45)</f>
        <v>194.45</v>
      </c>
    </row>
    <row r="20">
      <c r="A20" s="35"/>
      <c r="B20" s="35"/>
      <c r="C20" s="35"/>
      <c r="D20" s="35"/>
      <c r="E20" s="35"/>
      <c r="F20" s="35"/>
      <c r="G20" s="35"/>
      <c r="H20" s="35"/>
    </row>
    <row r="21" ht="19.5" customHeight="1">
      <c r="A21" s="7" t="s">
        <v>105</v>
      </c>
      <c r="B21" s="10"/>
      <c r="C21" s="10"/>
      <c r="D21" s="10"/>
      <c r="E21" s="10"/>
      <c r="F21" s="10"/>
      <c r="G21" s="10"/>
      <c r="H21" s="9"/>
    </row>
    <row r="22" ht="15.75" customHeight="1">
      <c r="A22" s="12" t="s">
        <v>38</v>
      </c>
      <c r="B22" s="35"/>
      <c r="C22" s="12" t="s">
        <v>39</v>
      </c>
      <c r="D22" s="35"/>
      <c r="E22" s="12" t="s">
        <v>40</v>
      </c>
      <c r="F22" s="35"/>
      <c r="G22" s="12" t="s">
        <v>41</v>
      </c>
      <c r="H22" s="35"/>
    </row>
    <row r="23" ht="15.75" customHeight="1">
      <c r="A23" s="35"/>
      <c r="B23" s="40">
        <f>IFERROR(__xludf.DUMMYFUNCTION("IFERROR(GOOGLEFINANCE($B$4,""marketcap""),"""")"),1.1446815908E15)</f>
        <v>1.14468E+15</v>
      </c>
      <c r="C23" s="35"/>
      <c r="D23" s="55">
        <f>IFERROR(__xludf.DUMMYFUNCTION("IFERROR(GOOGLEFINANCE($B$4,""pe""),"""")"),19.57)</f>
        <v>19.57</v>
      </c>
      <c r="E23" s="35"/>
      <c r="F23" s="56">
        <f>IFERROR(__xludf.DUMMYFUNCTION("IFERROR(GOOGLEFINANCE($B$4,""eps""),"""")"),7.34)</f>
        <v>7.34</v>
      </c>
      <c r="G23" s="57"/>
      <c r="H23" s="56" t="str">
        <f>IFERROR(__xludf.DUMMYFUNCTION("IFERROR(GOOGLEFINANCE($B$4,""beta""),"""")"),"")</f>
        <v/>
      </c>
    </row>
    <row r="24" ht="15.75" customHeight="1">
      <c r="A24" s="12" t="s">
        <v>42</v>
      </c>
      <c r="B24" s="35"/>
      <c r="C24" s="12" t="s">
        <v>43</v>
      </c>
      <c r="D24" s="35"/>
      <c r="E24" s="12" t="s">
        <v>44</v>
      </c>
      <c r="F24" s="35"/>
      <c r="G24" s="12" t="s">
        <v>45</v>
      </c>
      <c r="H24" s="35"/>
    </row>
    <row r="25" ht="15.75" customHeight="1">
      <c r="A25" s="35"/>
      <c r="B25" s="58"/>
      <c r="C25" s="59"/>
      <c r="D25" s="40">
        <f>IFERROR(__xludf.DUMMYFUNCTION("IFERROR(GOOGLEFINANCE($B$4,""shares""),"""")"),7.30492E9)</f>
        <v>7304920000</v>
      </c>
      <c r="E25" s="35"/>
      <c r="F25" s="52" t="str">
        <f>IFERROR(__xludf.DUMMYFUNCTION("IFERROR(GOOGLEFINANCE($B$4,""currency""),"""")"),"USD")</f>
        <v>USD</v>
      </c>
      <c r="G25" s="35"/>
      <c r="H25" s="60">
        <f>IFERROR(__xludf.DUMMYFUNCTION("IFERROR(GOOGLEFINANCE($B$4,""tradetime""),"""")"),46234.66666666667)</f>
        <v>46234.66667</v>
      </c>
    </row>
    <row r="26" ht="15.75" customHeight="1">
      <c r="A26" s="35"/>
      <c r="B26" s="35"/>
      <c r="C26" s="35"/>
      <c r="D26" s="35"/>
      <c r="E26" s="35"/>
      <c r="F26" s="35"/>
      <c r="G26" s="35"/>
      <c r="H26" s="35"/>
    </row>
    <row r="27" ht="19.5" customHeight="1">
      <c r="A27" s="7" t="s">
        <v>106</v>
      </c>
      <c r="B27" s="10"/>
      <c r="C27" s="10"/>
      <c r="D27" s="10"/>
      <c r="E27" s="10"/>
      <c r="F27" s="10"/>
      <c r="G27" s="10"/>
      <c r="H27" s="9"/>
    </row>
    <row r="28" ht="25.5" customHeight="1">
      <c r="A28" s="61" t="s">
        <v>107</v>
      </c>
      <c r="B28" s="62" t="str">
        <f>IF(B19="","等待足夠歷史資料","趨勢："&amp;B19&amp;"；5／20／60 日報酬為 "&amp;TEXT(B15,"0.0%")&amp;"／"&amp;TEXT(D15,"0.0%")&amp;"／"&amp;TEXT(F15,"0.0%")&amp;"。")</f>
        <v>等待足夠歷史資料</v>
      </c>
      <c r="C28" s="63"/>
      <c r="D28" s="63"/>
      <c r="E28" s="63"/>
      <c r="F28" s="63"/>
      <c r="G28" s="63"/>
      <c r="H28" s="64"/>
    </row>
    <row r="29" ht="25.5" customHeight="1">
      <c r="A29" s="65" t="s">
        <v>108</v>
      </c>
      <c r="B29" s="66" t="str">
        <f>IF(F11="","等待量能資料","今日成交量 "&amp;TEXT(D11,"#,##0")&amp;" 股，量比 "&amp;TEXT(F11,"0.00x")&amp;IF(F11&gt;=1.5,"，量能明顯放大。",IF(F11&lt;=0.7,"，量能偏弱。","，量能正常。")))</f>
        <v>今日成交量 834,811 股，量比 0.03x，量能偏弱。</v>
      </c>
      <c r="H29" s="67"/>
    </row>
    <row r="30" ht="25.5" customHeight="1">
      <c r="A30" s="65" t="s">
        <v>109</v>
      </c>
      <c r="B30" s="66" t="str">
        <f>IF(B23="","估值資料不可用或尚未更新。","市值 "&amp;TEXT(B23,"#,##0")&amp;" "&amp;F25&amp;"；本益比 "&amp;IF(D23="","N/A",TEXT(D23,"0.0x"))&amp;"；EPS "&amp;IF(F23="","N/A",TEXT(F23,"0.00"))&amp;"。")</f>
        <v>市值 1,144,681,590,800,000 USD；本益比 19.6x；EPS 7.34。</v>
      </c>
      <c r="H30" s="67"/>
    </row>
    <row r="31" ht="25.5" customHeight="1">
      <c r="A31" s="65" t="s">
        <v>110</v>
      </c>
      <c r="B31" s="66" t="str">
        <f>IF(D19="","等待風險資料","風險等級："&amp;D19&amp;"；RSI(14) "&amp;TEXT(F17,"0.0")&amp;"；20 日年化波動度 "&amp;TEXT(H17,"0.0%")&amp;"；52 週位置 "&amp;TEXT(H11,"0.0%")&amp;"。")</f>
        <v>等待風險資料</v>
      </c>
      <c r="H31" s="67"/>
    </row>
    <row r="32" ht="25.5" customHeight="1">
      <c r="A32" s="68" t="s">
        <v>111</v>
      </c>
      <c r="B32" s="69" t="str">
        <f>IF(OR(B19="",D19=""),"等待足夠資料","綜合判讀："&amp;IF(AND(OR(B19="多頭排列",B19="偏多震盪"),D19&lt;&gt;"高"),"趨勢偏正向，仍應依個人週期與風險承受度追蹤。",IF(AND(B19="空頭排列",D19="高"),"趨勢與風險均偏不利，宜提高警覺。","訊號分歧，宜等待價格、量能與基本面出現一致性。")))</f>
        <v>等待足夠資料</v>
      </c>
      <c r="C32" s="70"/>
      <c r="D32" s="70"/>
      <c r="E32" s="70"/>
      <c r="F32" s="70"/>
      <c r="G32" s="70"/>
      <c r="H32" s="71"/>
    </row>
    <row r="33" ht="24.0" customHeight="1">
      <c r="A33" s="72" t="s">
        <v>112</v>
      </c>
      <c r="B33" s="10"/>
      <c r="C33" s="10"/>
      <c r="D33" s="10"/>
      <c r="E33" s="10"/>
      <c r="F33" s="10"/>
      <c r="G33" s="9"/>
      <c r="H33" s="73" t="b">
        <v>0</v>
      </c>
    </row>
    <row r="34" ht="19.5" customHeight="1">
      <c r="A34" s="7" t="s">
        <v>113</v>
      </c>
      <c r="B34" s="10"/>
      <c r="C34" s="10"/>
      <c r="D34" s="10"/>
      <c r="E34" s="10"/>
      <c r="F34" s="10"/>
      <c r="G34" s="10"/>
      <c r="H34" s="9"/>
    </row>
    <row r="35" ht="54.0" customHeight="1">
      <c r="A35" s="61" t="s">
        <v>51</v>
      </c>
      <c r="B35" s="74" t="s">
        <v>93</v>
      </c>
      <c r="C35" s="63"/>
      <c r="D35" s="63"/>
      <c r="E35" s="63"/>
      <c r="F35" s="63"/>
      <c r="G35" s="63"/>
      <c r="H35" s="64"/>
    </row>
    <row r="36" ht="54.0" customHeight="1">
      <c r="A36" s="65" t="s">
        <v>52</v>
      </c>
      <c r="B36" s="75" t="s">
        <v>94</v>
      </c>
      <c r="H36" s="67"/>
    </row>
    <row r="37" ht="54.0" customHeight="1">
      <c r="A37" s="65" t="s">
        <v>53</v>
      </c>
      <c r="B37" s="75" t="s">
        <v>95</v>
      </c>
      <c r="H37" s="67"/>
    </row>
    <row r="38" ht="54.0" customHeight="1">
      <c r="A38" s="65" t="s">
        <v>54</v>
      </c>
      <c r="B38" s="75" t="s">
        <v>96</v>
      </c>
      <c r="H38" s="67"/>
    </row>
    <row r="39" ht="54.0" customHeight="1">
      <c r="A39" s="68" t="s">
        <v>55</v>
      </c>
      <c r="B39" s="76" t="s">
        <v>97</v>
      </c>
      <c r="C39" s="70"/>
      <c r="D39" s="70"/>
      <c r="E39" s="70"/>
      <c r="F39" s="70"/>
      <c r="G39" s="70"/>
      <c r="H39" s="71"/>
    </row>
    <row r="40" ht="15.75" customHeight="1">
      <c r="A40" s="35"/>
      <c r="B40" s="35"/>
      <c r="C40" s="35"/>
      <c r="D40" s="35"/>
      <c r="E40" s="35"/>
      <c r="F40" s="35"/>
      <c r="G40" s="35"/>
      <c r="H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</row>
    <row r="42" ht="19.5" customHeight="1">
      <c r="A42" s="7" t="s">
        <v>114</v>
      </c>
      <c r="B42" s="10"/>
      <c r="C42" s="10"/>
      <c r="D42" s="10"/>
      <c r="E42" s="10"/>
      <c r="F42" s="10"/>
      <c r="G42" s="10"/>
      <c r="H42" s="9"/>
    </row>
    <row r="43" ht="24.0" customHeight="1">
      <c r="A43" s="62" t="s">
        <v>115</v>
      </c>
      <c r="B43" s="63"/>
      <c r="C43" s="63"/>
      <c r="D43" s="63"/>
      <c r="E43" s="63"/>
      <c r="F43" s="63"/>
      <c r="G43" s="63"/>
      <c r="H43" s="64"/>
    </row>
    <row r="44" ht="24.0" customHeight="1">
      <c r="A44" s="77" t="s">
        <v>116</v>
      </c>
      <c r="B44" s="70"/>
      <c r="C44" s="70"/>
      <c r="D44" s="70"/>
      <c r="E44" s="70"/>
      <c r="F44" s="70"/>
      <c r="G44" s="70"/>
      <c r="H44" s="7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H1"/>
    <mergeCell ref="A2:H2"/>
    <mergeCell ref="A3:H3"/>
    <mergeCell ref="A7:H7"/>
    <mergeCell ref="A13:H13"/>
    <mergeCell ref="A21:H21"/>
    <mergeCell ref="A27:H27"/>
    <mergeCell ref="B35:H35"/>
    <mergeCell ref="B36:H36"/>
    <mergeCell ref="B37:H37"/>
    <mergeCell ref="B38:H38"/>
    <mergeCell ref="B39:H39"/>
    <mergeCell ref="A42:H42"/>
    <mergeCell ref="A43:H43"/>
    <mergeCell ref="A44:H44"/>
    <mergeCell ref="B28:H28"/>
    <mergeCell ref="B29:H29"/>
    <mergeCell ref="B30:H30"/>
    <mergeCell ref="B31:H31"/>
    <mergeCell ref="B32:H32"/>
    <mergeCell ref="A33:G33"/>
    <mergeCell ref="A34:H34"/>
  </mergeCells>
  <conditionalFormatting sqref="F5">
    <cfRule type="cellIs" dxfId="0" priority="1" operator="greaterThan">
      <formula>0</formula>
    </cfRule>
  </conditionalFormatting>
  <conditionalFormatting sqref="F5">
    <cfRule type="cellIs" dxfId="1" priority="2" operator="lessThan">
      <formula>0</formula>
    </cfRule>
  </conditionalFormatting>
  <conditionalFormatting sqref="H5">
    <cfRule type="cellIs" dxfId="0" priority="3" operator="greaterThan">
      <formula>0</formula>
    </cfRule>
  </conditionalFormatting>
  <conditionalFormatting sqref="H5">
    <cfRule type="cellIs" dxfId="1" priority="4" operator="lessThan">
      <formula>0</formula>
    </cfRule>
  </conditionalFormatting>
  <conditionalFormatting sqref="D9">
    <cfRule type="cellIs" dxfId="0" priority="5" operator="greaterThan">
      <formula>0</formula>
    </cfRule>
  </conditionalFormatting>
  <conditionalFormatting sqref="D9">
    <cfRule type="cellIs" dxfId="1" priority="6" operator="lessThan">
      <formula>0</formula>
    </cfRule>
  </conditionalFormatting>
  <conditionalFormatting sqref="B15">
    <cfRule type="cellIs" dxfId="0" priority="7" operator="greaterThan">
      <formula>0</formula>
    </cfRule>
  </conditionalFormatting>
  <conditionalFormatting sqref="B15">
    <cfRule type="cellIs" dxfId="1" priority="8" operator="lessThan">
      <formula>0</formula>
    </cfRule>
  </conditionalFormatting>
  <conditionalFormatting sqref="D15">
    <cfRule type="cellIs" dxfId="0" priority="9" operator="greaterThan">
      <formula>0</formula>
    </cfRule>
  </conditionalFormatting>
  <conditionalFormatting sqref="D15">
    <cfRule type="cellIs" dxfId="1" priority="10" operator="lessThan">
      <formula>0</formula>
    </cfRule>
  </conditionalFormatting>
  <conditionalFormatting sqref="F15">
    <cfRule type="cellIs" dxfId="0" priority="11" operator="greaterThan">
      <formula>0</formula>
    </cfRule>
  </conditionalFormatting>
  <conditionalFormatting sqref="F15">
    <cfRule type="cellIs" dxfId="1" priority="12" operator="lessThan">
      <formula>0</formula>
    </cfRule>
  </conditionalFormatting>
  <conditionalFormatting sqref="B19">
    <cfRule type="containsText" dxfId="2" priority="13" operator="containsText" text="多">
      <formula>NOT(ISERROR(SEARCH(("多"),(B19))))</formula>
    </cfRule>
  </conditionalFormatting>
  <conditionalFormatting sqref="B19">
    <cfRule type="containsText" dxfId="3" priority="14" operator="containsText" text="空">
      <formula>NOT(ISERROR(SEARCH(("空"),(B19))))</formula>
    </cfRule>
  </conditionalFormatting>
  <conditionalFormatting sqref="B19">
    <cfRule type="containsText" dxfId="2" priority="15" operator="containsText" text="偏多">
      <formula>NOT(ISERROR(SEARCH(("偏多"),(B19))))</formula>
    </cfRule>
  </conditionalFormatting>
  <conditionalFormatting sqref="B19">
    <cfRule type="containsText" dxfId="3" priority="16" operator="containsText" text="偏空">
      <formula>NOT(ISERROR(SEARCH(("偏空"),(B19))))</formula>
    </cfRule>
  </conditionalFormatting>
  <conditionalFormatting sqref="D19">
    <cfRule type="containsText" dxfId="3" priority="17" operator="containsText" text="高">
      <formula>NOT(ISERROR(SEARCH(("高"),(D19))))</formula>
    </cfRule>
  </conditionalFormatting>
  <conditionalFormatting sqref="D19">
    <cfRule type="containsText" dxfId="4" priority="18" operator="containsText" text="中">
      <formula>NOT(ISERROR(SEARCH(("中"),(D19))))</formula>
    </cfRule>
  </conditionalFormatting>
  <conditionalFormatting sqref="D19">
    <cfRule type="containsText" dxfId="2" priority="19" operator="containsText" text="低">
      <formula>NOT(ISERROR(SEARCH(("低"),(D19))))</formula>
    </cfRule>
  </conditionalFormatting>
  <dataValidations>
    <dataValidation type="list" allowBlank="1" sqref="H4">
      <formula1>"短線（1–20 日）,波段（1–6 月）,中長期（6 月以上）"</formula1>
    </dataValidation>
    <dataValidation type="list" allowBlank="1" sqref="B5">
      <formula1>"未持有,觀察中,持有中,已出場"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88"/>
    <col customWidth="1" min="2" max="15" width="11.5"/>
    <col customWidth="1" min="16" max="16" width="8.63"/>
    <col customWidth="1" min="17" max="17" width="23.75"/>
    <col customWidth="1" min="18" max="18" width="11.88"/>
    <col customWidth="1" min="19" max="26" width="8.63"/>
  </cols>
  <sheetData>
    <row r="1" ht="25.5" customHeight="1">
      <c r="A1" s="2" t="s">
        <v>2</v>
      </c>
      <c r="P1" s="5"/>
      <c r="Q1" s="7" t="s">
        <v>7</v>
      </c>
      <c r="R1" s="9"/>
    </row>
    <row r="2" ht="24.0" customHeight="1">
      <c r="A2" s="11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8"/>
      <c r="P2" s="5"/>
      <c r="Q2" s="13" t="s">
        <v>31</v>
      </c>
      <c r="R2" s="13" t="s">
        <v>35</v>
      </c>
    </row>
    <row r="3" ht="22.5" customHeight="1">
      <c r="A3" s="18" t="str">
        <f>IFERROR(__xludf.DUMMYFUNCTION("IF('每日個股健檢'!$B$4="""","""",GOOGLEFINANCE('每日個股健檢'!$B$4,""all"",TODAY()-500,TODAY(),""DAILY""))"),"Date")</f>
        <v>Date</v>
      </c>
      <c r="B3" s="18" t="str">
        <f>IFERROR(__xludf.DUMMYFUNCTION("""COMPUTED_VALUE"""),"Open")</f>
        <v>Open</v>
      </c>
      <c r="C3" s="18" t="str">
        <f>IFERROR(__xludf.DUMMYFUNCTION("""COMPUTED_VALUE"""),"High")</f>
        <v>High</v>
      </c>
      <c r="D3" s="18" t="str">
        <f>IFERROR(__xludf.DUMMYFUNCTION("""COMPUTED_VALUE"""),"Low")</f>
        <v>Low</v>
      </c>
      <c r="E3" s="18" t="str">
        <f>IFERROR(__xludf.DUMMYFUNCTION("""COMPUTED_VALUE"""),"Close")</f>
        <v>Close</v>
      </c>
      <c r="F3" s="18" t="str">
        <f>IFERROR(__xludf.DUMMYFUNCTION("""COMPUTED_VALUE"""),"Volume")</f>
        <v>Volume</v>
      </c>
      <c r="G3" s="18" t="s">
        <v>61</v>
      </c>
      <c r="H3" s="18" t="s">
        <v>62</v>
      </c>
      <c r="I3" s="18" t="s">
        <v>64</v>
      </c>
      <c r="J3" s="18" t="s">
        <v>66</v>
      </c>
      <c r="K3" s="18" t="s">
        <v>26</v>
      </c>
      <c r="L3" s="18" t="s">
        <v>27</v>
      </c>
      <c r="M3" s="18" t="s">
        <v>28</v>
      </c>
      <c r="N3" s="18" t="s">
        <v>29</v>
      </c>
      <c r="O3" s="18" t="s">
        <v>30</v>
      </c>
      <c r="P3" s="5"/>
      <c r="Q3" s="26" t="s">
        <v>70</v>
      </c>
      <c r="R3" s="28">
        <v>0.25</v>
      </c>
    </row>
    <row r="4">
      <c r="A4" s="30">
        <f>IFERROR(__xludf.DUMMYFUNCTION("""COMPUTED_VALUE"""),46213.66666666667)</f>
        <v>46213.66667</v>
      </c>
      <c r="B4" s="32">
        <f>IFERROR(__xludf.DUMMYFUNCTION("""COMPUTED_VALUE"""),170.0)</f>
        <v>170</v>
      </c>
      <c r="C4" s="32">
        <f>IFERROR(__xludf.DUMMYFUNCTION("""COMPUTED_VALUE"""),177.0)</f>
        <v>177</v>
      </c>
      <c r="D4" s="32">
        <f>IFERROR(__xludf.DUMMYFUNCTION("""COMPUTED_VALUE"""),166.19)</f>
        <v>166.19</v>
      </c>
      <c r="E4" s="32">
        <f>IFERROR(__xludf.DUMMYFUNCTION("""COMPUTED_VALUE"""),168.01)</f>
        <v>168.01</v>
      </c>
      <c r="F4" s="33">
        <f>IFERROR(__xludf.DUMMYFUNCTION("""COMPUTED_VALUE"""),1.07674662E8)</f>
        <v>107674662</v>
      </c>
      <c r="G4" s="36" t="str">
        <f t="shared" ref="G4:G603" si="1">IFERROR(IF(E4="","",E4/E3-1),"")</f>
        <v/>
      </c>
      <c r="H4" s="37" t="str">
        <f t="shared" ref="H4:H603" si="2">IFERROR(IF(E4="","",E4-E3),"")</f>
        <v/>
      </c>
      <c r="I4" s="37" t="str">
        <f t="shared" ref="I4:I603" si="3">IF(H4="","",MAX(H4,0))</f>
        <v/>
      </c>
      <c r="J4" s="37" t="str">
        <f t="shared" ref="J4:J603" si="4">IF(H4="","",MAX(-H4,0))</f>
        <v/>
      </c>
      <c r="K4" s="32" t="str">
        <f t="shared" ref="K4:K603" si="5">IF(E4="","",IF(COUNT($E$4:E4)&lt;5,"",AVERAGE(INDEX($E$4:E4,ROWS($E$4:E4)-4):E4)))</f>
        <v/>
      </c>
      <c r="L4" s="32" t="str">
        <f t="shared" ref="L4:L603" si="6">IF(E4="","",IF(COUNT($E$4:E4)&lt;20,"",AVERAGE(INDEX($E$4:E4,ROWS($E$4:E4)-19):E4)))</f>
        <v/>
      </c>
      <c r="M4" s="32" t="str">
        <f t="shared" ref="M4:M603" si="7">IF(E4="","",IF(COUNT($E$4:E4)&lt;60,"",AVERAGE(INDEX($E$4:E4,ROWS($E$4:E4)-59):E4)))</f>
        <v/>
      </c>
      <c r="N4" s="44" t="str">
        <f t="shared" ref="N4:N603" si="8">IF(E4="","",IF(COUNT($E$4:E4)&lt;15,"",IF(SUM(INDEX($J$4:J4,ROWS($J$4:J4)-13):J4)=0,100,100-100/(1+SUM(INDEX($I$4:I4,ROWS($I$4:I4)-13):I4)/SUM(INDEX($J$4:J4,ROWS($J$4:J4)-13):J4)))))</f>
        <v/>
      </c>
      <c r="O4" s="45" t="str">
        <f t="shared" ref="O4:O603" si="9">IF(G4="","",IF(COUNT($G$4:G4)&lt;20,"",_xlfn.STDEV.S(INDEX($G$4:G4,ROWS($G$4:G4)-19):G4)*SQRT($R$9)))</f>
        <v/>
      </c>
      <c r="P4" s="5"/>
      <c r="Q4" s="26" t="s">
        <v>99</v>
      </c>
      <c r="R4" s="28">
        <v>0.4</v>
      </c>
    </row>
    <row r="5">
      <c r="A5" s="46">
        <f>IFERROR(__xludf.DUMMYFUNCTION("""COMPUTED_VALUE"""),46216.66666666667)</f>
        <v>46216.66667</v>
      </c>
      <c r="B5" s="47">
        <f>IFERROR(__xludf.DUMMYFUNCTION("""COMPUTED_VALUE"""),152.62)</f>
        <v>152.62</v>
      </c>
      <c r="C5" s="47">
        <f>IFERROR(__xludf.DUMMYFUNCTION("""COMPUTED_VALUE"""),162.28)</f>
        <v>162.28</v>
      </c>
      <c r="D5" s="47">
        <f>IFERROR(__xludf.DUMMYFUNCTION("""COMPUTED_VALUE"""),151.3)</f>
        <v>151.3</v>
      </c>
      <c r="E5" s="47">
        <f>IFERROR(__xludf.DUMMYFUNCTION("""COMPUTED_VALUE"""),152.35)</f>
        <v>152.35</v>
      </c>
      <c r="F5" s="48">
        <f>IFERROR(__xludf.DUMMYFUNCTION("""COMPUTED_VALUE"""),5.7284315E7)</f>
        <v>57284315</v>
      </c>
      <c r="G5" s="36">
        <f t="shared" si="1"/>
        <v>-0.09320873758</v>
      </c>
      <c r="H5" s="37">
        <f t="shared" si="2"/>
        <v>-15.66</v>
      </c>
      <c r="I5" s="37">
        <f t="shared" si="3"/>
        <v>0</v>
      </c>
      <c r="J5" s="37">
        <f t="shared" si="4"/>
        <v>15.66</v>
      </c>
      <c r="K5" s="32" t="str">
        <f t="shared" si="5"/>
        <v/>
      </c>
      <c r="L5" s="32" t="str">
        <f t="shared" si="6"/>
        <v/>
      </c>
      <c r="M5" s="32" t="str">
        <f t="shared" si="7"/>
        <v/>
      </c>
      <c r="N5" s="44" t="str">
        <f t="shared" si="8"/>
        <v/>
      </c>
      <c r="O5" s="45" t="str">
        <f t="shared" si="9"/>
        <v/>
      </c>
      <c r="P5" s="5"/>
      <c r="Q5" s="26" t="s">
        <v>100</v>
      </c>
      <c r="R5" s="50">
        <v>70.0</v>
      </c>
    </row>
    <row r="6">
      <c r="A6" s="46">
        <f>IFERROR(__xludf.DUMMYFUNCTION("""COMPUTED_VALUE"""),46217.66666666667)</f>
        <v>46217.66667</v>
      </c>
      <c r="B6" s="47">
        <f>IFERROR(__xludf.DUMMYFUNCTION("""COMPUTED_VALUE"""),168.11)</f>
        <v>168.11</v>
      </c>
      <c r="C6" s="47">
        <f>IFERROR(__xludf.DUMMYFUNCTION("""COMPUTED_VALUE"""),194.8)</f>
        <v>194.8</v>
      </c>
      <c r="D6" s="47">
        <f>IFERROR(__xludf.DUMMYFUNCTION("""COMPUTED_VALUE"""),165.5)</f>
        <v>165.5</v>
      </c>
      <c r="E6" s="47">
        <f>IFERROR(__xludf.DUMMYFUNCTION("""COMPUTED_VALUE"""),193.92)</f>
        <v>193.92</v>
      </c>
      <c r="F6" s="48">
        <f>IFERROR(__xludf.DUMMYFUNCTION("""COMPUTED_VALUE"""),7.2647674E7)</f>
        <v>72647674</v>
      </c>
      <c r="G6" s="36">
        <f t="shared" si="1"/>
        <v>0.2728585494</v>
      </c>
      <c r="H6" s="37">
        <f t="shared" si="2"/>
        <v>41.57</v>
      </c>
      <c r="I6" s="37">
        <f t="shared" si="3"/>
        <v>41.57</v>
      </c>
      <c r="J6" s="37">
        <f t="shared" si="4"/>
        <v>0</v>
      </c>
      <c r="K6" s="32" t="str">
        <f t="shared" si="5"/>
        <v/>
      </c>
      <c r="L6" s="32" t="str">
        <f t="shared" si="6"/>
        <v/>
      </c>
      <c r="M6" s="32" t="str">
        <f t="shared" si="7"/>
        <v/>
      </c>
      <c r="N6" s="44" t="str">
        <f t="shared" si="8"/>
        <v/>
      </c>
      <c r="O6" s="45" t="str">
        <f t="shared" si="9"/>
        <v/>
      </c>
      <c r="P6" s="5"/>
      <c r="Q6" s="26" t="s">
        <v>101</v>
      </c>
      <c r="R6" s="50">
        <v>75.0</v>
      </c>
    </row>
    <row r="7">
      <c r="A7" s="46">
        <f>IFERROR(__xludf.DUMMYFUNCTION("""COMPUTED_VALUE"""),46218.66666666667)</f>
        <v>46218.66667</v>
      </c>
      <c r="B7" s="47">
        <f>IFERROR(__xludf.DUMMYFUNCTION("""COMPUTED_VALUE"""),181.81)</f>
        <v>181.81</v>
      </c>
      <c r="C7" s="47">
        <f>IFERROR(__xludf.DUMMYFUNCTION("""COMPUTED_VALUE"""),187.95)</f>
        <v>187.95</v>
      </c>
      <c r="D7" s="47">
        <f>IFERROR(__xludf.DUMMYFUNCTION("""COMPUTED_VALUE"""),166.48)</f>
        <v>166.48</v>
      </c>
      <c r="E7" s="47">
        <f>IFERROR(__xludf.DUMMYFUNCTION("""COMPUTED_VALUE"""),176.46)</f>
        <v>176.46</v>
      </c>
      <c r="F7" s="48">
        <f>IFERROR(__xludf.DUMMYFUNCTION("""COMPUTED_VALUE"""),7.630766E7)</f>
        <v>76307660</v>
      </c>
      <c r="G7" s="36">
        <f t="shared" si="1"/>
        <v>-0.09003712871</v>
      </c>
      <c r="H7" s="37">
        <f t="shared" si="2"/>
        <v>-17.46</v>
      </c>
      <c r="I7" s="37">
        <f t="shared" si="3"/>
        <v>0</v>
      </c>
      <c r="J7" s="37">
        <f t="shared" si="4"/>
        <v>17.46</v>
      </c>
      <c r="K7" s="32" t="str">
        <f t="shared" si="5"/>
        <v/>
      </c>
      <c r="L7" s="32" t="str">
        <f t="shared" si="6"/>
        <v/>
      </c>
      <c r="M7" s="32" t="str">
        <f t="shared" si="7"/>
        <v/>
      </c>
      <c r="N7" s="44" t="str">
        <f t="shared" si="8"/>
        <v/>
      </c>
      <c r="O7" s="45" t="str">
        <f t="shared" si="9"/>
        <v/>
      </c>
      <c r="P7" s="5"/>
      <c r="Q7" s="26" t="s">
        <v>102</v>
      </c>
      <c r="R7" s="50">
        <v>30.0</v>
      </c>
    </row>
    <row r="8">
      <c r="A8" s="46">
        <f>IFERROR(__xludf.DUMMYFUNCTION("""COMPUTED_VALUE"""),46219.66666666667)</f>
        <v>46219.66667</v>
      </c>
      <c r="B8" s="47">
        <f>IFERROR(__xludf.DUMMYFUNCTION("""COMPUTED_VALUE"""),165.91)</f>
        <v>165.91</v>
      </c>
      <c r="C8" s="47">
        <f>IFERROR(__xludf.DUMMYFUNCTION("""COMPUTED_VALUE"""),168.2)</f>
        <v>168.2</v>
      </c>
      <c r="D8" s="47">
        <f>IFERROR(__xludf.DUMMYFUNCTION("""COMPUTED_VALUE"""),151.38)</f>
        <v>151.38</v>
      </c>
      <c r="E8" s="47">
        <f>IFERROR(__xludf.DUMMYFUNCTION("""COMPUTED_VALUE"""),152.31)</f>
        <v>152.31</v>
      </c>
      <c r="F8" s="48">
        <f>IFERROR(__xludf.DUMMYFUNCTION("""COMPUTED_VALUE"""),5.6250532E7)</f>
        <v>56250532</v>
      </c>
      <c r="G8" s="36">
        <f t="shared" si="1"/>
        <v>-0.1368582115</v>
      </c>
      <c r="H8" s="37">
        <f t="shared" si="2"/>
        <v>-24.15</v>
      </c>
      <c r="I8" s="37">
        <f t="shared" si="3"/>
        <v>0</v>
      </c>
      <c r="J8" s="37">
        <f t="shared" si="4"/>
        <v>24.15</v>
      </c>
      <c r="K8" s="32">
        <f t="shared" si="5"/>
        <v>168.61</v>
      </c>
      <c r="L8" s="32" t="str">
        <f t="shared" si="6"/>
        <v/>
      </c>
      <c r="M8" s="32" t="str">
        <f t="shared" si="7"/>
        <v/>
      </c>
      <c r="N8" s="44" t="str">
        <f t="shared" si="8"/>
        <v/>
      </c>
      <c r="O8" s="45" t="str">
        <f t="shared" si="9"/>
        <v/>
      </c>
      <c r="P8" s="5"/>
      <c r="Q8" s="26" t="s">
        <v>103</v>
      </c>
      <c r="R8" s="50">
        <v>25.0</v>
      </c>
    </row>
    <row r="9">
      <c r="A9" s="46">
        <f>IFERROR(__xludf.DUMMYFUNCTION("""COMPUTED_VALUE"""),46220.66666666667)</f>
        <v>46220.66667</v>
      </c>
      <c r="B9" s="47">
        <f>IFERROR(__xludf.DUMMYFUNCTION("""COMPUTED_VALUE"""),152.11)</f>
        <v>152.11</v>
      </c>
      <c r="C9" s="47">
        <f>IFERROR(__xludf.DUMMYFUNCTION("""COMPUTED_VALUE"""),167.37)</f>
        <v>167.37</v>
      </c>
      <c r="D9" s="47">
        <f>IFERROR(__xludf.DUMMYFUNCTION("""COMPUTED_VALUE"""),145.57)</f>
        <v>145.57</v>
      </c>
      <c r="E9" s="47">
        <f>IFERROR(__xludf.DUMMYFUNCTION("""COMPUTED_VALUE"""),154.03)</f>
        <v>154.03</v>
      </c>
      <c r="F9" s="48">
        <f>IFERROR(__xludf.DUMMYFUNCTION("""COMPUTED_VALUE"""),7.3978315E7)</f>
        <v>73978315</v>
      </c>
      <c r="G9" s="36">
        <f t="shared" si="1"/>
        <v>0.01129275819</v>
      </c>
      <c r="H9" s="37">
        <f t="shared" si="2"/>
        <v>1.72</v>
      </c>
      <c r="I9" s="37">
        <f t="shared" si="3"/>
        <v>1.72</v>
      </c>
      <c r="J9" s="37">
        <f t="shared" si="4"/>
        <v>0</v>
      </c>
      <c r="K9" s="32">
        <f t="shared" si="5"/>
        <v>165.814</v>
      </c>
      <c r="L9" s="32" t="str">
        <f t="shared" si="6"/>
        <v/>
      </c>
      <c r="M9" s="32" t="str">
        <f t="shared" si="7"/>
        <v/>
      </c>
      <c r="N9" s="44" t="str">
        <f t="shared" si="8"/>
        <v/>
      </c>
      <c r="O9" s="45" t="str">
        <f t="shared" si="9"/>
        <v/>
      </c>
      <c r="P9" s="5"/>
      <c r="Q9" s="53" t="s">
        <v>104</v>
      </c>
      <c r="R9" s="54">
        <v>252.0</v>
      </c>
    </row>
    <row r="10">
      <c r="A10" s="46">
        <f>IFERROR(__xludf.DUMMYFUNCTION("""COMPUTED_VALUE"""),46223.66666666667)</f>
        <v>46223.66667</v>
      </c>
      <c r="B10" s="47">
        <f>IFERROR(__xludf.DUMMYFUNCTION("""COMPUTED_VALUE"""),163.42)</f>
        <v>163.42</v>
      </c>
      <c r="C10" s="47">
        <f>IFERROR(__xludf.DUMMYFUNCTION("""COMPUTED_VALUE"""),163.43)</f>
        <v>163.43</v>
      </c>
      <c r="D10" s="47">
        <f>IFERROR(__xludf.DUMMYFUNCTION("""COMPUTED_VALUE"""),149.74)</f>
        <v>149.74</v>
      </c>
      <c r="E10" s="47">
        <f>IFERROR(__xludf.DUMMYFUNCTION("""COMPUTED_VALUE"""),151.16)</f>
        <v>151.16</v>
      </c>
      <c r="F10" s="48">
        <f>IFERROR(__xludf.DUMMYFUNCTION("""COMPUTED_VALUE"""),3.7817455E7)</f>
        <v>37817455</v>
      </c>
      <c r="G10" s="36">
        <f t="shared" si="1"/>
        <v>-0.01863273388</v>
      </c>
      <c r="H10" s="37">
        <f t="shared" si="2"/>
        <v>-2.87</v>
      </c>
      <c r="I10" s="37">
        <f t="shared" si="3"/>
        <v>0</v>
      </c>
      <c r="J10" s="37">
        <f t="shared" si="4"/>
        <v>2.87</v>
      </c>
      <c r="K10" s="32">
        <f t="shared" si="5"/>
        <v>165.576</v>
      </c>
      <c r="L10" s="32" t="str">
        <f t="shared" si="6"/>
        <v/>
      </c>
      <c r="M10" s="32" t="str">
        <f t="shared" si="7"/>
        <v/>
      </c>
      <c r="N10" s="44" t="str">
        <f t="shared" si="8"/>
        <v/>
      </c>
      <c r="O10" s="45" t="str">
        <f t="shared" si="9"/>
        <v/>
      </c>
      <c r="P10" s="5"/>
      <c r="Q10" s="5"/>
      <c r="R10" s="5"/>
    </row>
    <row r="11">
      <c r="A11" s="46">
        <f>IFERROR(__xludf.DUMMYFUNCTION("""COMPUTED_VALUE"""),46224.66666666667)</f>
        <v>46224.66667</v>
      </c>
      <c r="B11" s="47">
        <f>IFERROR(__xludf.DUMMYFUNCTION("""COMPUTED_VALUE"""),161.75)</f>
        <v>161.75</v>
      </c>
      <c r="C11" s="47">
        <f>IFERROR(__xludf.DUMMYFUNCTION("""COMPUTED_VALUE"""),173.22)</f>
        <v>173.22</v>
      </c>
      <c r="D11" s="47">
        <f>IFERROR(__xludf.DUMMYFUNCTION("""COMPUTED_VALUE"""),160.54)</f>
        <v>160.54</v>
      </c>
      <c r="E11" s="47">
        <f>IFERROR(__xludf.DUMMYFUNCTION("""COMPUTED_VALUE"""),171.94)</f>
        <v>171.94</v>
      </c>
      <c r="F11" s="48">
        <f>IFERROR(__xludf.DUMMYFUNCTION("""COMPUTED_VALUE"""),3.8925609E7)</f>
        <v>38925609</v>
      </c>
      <c r="G11" s="36">
        <f t="shared" si="1"/>
        <v>0.1374702302</v>
      </c>
      <c r="H11" s="37">
        <f t="shared" si="2"/>
        <v>20.78</v>
      </c>
      <c r="I11" s="37">
        <f t="shared" si="3"/>
        <v>20.78</v>
      </c>
      <c r="J11" s="37">
        <f t="shared" si="4"/>
        <v>0</v>
      </c>
      <c r="K11" s="32">
        <f t="shared" si="5"/>
        <v>161.18</v>
      </c>
      <c r="L11" s="32" t="str">
        <f t="shared" si="6"/>
        <v/>
      </c>
      <c r="M11" s="32" t="str">
        <f t="shared" si="7"/>
        <v/>
      </c>
      <c r="N11" s="44" t="str">
        <f t="shared" si="8"/>
        <v/>
      </c>
      <c r="O11" s="45" t="str">
        <f t="shared" si="9"/>
        <v/>
      </c>
      <c r="P11" s="5"/>
      <c r="Q11" s="5"/>
      <c r="R11" s="5"/>
    </row>
    <row r="12">
      <c r="A12" s="46">
        <f>IFERROR(__xludf.DUMMYFUNCTION("""COMPUTED_VALUE"""),46225.66666666667)</f>
        <v>46225.66667</v>
      </c>
      <c r="B12" s="47">
        <f>IFERROR(__xludf.DUMMYFUNCTION("""COMPUTED_VALUE"""),162.16)</f>
        <v>162.16</v>
      </c>
      <c r="C12" s="47">
        <f>IFERROR(__xludf.DUMMYFUNCTION("""COMPUTED_VALUE"""),170.09)</f>
        <v>170.09</v>
      </c>
      <c r="D12" s="47">
        <f>IFERROR(__xludf.DUMMYFUNCTION("""COMPUTED_VALUE"""),162.0)</f>
        <v>162</v>
      </c>
      <c r="E12" s="47">
        <f>IFERROR(__xludf.DUMMYFUNCTION("""COMPUTED_VALUE"""),165.27)</f>
        <v>165.27</v>
      </c>
      <c r="F12" s="48">
        <f>IFERROR(__xludf.DUMMYFUNCTION("""COMPUTED_VALUE"""),2.7122764E7)</f>
        <v>27122764</v>
      </c>
      <c r="G12" s="36">
        <f t="shared" si="1"/>
        <v>-0.03879260207</v>
      </c>
      <c r="H12" s="37">
        <f t="shared" si="2"/>
        <v>-6.67</v>
      </c>
      <c r="I12" s="37">
        <f t="shared" si="3"/>
        <v>0</v>
      </c>
      <c r="J12" s="37">
        <f t="shared" si="4"/>
        <v>6.67</v>
      </c>
      <c r="K12" s="32">
        <f t="shared" si="5"/>
        <v>158.942</v>
      </c>
      <c r="L12" s="32" t="str">
        <f t="shared" si="6"/>
        <v/>
      </c>
      <c r="M12" s="32" t="str">
        <f t="shared" si="7"/>
        <v/>
      </c>
      <c r="N12" s="44" t="str">
        <f t="shared" si="8"/>
        <v/>
      </c>
      <c r="O12" s="45" t="str">
        <f t="shared" si="9"/>
        <v/>
      </c>
      <c r="P12" s="5"/>
      <c r="Q12" s="5"/>
      <c r="R12" s="5"/>
    </row>
    <row r="13">
      <c r="A13" s="46">
        <f>IFERROR(__xludf.DUMMYFUNCTION("""COMPUTED_VALUE"""),46226.66666666667)</f>
        <v>46226.66667</v>
      </c>
      <c r="B13" s="47">
        <f>IFERROR(__xludf.DUMMYFUNCTION("""COMPUTED_VALUE"""),170.72)</f>
        <v>170.72</v>
      </c>
      <c r="C13" s="47">
        <f>IFERROR(__xludf.DUMMYFUNCTION("""COMPUTED_VALUE"""),177.93)</f>
        <v>177.93</v>
      </c>
      <c r="D13" s="47">
        <f>IFERROR(__xludf.DUMMYFUNCTION("""COMPUTED_VALUE"""),167.02)</f>
        <v>167.02</v>
      </c>
      <c r="E13" s="47">
        <f>IFERROR(__xludf.DUMMYFUNCTION("""COMPUTED_VALUE"""),169.5)</f>
        <v>169.5</v>
      </c>
      <c r="F13" s="48">
        <f>IFERROR(__xludf.DUMMYFUNCTION("""COMPUTED_VALUE"""),3.6234862E7)</f>
        <v>36234862</v>
      </c>
      <c r="G13" s="36">
        <f t="shared" si="1"/>
        <v>0.02559448176</v>
      </c>
      <c r="H13" s="37">
        <f t="shared" si="2"/>
        <v>4.23</v>
      </c>
      <c r="I13" s="37">
        <f t="shared" si="3"/>
        <v>4.23</v>
      </c>
      <c r="J13" s="37">
        <f t="shared" si="4"/>
        <v>0</v>
      </c>
      <c r="K13" s="32">
        <f t="shared" si="5"/>
        <v>162.38</v>
      </c>
      <c r="L13" s="32" t="str">
        <f t="shared" si="6"/>
        <v/>
      </c>
      <c r="M13" s="32" t="str">
        <f t="shared" si="7"/>
        <v/>
      </c>
      <c r="N13" s="44" t="str">
        <f t="shared" si="8"/>
        <v/>
      </c>
      <c r="O13" s="45" t="str">
        <f t="shared" si="9"/>
        <v/>
      </c>
      <c r="P13" s="5"/>
      <c r="Q13" s="5"/>
      <c r="R13" s="5"/>
    </row>
    <row r="14">
      <c r="A14" s="46">
        <f>IFERROR(__xludf.DUMMYFUNCTION("""COMPUTED_VALUE"""),46227.66666666667)</f>
        <v>46227.66667</v>
      </c>
      <c r="B14" s="47">
        <f>IFERROR(__xludf.DUMMYFUNCTION("""COMPUTED_VALUE"""),163.91)</f>
        <v>163.91</v>
      </c>
      <c r="C14" s="47">
        <f>IFERROR(__xludf.DUMMYFUNCTION("""COMPUTED_VALUE"""),164.2)</f>
        <v>164.2</v>
      </c>
      <c r="D14" s="47">
        <f>IFERROR(__xludf.DUMMYFUNCTION("""COMPUTED_VALUE"""),153.1)</f>
        <v>153.1</v>
      </c>
      <c r="E14" s="47">
        <f>IFERROR(__xludf.DUMMYFUNCTION("""COMPUTED_VALUE"""),154.57)</f>
        <v>154.57</v>
      </c>
      <c r="F14" s="48">
        <f>IFERROR(__xludf.DUMMYFUNCTION("""COMPUTED_VALUE"""),2.6255531E7)</f>
        <v>26255531</v>
      </c>
      <c r="G14" s="36">
        <f t="shared" si="1"/>
        <v>-0.08808259587</v>
      </c>
      <c r="H14" s="37">
        <f t="shared" si="2"/>
        <v>-14.93</v>
      </c>
      <c r="I14" s="37">
        <f t="shared" si="3"/>
        <v>0</v>
      </c>
      <c r="J14" s="37">
        <f t="shared" si="4"/>
        <v>14.93</v>
      </c>
      <c r="K14" s="32">
        <f t="shared" si="5"/>
        <v>162.488</v>
      </c>
      <c r="L14" s="32" t="str">
        <f t="shared" si="6"/>
        <v/>
      </c>
      <c r="M14" s="32" t="str">
        <f t="shared" si="7"/>
        <v/>
      </c>
      <c r="N14" s="44" t="str">
        <f t="shared" si="8"/>
        <v/>
      </c>
      <c r="O14" s="45" t="str">
        <f t="shared" si="9"/>
        <v/>
      </c>
      <c r="P14" s="5"/>
      <c r="Q14" s="5"/>
      <c r="R14" s="5"/>
    </row>
    <row r="15">
      <c r="A15" s="46">
        <f>IFERROR(__xludf.DUMMYFUNCTION("""COMPUTED_VALUE"""),46230.66666666667)</f>
        <v>46230.66667</v>
      </c>
      <c r="B15" s="47">
        <f>IFERROR(__xludf.DUMMYFUNCTION("""COMPUTED_VALUE"""),159.7)</f>
        <v>159.7</v>
      </c>
      <c r="C15" s="47">
        <f>IFERROR(__xludf.DUMMYFUNCTION("""COMPUTED_VALUE"""),159.71)</f>
        <v>159.71</v>
      </c>
      <c r="D15" s="47">
        <f>IFERROR(__xludf.DUMMYFUNCTION("""COMPUTED_VALUE"""),139.01)</f>
        <v>139.01</v>
      </c>
      <c r="E15" s="47">
        <f>IFERROR(__xludf.DUMMYFUNCTION("""COMPUTED_VALUE"""),143.02)</f>
        <v>143.02</v>
      </c>
      <c r="F15" s="48">
        <f>IFERROR(__xludf.DUMMYFUNCTION("""COMPUTED_VALUE"""),5.0747385E7)</f>
        <v>50747385</v>
      </c>
      <c r="G15" s="36">
        <f t="shared" si="1"/>
        <v>-0.07472342628</v>
      </c>
      <c r="H15" s="37">
        <f t="shared" si="2"/>
        <v>-11.55</v>
      </c>
      <c r="I15" s="37">
        <f t="shared" si="3"/>
        <v>0</v>
      </c>
      <c r="J15" s="37">
        <f t="shared" si="4"/>
        <v>11.55</v>
      </c>
      <c r="K15" s="32">
        <f t="shared" si="5"/>
        <v>160.86</v>
      </c>
      <c r="L15" s="32" t="str">
        <f t="shared" si="6"/>
        <v/>
      </c>
      <c r="M15" s="32" t="str">
        <f t="shared" si="7"/>
        <v/>
      </c>
      <c r="N15" s="44" t="str">
        <f t="shared" si="8"/>
        <v/>
      </c>
      <c r="O15" s="45" t="str">
        <f t="shared" si="9"/>
        <v/>
      </c>
      <c r="P15" s="5"/>
      <c r="Q15" s="5"/>
      <c r="R15" s="5"/>
    </row>
    <row r="16">
      <c r="A16" s="46">
        <f>IFERROR(__xludf.DUMMYFUNCTION("""COMPUTED_VALUE"""),46231.66666666667)</f>
        <v>46231.66667</v>
      </c>
      <c r="B16" s="47">
        <f>IFERROR(__xludf.DUMMYFUNCTION("""COMPUTED_VALUE"""),135.91)</f>
        <v>135.91</v>
      </c>
      <c r="C16" s="47">
        <f>IFERROR(__xludf.DUMMYFUNCTION("""COMPUTED_VALUE"""),136.49)</f>
        <v>136.49</v>
      </c>
      <c r="D16" s="47">
        <f>IFERROR(__xludf.DUMMYFUNCTION("""COMPUTED_VALUE"""),128.29)</f>
        <v>128.29</v>
      </c>
      <c r="E16" s="47">
        <f>IFERROR(__xludf.DUMMYFUNCTION("""COMPUTED_VALUE"""),130.17)</f>
        <v>130.17</v>
      </c>
      <c r="F16" s="48">
        <f>IFERROR(__xludf.DUMMYFUNCTION("""COMPUTED_VALUE"""),5.1088282E7)</f>
        <v>51088282</v>
      </c>
      <c r="G16" s="36">
        <f t="shared" si="1"/>
        <v>-0.08984757377</v>
      </c>
      <c r="H16" s="37">
        <f t="shared" si="2"/>
        <v>-12.85</v>
      </c>
      <c r="I16" s="37">
        <f t="shared" si="3"/>
        <v>0</v>
      </c>
      <c r="J16" s="37">
        <f t="shared" si="4"/>
        <v>12.85</v>
      </c>
      <c r="K16" s="32">
        <f t="shared" si="5"/>
        <v>152.506</v>
      </c>
      <c r="L16" s="32" t="str">
        <f t="shared" si="6"/>
        <v/>
      </c>
      <c r="M16" s="32" t="str">
        <f t="shared" si="7"/>
        <v/>
      </c>
      <c r="N16" s="44" t="str">
        <f t="shared" si="8"/>
        <v/>
      </c>
      <c r="O16" s="45" t="str">
        <f t="shared" si="9"/>
        <v/>
      </c>
      <c r="P16" s="5"/>
      <c r="Q16" s="5"/>
      <c r="R16" s="5"/>
    </row>
    <row r="17">
      <c r="A17" s="46">
        <f>IFERROR(__xludf.DUMMYFUNCTION("""COMPUTED_VALUE"""),46232.66666666667)</f>
        <v>46232.66667</v>
      </c>
      <c r="B17" s="47">
        <f>IFERROR(__xludf.DUMMYFUNCTION("""COMPUTED_VALUE"""),129.95)</f>
        <v>129.95</v>
      </c>
      <c r="C17" s="47">
        <f>IFERROR(__xludf.DUMMYFUNCTION("""COMPUTED_VALUE"""),137.19)</f>
        <v>137.19</v>
      </c>
      <c r="D17" s="47">
        <f>IFERROR(__xludf.DUMMYFUNCTION("""COMPUTED_VALUE"""),124.8)</f>
        <v>124.8</v>
      </c>
      <c r="E17" s="47">
        <f>IFERROR(__xludf.DUMMYFUNCTION("""COMPUTED_VALUE"""),126.79)</f>
        <v>126.79</v>
      </c>
      <c r="F17" s="48">
        <f>IFERROR(__xludf.DUMMYFUNCTION("""COMPUTED_VALUE"""),6.5810027E7)</f>
        <v>65810027</v>
      </c>
      <c r="G17" s="36">
        <f t="shared" si="1"/>
        <v>-0.0259660444</v>
      </c>
      <c r="H17" s="37">
        <f t="shared" si="2"/>
        <v>-3.38</v>
      </c>
      <c r="I17" s="37">
        <f t="shared" si="3"/>
        <v>0</v>
      </c>
      <c r="J17" s="37">
        <f t="shared" si="4"/>
        <v>3.38</v>
      </c>
      <c r="K17" s="32">
        <f t="shared" si="5"/>
        <v>144.81</v>
      </c>
      <c r="L17" s="32" t="str">
        <f t="shared" si="6"/>
        <v/>
      </c>
      <c r="M17" s="32" t="str">
        <f t="shared" si="7"/>
        <v/>
      </c>
      <c r="N17" s="44" t="str">
        <f t="shared" si="8"/>
        <v/>
      </c>
      <c r="O17" s="45" t="str">
        <f t="shared" si="9"/>
        <v/>
      </c>
      <c r="P17" s="5"/>
      <c r="Q17" s="5"/>
      <c r="R17" s="5"/>
    </row>
    <row r="18">
      <c r="A18" s="46">
        <f>IFERROR(__xludf.DUMMYFUNCTION("""COMPUTED_VALUE"""),46233.66666666667)</f>
        <v>46233.66667</v>
      </c>
      <c r="B18" s="47">
        <f>IFERROR(__xludf.DUMMYFUNCTION("""COMPUTED_VALUE"""),136.51)</f>
        <v>136.51</v>
      </c>
      <c r="C18" s="47">
        <f>IFERROR(__xludf.DUMMYFUNCTION("""COMPUTED_VALUE"""),150.36)</f>
        <v>150.36</v>
      </c>
      <c r="D18" s="47">
        <f>IFERROR(__xludf.DUMMYFUNCTION("""COMPUTED_VALUE"""),134.5)</f>
        <v>134.5</v>
      </c>
      <c r="E18" s="47">
        <f>IFERROR(__xludf.DUMMYFUNCTION("""COMPUTED_VALUE"""),149.0)</f>
        <v>149</v>
      </c>
      <c r="F18" s="48">
        <f>IFERROR(__xludf.DUMMYFUNCTION("""COMPUTED_VALUE"""),5.288124E7)</f>
        <v>52881240</v>
      </c>
      <c r="G18" s="36">
        <f t="shared" si="1"/>
        <v>0.1751715435</v>
      </c>
      <c r="H18" s="37">
        <f t="shared" si="2"/>
        <v>22.21</v>
      </c>
      <c r="I18" s="37">
        <f t="shared" si="3"/>
        <v>22.21</v>
      </c>
      <c r="J18" s="37">
        <f t="shared" si="4"/>
        <v>0</v>
      </c>
      <c r="K18" s="32">
        <f t="shared" si="5"/>
        <v>140.71</v>
      </c>
      <c r="L18" s="32" t="str">
        <f t="shared" si="6"/>
        <v/>
      </c>
      <c r="M18" s="32" t="str">
        <f t="shared" si="7"/>
        <v/>
      </c>
      <c r="N18" s="44">
        <f t="shared" si="8"/>
        <v>45.24821277</v>
      </c>
      <c r="O18" s="45" t="str">
        <f t="shared" si="9"/>
        <v/>
      </c>
      <c r="P18" s="5"/>
      <c r="Q18" s="5"/>
      <c r="R18" s="5"/>
    </row>
    <row r="19">
      <c r="A19" s="46">
        <f>IFERROR(__xludf.DUMMYFUNCTION("""COMPUTED_VALUE"""),46234.66666666667)</f>
        <v>46234.66667</v>
      </c>
      <c r="B19" s="47">
        <f>IFERROR(__xludf.DUMMYFUNCTION("""COMPUTED_VALUE"""),159.88)</f>
        <v>159.88</v>
      </c>
      <c r="C19" s="47">
        <f>IFERROR(__xludf.DUMMYFUNCTION("""COMPUTED_VALUE"""),162.65)</f>
        <v>162.65</v>
      </c>
      <c r="D19" s="47">
        <f>IFERROR(__xludf.DUMMYFUNCTION("""COMPUTED_VALUE"""),143.51)</f>
        <v>143.51</v>
      </c>
      <c r="E19" s="47">
        <f>IFERROR(__xludf.DUMMYFUNCTION("""COMPUTED_VALUE"""),143.73)</f>
        <v>143.73</v>
      </c>
      <c r="F19" s="48">
        <f>IFERROR(__xludf.DUMMYFUNCTION("""COMPUTED_VALUE"""),4.6065094E7)</f>
        <v>46065094</v>
      </c>
      <c r="G19" s="36">
        <f t="shared" si="1"/>
        <v>-0.03536912752</v>
      </c>
      <c r="H19" s="37">
        <f t="shared" si="2"/>
        <v>-5.27</v>
      </c>
      <c r="I19" s="37">
        <f t="shared" si="3"/>
        <v>0</v>
      </c>
      <c r="J19" s="37">
        <f t="shared" si="4"/>
        <v>5.27</v>
      </c>
      <c r="K19" s="32">
        <f t="shared" si="5"/>
        <v>138.542</v>
      </c>
      <c r="L19" s="32" t="str">
        <f t="shared" si="6"/>
        <v/>
      </c>
      <c r="M19" s="32" t="str">
        <f t="shared" si="7"/>
        <v/>
      </c>
      <c r="N19" s="44">
        <f t="shared" si="8"/>
        <v>47.72727273</v>
      </c>
      <c r="O19" s="45" t="str">
        <f t="shared" si="9"/>
        <v/>
      </c>
      <c r="P19" s="5"/>
      <c r="Q19" s="5"/>
      <c r="R19" s="5"/>
    </row>
    <row r="20">
      <c r="A20" s="46"/>
      <c r="B20" s="47"/>
      <c r="C20" s="47"/>
      <c r="D20" s="47"/>
      <c r="E20" s="47"/>
      <c r="F20" s="48"/>
      <c r="G20" s="36" t="str">
        <f t="shared" si="1"/>
        <v/>
      </c>
      <c r="H20" s="37" t="str">
        <f t="shared" si="2"/>
        <v/>
      </c>
      <c r="I20" s="37" t="str">
        <f t="shared" si="3"/>
        <v/>
      </c>
      <c r="J20" s="37" t="str">
        <f t="shared" si="4"/>
        <v/>
      </c>
      <c r="K20" s="32" t="str">
        <f t="shared" si="5"/>
        <v/>
      </c>
      <c r="L20" s="32" t="str">
        <f t="shared" si="6"/>
        <v/>
      </c>
      <c r="M20" s="32" t="str">
        <f t="shared" si="7"/>
        <v/>
      </c>
      <c r="N20" s="44" t="str">
        <f t="shared" si="8"/>
        <v/>
      </c>
      <c r="O20" s="45" t="str">
        <f t="shared" si="9"/>
        <v/>
      </c>
      <c r="P20" s="5"/>
      <c r="Q20" s="5"/>
      <c r="R20" s="5"/>
    </row>
    <row r="21" ht="15.75" customHeight="1">
      <c r="A21" s="46"/>
      <c r="B21" s="47"/>
      <c r="C21" s="47"/>
      <c r="D21" s="47"/>
      <c r="E21" s="47"/>
      <c r="F21" s="48"/>
      <c r="G21" s="36" t="str">
        <f t="shared" si="1"/>
        <v/>
      </c>
      <c r="H21" s="37" t="str">
        <f t="shared" si="2"/>
        <v/>
      </c>
      <c r="I21" s="37" t="str">
        <f t="shared" si="3"/>
        <v/>
      </c>
      <c r="J21" s="37" t="str">
        <f t="shared" si="4"/>
        <v/>
      </c>
      <c r="K21" s="32" t="str">
        <f t="shared" si="5"/>
        <v/>
      </c>
      <c r="L21" s="32" t="str">
        <f t="shared" si="6"/>
        <v/>
      </c>
      <c r="M21" s="32" t="str">
        <f t="shared" si="7"/>
        <v/>
      </c>
      <c r="N21" s="44" t="str">
        <f t="shared" si="8"/>
        <v/>
      </c>
      <c r="O21" s="45" t="str">
        <f t="shared" si="9"/>
        <v/>
      </c>
      <c r="P21" s="5"/>
      <c r="Q21" s="5"/>
      <c r="R21" s="5"/>
    </row>
    <row r="22" ht="15.75" customHeight="1">
      <c r="A22" s="46"/>
      <c r="B22" s="47"/>
      <c r="C22" s="47"/>
      <c r="D22" s="47"/>
      <c r="E22" s="47"/>
      <c r="F22" s="48"/>
      <c r="G22" s="36" t="str">
        <f t="shared" si="1"/>
        <v/>
      </c>
      <c r="H22" s="37" t="str">
        <f t="shared" si="2"/>
        <v/>
      </c>
      <c r="I22" s="37" t="str">
        <f t="shared" si="3"/>
        <v/>
      </c>
      <c r="J22" s="37" t="str">
        <f t="shared" si="4"/>
        <v/>
      </c>
      <c r="K22" s="32" t="str">
        <f t="shared" si="5"/>
        <v/>
      </c>
      <c r="L22" s="32" t="str">
        <f t="shared" si="6"/>
        <v/>
      </c>
      <c r="M22" s="32" t="str">
        <f t="shared" si="7"/>
        <v/>
      </c>
      <c r="N22" s="44" t="str">
        <f t="shared" si="8"/>
        <v/>
      </c>
      <c r="O22" s="45" t="str">
        <f t="shared" si="9"/>
        <v/>
      </c>
      <c r="P22" s="5"/>
      <c r="Q22" s="5"/>
      <c r="R22" s="5"/>
    </row>
    <row r="23" ht="15.75" customHeight="1">
      <c r="A23" s="46"/>
      <c r="B23" s="47"/>
      <c r="C23" s="47"/>
      <c r="D23" s="47"/>
      <c r="E23" s="47"/>
      <c r="F23" s="48"/>
      <c r="G23" s="36" t="str">
        <f t="shared" si="1"/>
        <v/>
      </c>
      <c r="H23" s="37" t="str">
        <f t="shared" si="2"/>
        <v/>
      </c>
      <c r="I23" s="37" t="str">
        <f t="shared" si="3"/>
        <v/>
      </c>
      <c r="J23" s="37" t="str">
        <f t="shared" si="4"/>
        <v/>
      </c>
      <c r="K23" s="32" t="str">
        <f t="shared" si="5"/>
        <v/>
      </c>
      <c r="L23" s="32" t="str">
        <f t="shared" si="6"/>
        <v/>
      </c>
      <c r="M23" s="32" t="str">
        <f t="shared" si="7"/>
        <v/>
      </c>
      <c r="N23" s="44" t="str">
        <f t="shared" si="8"/>
        <v/>
      </c>
      <c r="O23" s="45" t="str">
        <f t="shared" si="9"/>
        <v/>
      </c>
      <c r="P23" s="5"/>
      <c r="Q23" s="5"/>
      <c r="R23" s="5"/>
    </row>
    <row r="24" ht="15.75" customHeight="1">
      <c r="A24" s="46"/>
      <c r="B24" s="47"/>
      <c r="C24" s="47"/>
      <c r="D24" s="47"/>
      <c r="E24" s="47"/>
      <c r="F24" s="48"/>
      <c r="G24" s="36" t="str">
        <f t="shared" si="1"/>
        <v/>
      </c>
      <c r="H24" s="37" t="str">
        <f t="shared" si="2"/>
        <v/>
      </c>
      <c r="I24" s="37" t="str">
        <f t="shared" si="3"/>
        <v/>
      </c>
      <c r="J24" s="37" t="str">
        <f t="shared" si="4"/>
        <v/>
      </c>
      <c r="K24" s="32" t="str">
        <f t="shared" si="5"/>
        <v/>
      </c>
      <c r="L24" s="32" t="str">
        <f t="shared" si="6"/>
        <v/>
      </c>
      <c r="M24" s="32" t="str">
        <f t="shared" si="7"/>
        <v/>
      </c>
      <c r="N24" s="44" t="str">
        <f t="shared" si="8"/>
        <v/>
      </c>
      <c r="O24" s="45" t="str">
        <f t="shared" si="9"/>
        <v/>
      </c>
      <c r="P24" s="5"/>
      <c r="Q24" s="5"/>
      <c r="R24" s="5"/>
    </row>
    <row r="25" ht="15.75" customHeight="1">
      <c r="A25" s="46"/>
      <c r="B25" s="47"/>
      <c r="C25" s="47"/>
      <c r="D25" s="47"/>
      <c r="E25" s="47"/>
      <c r="F25" s="48"/>
      <c r="G25" s="36" t="str">
        <f t="shared" si="1"/>
        <v/>
      </c>
      <c r="H25" s="37" t="str">
        <f t="shared" si="2"/>
        <v/>
      </c>
      <c r="I25" s="37" t="str">
        <f t="shared" si="3"/>
        <v/>
      </c>
      <c r="J25" s="37" t="str">
        <f t="shared" si="4"/>
        <v/>
      </c>
      <c r="K25" s="32" t="str">
        <f t="shared" si="5"/>
        <v/>
      </c>
      <c r="L25" s="32" t="str">
        <f t="shared" si="6"/>
        <v/>
      </c>
      <c r="M25" s="32" t="str">
        <f t="shared" si="7"/>
        <v/>
      </c>
      <c r="N25" s="44" t="str">
        <f t="shared" si="8"/>
        <v/>
      </c>
      <c r="O25" s="45" t="str">
        <f t="shared" si="9"/>
        <v/>
      </c>
      <c r="P25" s="5"/>
      <c r="Q25" s="5"/>
      <c r="R25" s="5"/>
    </row>
    <row r="26" ht="15.75" customHeight="1">
      <c r="A26" s="46"/>
      <c r="B26" s="47"/>
      <c r="C26" s="47"/>
      <c r="D26" s="47"/>
      <c r="E26" s="47"/>
      <c r="F26" s="48"/>
      <c r="G26" s="36" t="str">
        <f t="shared" si="1"/>
        <v/>
      </c>
      <c r="H26" s="37" t="str">
        <f t="shared" si="2"/>
        <v/>
      </c>
      <c r="I26" s="37" t="str">
        <f t="shared" si="3"/>
        <v/>
      </c>
      <c r="J26" s="37" t="str">
        <f t="shared" si="4"/>
        <v/>
      </c>
      <c r="K26" s="32" t="str">
        <f t="shared" si="5"/>
        <v/>
      </c>
      <c r="L26" s="32" t="str">
        <f t="shared" si="6"/>
        <v/>
      </c>
      <c r="M26" s="32" t="str">
        <f t="shared" si="7"/>
        <v/>
      </c>
      <c r="N26" s="44" t="str">
        <f t="shared" si="8"/>
        <v/>
      </c>
      <c r="O26" s="45" t="str">
        <f t="shared" si="9"/>
        <v/>
      </c>
      <c r="P26" s="5"/>
      <c r="Q26" s="5"/>
      <c r="R26" s="5"/>
    </row>
    <row r="27" ht="15.75" customHeight="1">
      <c r="A27" s="46"/>
      <c r="B27" s="47"/>
      <c r="C27" s="47"/>
      <c r="D27" s="47"/>
      <c r="E27" s="47"/>
      <c r="F27" s="48"/>
      <c r="G27" s="36" t="str">
        <f t="shared" si="1"/>
        <v/>
      </c>
      <c r="H27" s="37" t="str">
        <f t="shared" si="2"/>
        <v/>
      </c>
      <c r="I27" s="37" t="str">
        <f t="shared" si="3"/>
        <v/>
      </c>
      <c r="J27" s="37" t="str">
        <f t="shared" si="4"/>
        <v/>
      </c>
      <c r="K27" s="32" t="str">
        <f t="shared" si="5"/>
        <v/>
      </c>
      <c r="L27" s="32" t="str">
        <f t="shared" si="6"/>
        <v/>
      </c>
      <c r="M27" s="32" t="str">
        <f t="shared" si="7"/>
        <v/>
      </c>
      <c r="N27" s="44" t="str">
        <f t="shared" si="8"/>
        <v/>
      </c>
      <c r="O27" s="45" t="str">
        <f t="shared" si="9"/>
        <v/>
      </c>
      <c r="P27" s="5"/>
      <c r="Q27" s="5"/>
      <c r="R27" s="5"/>
    </row>
    <row r="28" ht="15.75" customHeight="1">
      <c r="A28" s="46"/>
      <c r="B28" s="47"/>
      <c r="C28" s="47"/>
      <c r="D28" s="47"/>
      <c r="E28" s="47"/>
      <c r="F28" s="48"/>
      <c r="G28" s="36" t="str">
        <f t="shared" si="1"/>
        <v/>
      </c>
      <c r="H28" s="37" t="str">
        <f t="shared" si="2"/>
        <v/>
      </c>
      <c r="I28" s="37" t="str">
        <f t="shared" si="3"/>
        <v/>
      </c>
      <c r="J28" s="37" t="str">
        <f t="shared" si="4"/>
        <v/>
      </c>
      <c r="K28" s="32" t="str">
        <f t="shared" si="5"/>
        <v/>
      </c>
      <c r="L28" s="32" t="str">
        <f t="shared" si="6"/>
        <v/>
      </c>
      <c r="M28" s="32" t="str">
        <f t="shared" si="7"/>
        <v/>
      </c>
      <c r="N28" s="44" t="str">
        <f t="shared" si="8"/>
        <v/>
      </c>
      <c r="O28" s="45" t="str">
        <f t="shared" si="9"/>
        <v/>
      </c>
      <c r="P28" s="5"/>
      <c r="Q28" s="5"/>
      <c r="R28" s="5"/>
    </row>
    <row r="29" ht="15.75" customHeight="1">
      <c r="A29" s="46"/>
      <c r="B29" s="47"/>
      <c r="C29" s="47"/>
      <c r="D29" s="47"/>
      <c r="E29" s="47"/>
      <c r="F29" s="48"/>
      <c r="G29" s="36" t="str">
        <f t="shared" si="1"/>
        <v/>
      </c>
      <c r="H29" s="37" t="str">
        <f t="shared" si="2"/>
        <v/>
      </c>
      <c r="I29" s="37" t="str">
        <f t="shared" si="3"/>
        <v/>
      </c>
      <c r="J29" s="37" t="str">
        <f t="shared" si="4"/>
        <v/>
      </c>
      <c r="K29" s="32" t="str">
        <f t="shared" si="5"/>
        <v/>
      </c>
      <c r="L29" s="32" t="str">
        <f t="shared" si="6"/>
        <v/>
      </c>
      <c r="M29" s="32" t="str">
        <f t="shared" si="7"/>
        <v/>
      </c>
      <c r="N29" s="44" t="str">
        <f t="shared" si="8"/>
        <v/>
      </c>
      <c r="O29" s="45" t="str">
        <f t="shared" si="9"/>
        <v/>
      </c>
      <c r="P29" s="5"/>
      <c r="Q29" s="5"/>
      <c r="R29" s="5"/>
    </row>
    <row r="30" ht="15.75" customHeight="1">
      <c r="A30" s="46"/>
      <c r="B30" s="47"/>
      <c r="C30" s="47"/>
      <c r="D30" s="47"/>
      <c r="E30" s="47"/>
      <c r="F30" s="48"/>
      <c r="G30" s="36" t="str">
        <f t="shared" si="1"/>
        <v/>
      </c>
      <c r="H30" s="37" t="str">
        <f t="shared" si="2"/>
        <v/>
      </c>
      <c r="I30" s="37" t="str">
        <f t="shared" si="3"/>
        <v/>
      </c>
      <c r="J30" s="37" t="str">
        <f t="shared" si="4"/>
        <v/>
      </c>
      <c r="K30" s="32" t="str">
        <f t="shared" si="5"/>
        <v/>
      </c>
      <c r="L30" s="32" t="str">
        <f t="shared" si="6"/>
        <v/>
      </c>
      <c r="M30" s="32" t="str">
        <f t="shared" si="7"/>
        <v/>
      </c>
      <c r="N30" s="44" t="str">
        <f t="shared" si="8"/>
        <v/>
      </c>
      <c r="O30" s="45" t="str">
        <f t="shared" si="9"/>
        <v/>
      </c>
      <c r="P30" s="5"/>
      <c r="Q30" s="5"/>
      <c r="R30" s="5"/>
    </row>
    <row r="31" ht="15.75" customHeight="1">
      <c r="A31" s="46"/>
      <c r="B31" s="47"/>
      <c r="C31" s="47"/>
      <c r="D31" s="47"/>
      <c r="E31" s="47"/>
      <c r="F31" s="48"/>
      <c r="G31" s="36" t="str">
        <f t="shared" si="1"/>
        <v/>
      </c>
      <c r="H31" s="37" t="str">
        <f t="shared" si="2"/>
        <v/>
      </c>
      <c r="I31" s="37" t="str">
        <f t="shared" si="3"/>
        <v/>
      </c>
      <c r="J31" s="37" t="str">
        <f t="shared" si="4"/>
        <v/>
      </c>
      <c r="K31" s="32" t="str">
        <f t="shared" si="5"/>
        <v/>
      </c>
      <c r="L31" s="32" t="str">
        <f t="shared" si="6"/>
        <v/>
      </c>
      <c r="M31" s="32" t="str">
        <f t="shared" si="7"/>
        <v/>
      </c>
      <c r="N31" s="44" t="str">
        <f t="shared" si="8"/>
        <v/>
      </c>
      <c r="O31" s="45" t="str">
        <f t="shared" si="9"/>
        <v/>
      </c>
      <c r="P31" s="5"/>
      <c r="Q31" s="5"/>
      <c r="R31" s="5"/>
    </row>
    <row r="32" ht="15.75" customHeight="1">
      <c r="A32" s="46"/>
      <c r="B32" s="47"/>
      <c r="C32" s="47"/>
      <c r="D32" s="47"/>
      <c r="E32" s="47"/>
      <c r="F32" s="48"/>
      <c r="G32" s="36" t="str">
        <f t="shared" si="1"/>
        <v/>
      </c>
      <c r="H32" s="37" t="str">
        <f t="shared" si="2"/>
        <v/>
      </c>
      <c r="I32" s="37" t="str">
        <f t="shared" si="3"/>
        <v/>
      </c>
      <c r="J32" s="37" t="str">
        <f t="shared" si="4"/>
        <v/>
      </c>
      <c r="K32" s="32" t="str">
        <f t="shared" si="5"/>
        <v/>
      </c>
      <c r="L32" s="32" t="str">
        <f t="shared" si="6"/>
        <v/>
      </c>
      <c r="M32" s="32" t="str">
        <f t="shared" si="7"/>
        <v/>
      </c>
      <c r="N32" s="44" t="str">
        <f t="shared" si="8"/>
        <v/>
      </c>
      <c r="O32" s="45" t="str">
        <f t="shared" si="9"/>
        <v/>
      </c>
      <c r="P32" s="5"/>
      <c r="Q32" s="5"/>
      <c r="R32" s="5"/>
    </row>
    <row r="33" ht="15.75" customHeight="1">
      <c r="A33" s="46"/>
      <c r="B33" s="47"/>
      <c r="C33" s="47"/>
      <c r="D33" s="47"/>
      <c r="E33" s="47"/>
      <c r="F33" s="48"/>
      <c r="G33" s="36" t="str">
        <f t="shared" si="1"/>
        <v/>
      </c>
      <c r="H33" s="37" t="str">
        <f t="shared" si="2"/>
        <v/>
      </c>
      <c r="I33" s="37" t="str">
        <f t="shared" si="3"/>
        <v/>
      </c>
      <c r="J33" s="37" t="str">
        <f t="shared" si="4"/>
        <v/>
      </c>
      <c r="K33" s="32" t="str">
        <f t="shared" si="5"/>
        <v/>
      </c>
      <c r="L33" s="32" t="str">
        <f t="shared" si="6"/>
        <v/>
      </c>
      <c r="M33" s="32" t="str">
        <f t="shared" si="7"/>
        <v/>
      </c>
      <c r="N33" s="44" t="str">
        <f t="shared" si="8"/>
        <v/>
      </c>
      <c r="O33" s="45" t="str">
        <f t="shared" si="9"/>
        <v/>
      </c>
      <c r="P33" s="5"/>
      <c r="Q33" s="5"/>
      <c r="R33" s="5"/>
    </row>
    <row r="34" ht="15.75" customHeight="1">
      <c r="A34" s="46"/>
      <c r="B34" s="47"/>
      <c r="C34" s="47"/>
      <c r="D34" s="47"/>
      <c r="E34" s="47"/>
      <c r="F34" s="48"/>
      <c r="G34" s="36" t="str">
        <f t="shared" si="1"/>
        <v/>
      </c>
      <c r="H34" s="37" t="str">
        <f t="shared" si="2"/>
        <v/>
      </c>
      <c r="I34" s="37" t="str">
        <f t="shared" si="3"/>
        <v/>
      </c>
      <c r="J34" s="37" t="str">
        <f t="shared" si="4"/>
        <v/>
      </c>
      <c r="K34" s="32" t="str">
        <f t="shared" si="5"/>
        <v/>
      </c>
      <c r="L34" s="32" t="str">
        <f t="shared" si="6"/>
        <v/>
      </c>
      <c r="M34" s="32" t="str">
        <f t="shared" si="7"/>
        <v/>
      </c>
      <c r="N34" s="44" t="str">
        <f t="shared" si="8"/>
        <v/>
      </c>
      <c r="O34" s="45" t="str">
        <f t="shared" si="9"/>
        <v/>
      </c>
      <c r="P34" s="5"/>
      <c r="Q34" s="5"/>
      <c r="R34" s="5"/>
    </row>
    <row r="35" ht="15.75" customHeight="1">
      <c r="A35" s="46"/>
      <c r="B35" s="47"/>
      <c r="C35" s="47"/>
      <c r="D35" s="47"/>
      <c r="E35" s="47"/>
      <c r="F35" s="48"/>
      <c r="G35" s="36" t="str">
        <f t="shared" si="1"/>
        <v/>
      </c>
      <c r="H35" s="37" t="str">
        <f t="shared" si="2"/>
        <v/>
      </c>
      <c r="I35" s="37" t="str">
        <f t="shared" si="3"/>
        <v/>
      </c>
      <c r="J35" s="37" t="str">
        <f t="shared" si="4"/>
        <v/>
      </c>
      <c r="K35" s="32" t="str">
        <f t="shared" si="5"/>
        <v/>
      </c>
      <c r="L35" s="32" t="str">
        <f t="shared" si="6"/>
        <v/>
      </c>
      <c r="M35" s="32" t="str">
        <f t="shared" si="7"/>
        <v/>
      </c>
      <c r="N35" s="44" t="str">
        <f t="shared" si="8"/>
        <v/>
      </c>
      <c r="O35" s="45" t="str">
        <f t="shared" si="9"/>
        <v/>
      </c>
      <c r="P35" s="5"/>
      <c r="Q35" s="5"/>
      <c r="R35" s="5"/>
    </row>
    <row r="36" ht="15.75" customHeight="1">
      <c r="A36" s="46"/>
      <c r="B36" s="47"/>
      <c r="C36" s="47"/>
      <c r="D36" s="47"/>
      <c r="E36" s="47"/>
      <c r="F36" s="48"/>
      <c r="G36" s="36" t="str">
        <f t="shared" si="1"/>
        <v/>
      </c>
      <c r="H36" s="37" t="str">
        <f t="shared" si="2"/>
        <v/>
      </c>
      <c r="I36" s="37" t="str">
        <f t="shared" si="3"/>
        <v/>
      </c>
      <c r="J36" s="37" t="str">
        <f t="shared" si="4"/>
        <v/>
      </c>
      <c r="K36" s="32" t="str">
        <f t="shared" si="5"/>
        <v/>
      </c>
      <c r="L36" s="32" t="str">
        <f t="shared" si="6"/>
        <v/>
      </c>
      <c r="M36" s="32" t="str">
        <f t="shared" si="7"/>
        <v/>
      </c>
      <c r="N36" s="44" t="str">
        <f t="shared" si="8"/>
        <v/>
      </c>
      <c r="O36" s="45" t="str">
        <f t="shared" si="9"/>
        <v/>
      </c>
      <c r="P36" s="5"/>
      <c r="Q36" s="5"/>
      <c r="R36" s="5"/>
    </row>
    <row r="37" ht="15.75" customHeight="1">
      <c r="A37" s="46"/>
      <c r="B37" s="47"/>
      <c r="C37" s="47"/>
      <c r="D37" s="47"/>
      <c r="E37" s="47"/>
      <c r="F37" s="48"/>
      <c r="G37" s="36" t="str">
        <f t="shared" si="1"/>
        <v/>
      </c>
      <c r="H37" s="37" t="str">
        <f t="shared" si="2"/>
        <v/>
      </c>
      <c r="I37" s="37" t="str">
        <f t="shared" si="3"/>
        <v/>
      </c>
      <c r="J37" s="37" t="str">
        <f t="shared" si="4"/>
        <v/>
      </c>
      <c r="K37" s="32" t="str">
        <f t="shared" si="5"/>
        <v/>
      </c>
      <c r="L37" s="32" t="str">
        <f t="shared" si="6"/>
        <v/>
      </c>
      <c r="M37" s="32" t="str">
        <f t="shared" si="7"/>
        <v/>
      </c>
      <c r="N37" s="44" t="str">
        <f t="shared" si="8"/>
        <v/>
      </c>
      <c r="O37" s="45" t="str">
        <f t="shared" si="9"/>
        <v/>
      </c>
      <c r="P37" s="5"/>
      <c r="Q37" s="5"/>
      <c r="R37" s="5"/>
    </row>
    <row r="38" ht="15.75" customHeight="1">
      <c r="A38" s="46"/>
      <c r="B38" s="47"/>
      <c r="C38" s="47"/>
      <c r="D38" s="47"/>
      <c r="E38" s="47"/>
      <c r="F38" s="48"/>
      <c r="G38" s="36" t="str">
        <f t="shared" si="1"/>
        <v/>
      </c>
      <c r="H38" s="37" t="str">
        <f t="shared" si="2"/>
        <v/>
      </c>
      <c r="I38" s="37" t="str">
        <f t="shared" si="3"/>
        <v/>
      </c>
      <c r="J38" s="37" t="str">
        <f t="shared" si="4"/>
        <v/>
      </c>
      <c r="K38" s="32" t="str">
        <f t="shared" si="5"/>
        <v/>
      </c>
      <c r="L38" s="32" t="str">
        <f t="shared" si="6"/>
        <v/>
      </c>
      <c r="M38" s="32" t="str">
        <f t="shared" si="7"/>
        <v/>
      </c>
      <c r="N38" s="44" t="str">
        <f t="shared" si="8"/>
        <v/>
      </c>
      <c r="O38" s="45" t="str">
        <f t="shared" si="9"/>
        <v/>
      </c>
      <c r="P38" s="5"/>
      <c r="Q38" s="5"/>
      <c r="R38" s="5"/>
    </row>
    <row r="39" ht="15.75" customHeight="1">
      <c r="A39" s="46"/>
      <c r="B39" s="47"/>
      <c r="C39" s="47"/>
      <c r="D39" s="47"/>
      <c r="E39" s="47"/>
      <c r="F39" s="48"/>
      <c r="G39" s="36" t="str">
        <f t="shared" si="1"/>
        <v/>
      </c>
      <c r="H39" s="37" t="str">
        <f t="shared" si="2"/>
        <v/>
      </c>
      <c r="I39" s="37" t="str">
        <f t="shared" si="3"/>
        <v/>
      </c>
      <c r="J39" s="37" t="str">
        <f t="shared" si="4"/>
        <v/>
      </c>
      <c r="K39" s="32" t="str">
        <f t="shared" si="5"/>
        <v/>
      </c>
      <c r="L39" s="32" t="str">
        <f t="shared" si="6"/>
        <v/>
      </c>
      <c r="M39" s="32" t="str">
        <f t="shared" si="7"/>
        <v/>
      </c>
      <c r="N39" s="44" t="str">
        <f t="shared" si="8"/>
        <v/>
      </c>
      <c r="O39" s="45" t="str">
        <f t="shared" si="9"/>
        <v/>
      </c>
      <c r="P39" s="5"/>
      <c r="Q39" s="5"/>
      <c r="R39" s="5"/>
    </row>
    <row r="40" ht="15.75" customHeight="1">
      <c r="A40" s="46"/>
      <c r="B40" s="47"/>
      <c r="C40" s="47"/>
      <c r="D40" s="47"/>
      <c r="E40" s="47"/>
      <c r="F40" s="48"/>
      <c r="G40" s="36" t="str">
        <f t="shared" si="1"/>
        <v/>
      </c>
      <c r="H40" s="37" t="str">
        <f t="shared" si="2"/>
        <v/>
      </c>
      <c r="I40" s="37" t="str">
        <f t="shared" si="3"/>
        <v/>
      </c>
      <c r="J40" s="37" t="str">
        <f t="shared" si="4"/>
        <v/>
      </c>
      <c r="K40" s="32" t="str">
        <f t="shared" si="5"/>
        <v/>
      </c>
      <c r="L40" s="32" t="str">
        <f t="shared" si="6"/>
        <v/>
      </c>
      <c r="M40" s="32" t="str">
        <f t="shared" si="7"/>
        <v/>
      </c>
      <c r="N40" s="44" t="str">
        <f t="shared" si="8"/>
        <v/>
      </c>
      <c r="O40" s="45" t="str">
        <f t="shared" si="9"/>
        <v/>
      </c>
      <c r="P40" s="5"/>
      <c r="Q40" s="5"/>
      <c r="R40" s="5"/>
    </row>
    <row r="41" ht="15.75" customHeight="1">
      <c r="A41" s="46"/>
      <c r="B41" s="47"/>
      <c r="C41" s="47"/>
      <c r="D41" s="47"/>
      <c r="E41" s="47"/>
      <c r="F41" s="48"/>
      <c r="G41" s="36" t="str">
        <f t="shared" si="1"/>
        <v/>
      </c>
      <c r="H41" s="37" t="str">
        <f t="shared" si="2"/>
        <v/>
      </c>
      <c r="I41" s="37" t="str">
        <f t="shared" si="3"/>
        <v/>
      </c>
      <c r="J41" s="37" t="str">
        <f t="shared" si="4"/>
        <v/>
      </c>
      <c r="K41" s="32" t="str">
        <f t="shared" si="5"/>
        <v/>
      </c>
      <c r="L41" s="32" t="str">
        <f t="shared" si="6"/>
        <v/>
      </c>
      <c r="M41" s="32" t="str">
        <f t="shared" si="7"/>
        <v/>
      </c>
      <c r="N41" s="44" t="str">
        <f t="shared" si="8"/>
        <v/>
      </c>
      <c r="O41" s="45" t="str">
        <f t="shared" si="9"/>
        <v/>
      </c>
      <c r="P41" s="5"/>
      <c r="Q41" s="5"/>
      <c r="R41" s="5"/>
    </row>
    <row r="42" ht="15.75" customHeight="1">
      <c r="A42" s="46"/>
      <c r="B42" s="47"/>
      <c r="C42" s="47"/>
      <c r="D42" s="47"/>
      <c r="E42" s="47"/>
      <c r="F42" s="48"/>
      <c r="G42" s="36" t="str">
        <f t="shared" si="1"/>
        <v/>
      </c>
      <c r="H42" s="37" t="str">
        <f t="shared" si="2"/>
        <v/>
      </c>
      <c r="I42" s="37" t="str">
        <f t="shared" si="3"/>
        <v/>
      </c>
      <c r="J42" s="37" t="str">
        <f t="shared" si="4"/>
        <v/>
      </c>
      <c r="K42" s="32" t="str">
        <f t="shared" si="5"/>
        <v/>
      </c>
      <c r="L42" s="32" t="str">
        <f t="shared" si="6"/>
        <v/>
      </c>
      <c r="M42" s="32" t="str">
        <f t="shared" si="7"/>
        <v/>
      </c>
      <c r="N42" s="44" t="str">
        <f t="shared" si="8"/>
        <v/>
      </c>
      <c r="O42" s="45" t="str">
        <f t="shared" si="9"/>
        <v/>
      </c>
      <c r="P42" s="5"/>
      <c r="Q42" s="5"/>
      <c r="R42" s="5"/>
    </row>
    <row r="43" ht="15.75" customHeight="1">
      <c r="A43" s="46"/>
      <c r="B43" s="47"/>
      <c r="C43" s="47"/>
      <c r="D43" s="47"/>
      <c r="E43" s="47"/>
      <c r="F43" s="48"/>
      <c r="G43" s="36" t="str">
        <f t="shared" si="1"/>
        <v/>
      </c>
      <c r="H43" s="37" t="str">
        <f t="shared" si="2"/>
        <v/>
      </c>
      <c r="I43" s="37" t="str">
        <f t="shared" si="3"/>
        <v/>
      </c>
      <c r="J43" s="37" t="str">
        <f t="shared" si="4"/>
        <v/>
      </c>
      <c r="K43" s="32" t="str">
        <f t="shared" si="5"/>
        <v/>
      </c>
      <c r="L43" s="32" t="str">
        <f t="shared" si="6"/>
        <v/>
      </c>
      <c r="M43" s="32" t="str">
        <f t="shared" si="7"/>
        <v/>
      </c>
      <c r="N43" s="44" t="str">
        <f t="shared" si="8"/>
        <v/>
      </c>
      <c r="O43" s="45" t="str">
        <f t="shared" si="9"/>
        <v/>
      </c>
      <c r="P43" s="5"/>
      <c r="Q43" s="5"/>
      <c r="R43" s="5"/>
    </row>
    <row r="44" ht="15.75" customHeight="1">
      <c r="A44" s="46"/>
      <c r="B44" s="47"/>
      <c r="C44" s="47"/>
      <c r="D44" s="47"/>
      <c r="E44" s="47"/>
      <c r="F44" s="48"/>
      <c r="G44" s="36" t="str">
        <f t="shared" si="1"/>
        <v/>
      </c>
      <c r="H44" s="37" t="str">
        <f t="shared" si="2"/>
        <v/>
      </c>
      <c r="I44" s="37" t="str">
        <f t="shared" si="3"/>
        <v/>
      </c>
      <c r="J44" s="37" t="str">
        <f t="shared" si="4"/>
        <v/>
      </c>
      <c r="K44" s="32" t="str">
        <f t="shared" si="5"/>
        <v/>
      </c>
      <c r="L44" s="32" t="str">
        <f t="shared" si="6"/>
        <v/>
      </c>
      <c r="M44" s="32" t="str">
        <f t="shared" si="7"/>
        <v/>
      </c>
      <c r="N44" s="44" t="str">
        <f t="shared" si="8"/>
        <v/>
      </c>
      <c r="O44" s="45" t="str">
        <f t="shared" si="9"/>
        <v/>
      </c>
      <c r="P44" s="5"/>
      <c r="Q44" s="5"/>
      <c r="R44" s="5"/>
    </row>
    <row r="45" ht="15.75" customHeight="1">
      <c r="A45" s="46"/>
      <c r="B45" s="47"/>
      <c r="C45" s="47"/>
      <c r="D45" s="47"/>
      <c r="E45" s="47"/>
      <c r="F45" s="48"/>
      <c r="G45" s="36" t="str">
        <f t="shared" si="1"/>
        <v/>
      </c>
      <c r="H45" s="37" t="str">
        <f t="shared" si="2"/>
        <v/>
      </c>
      <c r="I45" s="37" t="str">
        <f t="shared" si="3"/>
        <v/>
      </c>
      <c r="J45" s="37" t="str">
        <f t="shared" si="4"/>
        <v/>
      </c>
      <c r="K45" s="32" t="str">
        <f t="shared" si="5"/>
        <v/>
      </c>
      <c r="L45" s="32" t="str">
        <f t="shared" si="6"/>
        <v/>
      </c>
      <c r="M45" s="32" t="str">
        <f t="shared" si="7"/>
        <v/>
      </c>
      <c r="N45" s="44" t="str">
        <f t="shared" si="8"/>
        <v/>
      </c>
      <c r="O45" s="45" t="str">
        <f t="shared" si="9"/>
        <v/>
      </c>
      <c r="P45" s="5"/>
      <c r="Q45" s="5"/>
      <c r="R45" s="5"/>
    </row>
    <row r="46" ht="15.75" customHeight="1">
      <c r="A46" s="46"/>
      <c r="B46" s="47"/>
      <c r="C46" s="47"/>
      <c r="D46" s="47"/>
      <c r="E46" s="47"/>
      <c r="F46" s="48"/>
      <c r="G46" s="36" t="str">
        <f t="shared" si="1"/>
        <v/>
      </c>
      <c r="H46" s="37" t="str">
        <f t="shared" si="2"/>
        <v/>
      </c>
      <c r="I46" s="37" t="str">
        <f t="shared" si="3"/>
        <v/>
      </c>
      <c r="J46" s="37" t="str">
        <f t="shared" si="4"/>
        <v/>
      </c>
      <c r="K46" s="32" t="str">
        <f t="shared" si="5"/>
        <v/>
      </c>
      <c r="L46" s="32" t="str">
        <f t="shared" si="6"/>
        <v/>
      </c>
      <c r="M46" s="32" t="str">
        <f t="shared" si="7"/>
        <v/>
      </c>
      <c r="N46" s="44" t="str">
        <f t="shared" si="8"/>
        <v/>
      </c>
      <c r="O46" s="45" t="str">
        <f t="shared" si="9"/>
        <v/>
      </c>
      <c r="P46" s="5"/>
      <c r="Q46" s="5"/>
      <c r="R46" s="5"/>
    </row>
    <row r="47" ht="15.75" customHeight="1">
      <c r="A47" s="46"/>
      <c r="B47" s="47"/>
      <c r="C47" s="47"/>
      <c r="D47" s="47"/>
      <c r="E47" s="47"/>
      <c r="F47" s="48"/>
      <c r="G47" s="36" t="str">
        <f t="shared" si="1"/>
        <v/>
      </c>
      <c r="H47" s="37" t="str">
        <f t="shared" si="2"/>
        <v/>
      </c>
      <c r="I47" s="37" t="str">
        <f t="shared" si="3"/>
        <v/>
      </c>
      <c r="J47" s="37" t="str">
        <f t="shared" si="4"/>
        <v/>
      </c>
      <c r="K47" s="32" t="str">
        <f t="shared" si="5"/>
        <v/>
      </c>
      <c r="L47" s="32" t="str">
        <f t="shared" si="6"/>
        <v/>
      </c>
      <c r="M47" s="32" t="str">
        <f t="shared" si="7"/>
        <v/>
      </c>
      <c r="N47" s="44" t="str">
        <f t="shared" si="8"/>
        <v/>
      </c>
      <c r="O47" s="45" t="str">
        <f t="shared" si="9"/>
        <v/>
      </c>
      <c r="P47" s="5"/>
      <c r="Q47" s="5"/>
      <c r="R47" s="5"/>
    </row>
    <row r="48" ht="15.75" customHeight="1">
      <c r="A48" s="46"/>
      <c r="B48" s="47"/>
      <c r="C48" s="47"/>
      <c r="D48" s="47"/>
      <c r="E48" s="47"/>
      <c r="F48" s="48"/>
      <c r="G48" s="36" t="str">
        <f t="shared" si="1"/>
        <v/>
      </c>
      <c r="H48" s="37" t="str">
        <f t="shared" si="2"/>
        <v/>
      </c>
      <c r="I48" s="37" t="str">
        <f t="shared" si="3"/>
        <v/>
      </c>
      <c r="J48" s="37" t="str">
        <f t="shared" si="4"/>
        <v/>
      </c>
      <c r="K48" s="32" t="str">
        <f t="shared" si="5"/>
        <v/>
      </c>
      <c r="L48" s="32" t="str">
        <f t="shared" si="6"/>
        <v/>
      </c>
      <c r="M48" s="32" t="str">
        <f t="shared" si="7"/>
        <v/>
      </c>
      <c r="N48" s="44" t="str">
        <f t="shared" si="8"/>
        <v/>
      </c>
      <c r="O48" s="45" t="str">
        <f t="shared" si="9"/>
        <v/>
      </c>
      <c r="P48" s="5"/>
      <c r="Q48" s="5"/>
      <c r="R48" s="5"/>
    </row>
    <row r="49" ht="15.75" customHeight="1">
      <c r="A49" s="46"/>
      <c r="B49" s="47"/>
      <c r="C49" s="47"/>
      <c r="D49" s="47"/>
      <c r="E49" s="47"/>
      <c r="F49" s="48"/>
      <c r="G49" s="36" t="str">
        <f t="shared" si="1"/>
        <v/>
      </c>
      <c r="H49" s="37" t="str">
        <f t="shared" si="2"/>
        <v/>
      </c>
      <c r="I49" s="37" t="str">
        <f t="shared" si="3"/>
        <v/>
      </c>
      <c r="J49" s="37" t="str">
        <f t="shared" si="4"/>
        <v/>
      </c>
      <c r="K49" s="32" t="str">
        <f t="shared" si="5"/>
        <v/>
      </c>
      <c r="L49" s="32" t="str">
        <f t="shared" si="6"/>
        <v/>
      </c>
      <c r="M49" s="32" t="str">
        <f t="shared" si="7"/>
        <v/>
      </c>
      <c r="N49" s="44" t="str">
        <f t="shared" si="8"/>
        <v/>
      </c>
      <c r="O49" s="45" t="str">
        <f t="shared" si="9"/>
        <v/>
      </c>
      <c r="P49" s="5"/>
      <c r="Q49" s="5"/>
      <c r="R49" s="5"/>
    </row>
    <row r="50" ht="15.75" customHeight="1">
      <c r="A50" s="46"/>
      <c r="B50" s="47"/>
      <c r="C50" s="47"/>
      <c r="D50" s="47"/>
      <c r="E50" s="47"/>
      <c r="F50" s="48"/>
      <c r="G50" s="36" t="str">
        <f t="shared" si="1"/>
        <v/>
      </c>
      <c r="H50" s="37" t="str">
        <f t="shared" si="2"/>
        <v/>
      </c>
      <c r="I50" s="37" t="str">
        <f t="shared" si="3"/>
        <v/>
      </c>
      <c r="J50" s="37" t="str">
        <f t="shared" si="4"/>
        <v/>
      </c>
      <c r="K50" s="32" t="str">
        <f t="shared" si="5"/>
        <v/>
      </c>
      <c r="L50" s="32" t="str">
        <f t="shared" si="6"/>
        <v/>
      </c>
      <c r="M50" s="32" t="str">
        <f t="shared" si="7"/>
        <v/>
      </c>
      <c r="N50" s="44" t="str">
        <f t="shared" si="8"/>
        <v/>
      </c>
      <c r="O50" s="45" t="str">
        <f t="shared" si="9"/>
        <v/>
      </c>
      <c r="P50" s="5"/>
      <c r="Q50" s="5"/>
      <c r="R50" s="5"/>
    </row>
    <row r="51" ht="15.75" customHeight="1">
      <c r="A51" s="46"/>
      <c r="B51" s="47"/>
      <c r="C51" s="47"/>
      <c r="D51" s="47"/>
      <c r="E51" s="47"/>
      <c r="F51" s="48"/>
      <c r="G51" s="36" t="str">
        <f t="shared" si="1"/>
        <v/>
      </c>
      <c r="H51" s="37" t="str">
        <f t="shared" si="2"/>
        <v/>
      </c>
      <c r="I51" s="37" t="str">
        <f t="shared" si="3"/>
        <v/>
      </c>
      <c r="J51" s="37" t="str">
        <f t="shared" si="4"/>
        <v/>
      </c>
      <c r="K51" s="32" t="str">
        <f t="shared" si="5"/>
        <v/>
      </c>
      <c r="L51" s="32" t="str">
        <f t="shared" si="6"/>
        <v/>
      </c>
      <c r="M51" s="32" t="str">
        <f t="shared" si="7"/>
        <v/>
      </c>
      <c r="N51" s="44" t="str">
        <f t="shared" si="8"/>
        <v/>
      </c>
      <c r="O51" s="45" t="str">
        <f t="shared" si="9"/>
        <v/>
      </c>
      <c r="P51" s="5"/>
      <c r="Q51" s="5"/>
      <c r="R51" s="5"/>
    </row>
    <row r="52" ht="15.75" customHeight="1">
      <c r="A52" s="46"/>
      <c r="B52" s="47"/>
      <c r="C52" s="47"/>
      <c r="D52" s="47"/>
      <c r="E52" s="47"/>
      <c r="F52" s="48"/>
      <c r="G52" s="36" t="str">
        <f t="shared" si="1"/>
        <v/>
      </c>
      <c r="H52" s="37" t="str">
        <f t="shared" si="2"/>
        <v/>
      </c>
      <c r="I52" s="37" t="str">
        <f t="shared" si="3"/>
        <v/>
      </c>
      <c r="J52" s="37" t="str">
        <f t="shared" si="4"/>
        <v/>
      </c>
      <c r="K52" s="32" t="str">
        <f t="shared" si="5"/>
        <v/>
      </c>
      <c r="L52" s="32" t="str">
        <f t="shared" si="6"/>
        <v/>
      </c>
      <c r="M52" s="32" t="str">
        <f t="shared" si="7"/>
        <v/>
      </c>
      <c r="N52" s="44" t="str">
        <f t="shared" si="8"/>
        <v/>
      </c>
      <c r="O52" s="45" t="str">
        <f t="shared" si="9"/>
        <v/>
      </c>
      <c r="P52" s="5"/>
      <c r="Q52" s="5"/>
      <c r="R52" s="5"/>
    </row>
    <row r="53" ht="15.75" customHeight="1">
      <c r="A53" s="46"/>
      <c r="B53" s="47"/>
      <c r="C53" s="47"/>
      <c r="D53" s="47"/>
      <c r="E53" s="47"/>
      <c r="F53" s="48"/>
      <c r="G53" s="36" t="str">
        <f t="shared" si="1"/>
        <v/>
      </c>
      <c r="H53" s="37" t="str">
        <f t="shared" si="2"/>
        <v/>
      </c>
      <c r="I53" s="37" t="str">
        <f t="shared" si="3"/>
        <v/>
      </c>
      <c r="J53" s="37" t="str">
        <f t="shared" si="4"/>
        <v/>
      </c>
      <c r="K53" s="32" t="str">
        <f t="shared" si="5"/>
        <v/>
      </c>
      <c r="L53" s="32" t="str">
        <f t="shared" si="6"/>
        <v/>
      </c>
      <c r="M53" s="32" t="str">
        <f t="shared" si="7"/>
        <v/>
      </c>
      <c r="N53" s="44" t="str">
        <f t="shared" si="8"/>
        <v/>
      </c>
      <c r="O53" s="45" t="str">
        <f t="shared" si="9"/>
        <v/>
      </c>
      <c r="P53" s="5"/>
      <c r="Q53" s="5"/>
      <c r="R53" s="5"/>
    </row>
    <row r="54" ht="15.75" customHeight="1">
      <c r="A54" s="46"/>
      <c r="B54" s="47"/>
      <c r="C54" s="47"/>
      <c r="D54" s="47"/>
      <c r="E54" s="47"/>
      <c r="F54" s="48"/>
      <c r="G54" s="36" t="str">
        <f t="shared" si="1"/>
        <v/>
      </c>
      <c r="H54" s="37" t="str">
        <f t="shared" si="2"/>
        <v/>
      </c>
      <c r="I54" s="37" t="str">
        <f t="shared" si="3"/>
        <v/>
      </c>
      <c r="J54" s="37" t="str">
        <f t="shared" si="4"/>
        <v/>
      </c>
      <c r="K54" s="32" t="str">
        <f t="shared" si="5"/>
        <v/>
      </c>
      <c r="L54" s="32" t="str">
        <f t="shared" si="6"/>
        <v/>
      </c>
      <c r="M54" s="32" t="str">
        <f t="shared" si="7"/>
        <v/>
      </c>
      <c r="N54" s="44" t="str">
        <f t="shared" si="8"/>
        <v/>
      </c>
      <c r="O54" s="45" t="str">
        <f t="shared" si="9"/>
        <v/>
      </c>
      <c r="P54" s="5"/>
      <c r="Q54" s="5"/>
      <c r="R54" s="5"/>
    </row>
    <row r="55" ht="15.75" customHeight="1">
      <c r="A55" s="46"/>
      <c r="B55" s="47"/>
      <c r="C55" s="47"/>
      <c r="D55" s="47"/>
      <c r="E55" s="47"/>
      <c r="F55" s="48"/>
      <c r="G55" s="36" t="str">
        <f t="shared" si="1"/>
        <v/>
      </c>
      <c r="H55" s="37" t="str">
        <f t="shared" si="2"/>
        <v/>
      </c>
      <c r="I55" s="37" t="str">
        <f t="shared" si="3"/>
        <v/>
      </c>
      <c r="J55" s="37" t="str">
        <f t="shared" si="4"/>
        <v/>
      </c>
      <c r="K55" s="32" t="str">
        <f t="shared" si="5"/>
        <v/>
      </c>
      <c r="L55" s="32" t="str">
        <f t="shared" si="6"/>
        <v/>
      </c>
      <c r="M55" s="32" t="str">
        <f t="shared" si="7"/>
        <v/>
      </c>
      <c r="N55" s="44" t="str">
        <f t="shared" si="8"/>
        <v/>
      </c>
      <c r="O55" s="45" t="str">
        <f t="shared" si="9"/>
        <v/>
      </c>
      <c r="P55" s="5"/>
      <c r="Q55" s="5"/>
      <c r="R55" s="5"/>
    </row>
    <row r="56" ht="15.75" customHeight="1">
      <c r="A56" s="46"/>
      <c r="B56" s="47"/>
      <c r="C56" s="47"/>
      <c r="D56" s="47"/>
      <c r="E56" s="47"/>
      <c r="F56" s="48"/>
      <c r="G56" s="36" t="str">
        <f t="shared" si="1"/>
        <v/>
      </c>
      <c r="H56" s="37" t="str">
        <f t="shared" si="2"/>
        <v/>
      </c>
      <c r="I56" s="37" t="str">
        <f t="shared" si="3"/>
        <v/>
      </c>
      <c r="J56" s="37" t="str">
        <f t="shared" si="4"/>
        <v/>
      </c>
      <c r="K56" s="32" t="str">
        <f t="shared" si="5"/>
        <v/>
      </c>
      <c r="L56" s="32" t="str">
        <f t="shared" si="6"/>
        <v/>
      </c>
      <c r="M56" s="32" t="str">
        <f t="shared" si="7"/>
        <v/>
      </c>
      <c r="N56" s="44" t="str">
        <f t="shared" si="8"/>
        <v/>
      </c>
      <c r="O56" s="45" t="str">
        <f t="shared" si="9"/>
        <v/>
      </c>
      <c r="P56" s="5"/>
      <c r="Q56" s="5"/>
      <c r="R56" s="5"/>
    </row>
    <row r="57" ht="15.75" customHeight="1">
      <c r="A57" s="46"/>
      <c r="B57" s="47"/>
      <c r="C57" s="47"/>
      <c r="D57" s="47"/>
      <c r="E57" s="47"/>
      <c r="F57" s="48"/>
      <c r="G57" s="36" t="str">
        <f t="shared" si="1"/>
        <v/>
      </c>
      <c r="H57" s="37" t="str">
        <f t="shared" si="2"/>
        <v/>
      </c>
      <c r="I57" s="37" t="str">
        <f t="shared" si="3"/>
        <v/>
      </c>
      <c r="J57" s="37" t="str">
        <f t="shared" si="4"/>
        <v/>
      </c>
      <c r="K57" s="32" t="str">
        <f t="shared" si="5"/>
        <v/>
      </c>
      <c r="L57" s="32" t="str">
        <f t="shared" si="6"/>
        <v/>
      </c>
      <c r="M57" s="32" t="str">
        <f t="shared" si="7"/>
        <v/>
      </c>
      <c r="N57" s="44" t="str">
        <f t="shared" si="8"/>
        <v/>
      </c>
      <c r="O57" s="45" t="str">
        <f t="shared" si="9"/>
        <v/>
      </c>
      <c r="P57" s="5"/>
      <c r="Q57" s="5"/>
      <c r="R57" s="5"/>
    </row>
    <row r="58" ht="15.75" customHeight="1">
      <c r="A58" s="46"/>
      <c r="B58" s="47"/>
      <c r="C58" s="47"/>
      <c r="D58" s="47"/>
      <c r="E58" s="47"/>
      <c r="F58" s="48"/>
      <c r="G58" s="36" t="str">
        <f t="shared" si="1"/>
        <v/>
      </c>
      <c r="H58" s="37" t="str">
        <f t="shared" si="2"/>
        <v/>
      </c>
      <c r="I58" s="37" t="str">
        <f t="shared" si="3"/>
        <v/>
      </c>
      <c r="J58" s="37" t="str">
        <f t="shared" si="4"/>
        <v/>
      </c>
      <c r="K58" s="32" t="str">
        <f t="shared" si="5"/>
        <v/>
      </c>
      <c r="L58" s="32" t="str">
        <f t="shared" si="6"/>
        <v/>
      </c>
      <c r="M58" s="32" t="str">
        <f t="shared" si="7"/>
        <v/>
      </c>
      <c r="N58" s="44" t="str">
        <f t="shared" si="8"/>
        <v/>
      </c>
      <c r="O58" s="45" t="str">
        <f t="shared" si="9"/>
        <v/>
      </c>
      <c r="P58" s="5"/>
      <c r="Q58" s="5"/>
      <c r="R58" s="5"/>
    </row>
    <row r="59" ht="15.75" customHeight="1">
      <c r="A59" s="46"/>
      <c r="B59" s="47"/>
      <c r="C59" s="47"/>
      <c r="D59" s="47"/>
      <c r="E59" s="47"/>
      <c r="F59" s="48"/>
      <c r="G59" s="36" t="str">
        <f t="shared" si="1"/>
        <v/>
      </c>
      <c r="H59" s="37" t="str">
        <f t="shared" si="2"/>
        <v/>
      </c>
      <c r="I59" s="37" t="str">
        <f t="shared" si="3"/>
        <v/>
      </c>
      <c r="J59" s="37" t="str">
        <f t="shared" si="4"/>
        <v/>
      </c>
      <c r="K59" s="32" t="str">
        <f t="shared" si="5"/>
        <v/>
      </c>
      <c r="L59" s="32" t="str">
        <f t="shared" si="6"/>
        <v/>
      </c>
      <c r="M59" s="32" t="str">
        <f t="shared" si="7"/>
        <v/>
      </c>
      <c r="N59" s="44" t="str">
        <f t="shared" si="8"/>
        <v/>
      </c>
      <c r="O59" s="45" t="str">
        <f t="shared" si="9"/>
        <v/>
      </c>
      <c r="P59" s="5"/>
      <c r="Q59" s="5"/>
      <c r="R59" s="5"/>
    </row>
    <row r="60" ht="15.75" customHeight="1">
      <c r="A60" s="46"/>
      <c r="B60" s="47"/>
      <c r="C60" s="47"/>
      <c r="D60" s="47"/>
      <c r="E60" s="47"/>
      <c r="F60" s="48"/>
      <c r="G60" s="36" t="str">
        <f t="shared" si="1"/>
        <v/>
      </c>
      <c r="H60" s="37" t="str">
        <f t="shared" si="2"/>
        <v/>
      </c>
      <c r="I60" s="37" t="str">
        <f t="shared" si="3"/>
        <v/>
      </c>
      <c r="J60" s="37" t="str">
        <f t="shared" si="4"/>
        <v/>
      </c>
      <c r="K60" s="32" t="str">
        <f t="shared" si="5"/>
        <v/>
      </c>
      <c r="L60" s="32" t="str">
        <f t="shared" si="6"/>
        <v/>
      </c>
      <c r="M60" s="32" t="str">
        <f t="shared" si="7"/>
        <v/>
      </c>
      <c r="N60" s="44" t="str">
        <f t="shared" si="8"/>
        <v/>
      </c>
      <c r="O60" s="45" t="str">
        <f t="shared" si="9"/>
        <v/>
      </c>
      <c r="P60" s="5"/>
      <c r="Q60" s="5"/>
      <c r="R60" s="5"/>
    </row>
    <row r="61" ht="15.75" customHeight="1">
      <c r="A61" s="46"/>
      <c r="B61" s="47"/>
      <c r="C61" s="47"/>
      <c r="D61" s="47"/>
      <c r="E61" s="47"/>
      <c r="F61" s="48"/>
      <c r="G61" s="36" t="str">
        <f t="shared" si="1"/>
        <v/>
      </c>
      <c r="H61" s="37" t="str">
        <f t="shared" si="2"/>
        <v/>
      </c>
      <c r="I61" s="37" t="str">
        <f t="shared" si="3"/>
        <v/>
      </c>
      <c r="J61" s="37" t="str">
        <f t="shared" si="4"/>
        <v/>
      </c>
      <c r="K61" s="32" t="str">
        <f t="shared" si="5"/>
        <v/>
      </c>
      <c r="L61" s="32" t="str">
        <f t="shared" si="6"/>
        <v/>
      </c>
      <c r="M61" s="32" t="str">
        <f t="shared" si="7"/>
        <v/>
      </c>
      <c r="N61" s="44" t="str">
        <f t="shared" si="8"/>
        <v/>
      </c>
      <c r="O61" s="45" t="str">
        <f t="shared" si="9"/>
        <v/>
      </c>
      <c r="P61" s="5"/>
      <c r="Q61" s="5"/>
      <c r="R61" s="5"/>
    </row>
    <row r="62" ht="15.75" customHeight="1">
      <c r="A62" s="46"/>
      <c r="B62" s="47"/>
      <c r="C62" s="47"/>
      <c r="D62" s="47"/>
      <c r="E62" s="47"/>
      <c r="F62" s="48"/>
      <c r="G62" s="36" t="str">
        <f t="shared" si="1"/>
        <v/>
      </c>
      <c r="H62" s="37" t="str">
        <f t="shared" si="2"/>
        <v/>
      </c>
      <c r="I62" s="37" t="str">
        <f t="shared" si="3"/>
        <v/>
      </c>
      <c r="J62" s="37" t="str">
        <f t="shared" si="4"/>
        <v/>
      </c>
      <c r="K62" s="32" t="str">
        <f t="shared" si="5"/>
        <v/>
      </c>
      <c r="L62" s="32" t="str">
        <f t="shared" si="6"/>
        <v/>
      </c>
      <c r="M62" s="32" t="str">
        <f t="shared" si="7"/>
        <v/>
      </c>
      <c r="N62" s="44" t="str">
        <f t="shared" si="8"/>
        <v/>
      </c>
      <c r="O62" s="45" t="str">
        <f t="shared" si="9"/>
        <v/>
      </c>
      <c r="P62" s="5"/>
      <c r="Q62" s="5"/>
      <c r="R62" s="5"/>
    </row>
    <row r="63" ht="15.75" customHeight="1">
      <c r="A63" s="46"/>
      <c r="B63" s="47"/>
      <c r="C63" s="47"/>
      <c r="D63" s="47"/>
      <c r="E63" s="47"/>
      <c r="F63" s="48"/>
      <c r="G63" s="36" t="str">
        <f t="shared" si="1"/>
        <v/>
      </c>
      <c r="H63" s="37" t="str">
        <f t="shared" si="2"/>
        <v/>
      </c>
      <c r="I63" s="37" t="str">
        <f t="shared" si="3"/>
        <v/>
      </c>
      <c r="J63" s="37" t="str">
        <f t="shared" si="4"/>
        <v/>
      </c>
      <c r="K63" s="32" t="str">
        <f t="shared" si="5"/>
        <v/>
      </c>
      <c r="L63" s="32" t="str">
        <f t="shared" si="6"/>
        <v/>
      </c>
      <c r="M63" s="32" t="str">
        <f t="shared" si="7"/>
        <v/>
      </c>
      <c r="N63" s="44" t="str">
        <f t="shared" si="8"/>
        <v/>
      </c>
      <c r="O63" s="45" t="str">
        <f t="shared" si="9"/>
        <v/>
      </c>
      <c r="P63" s="5"/>
      <c r="Q63" s="5"/>
      <c r="R63" s="5"/>
    </row>
    <row r="64" ht="15.75" customHeight="1">
      <c r="A64" s="46"/>
      <c r="B64" s="47"/>
      <c r="C64" s="47"/>
      <c r="D64" s="47"/>
      <c r="E64" s="47"/>
      <c r="F64" s="48"/>
      <c r="G64" s="36" t="str">
        <f t="shared" si="1"/>
        <v/>
      </c>
      <c r="H64" s="37" t="str">
        <f t="shared" si="2"/>
        <v/>
      </c>
      <c r="I64" s="37" t="str">
        <f t="shared" si="3"/>
        <v/>
      </c>
      <c r="J64" s="37" t="str">
        <f t="shared" si="4"/>
        <v/>
      </c>
      <c r="K64" s="32" t="str">
        <f t="shared" si="5"/>
        <v/>
      </c>
      <c r="L64" s="32" t="str">
        <f t="shared" si="6"/>
        <v/>
      </c>
      <c r="M64" s="32" t="str">
        <f t="shared" si="7"/>
        <v/>
      </c>
      <c r="N64" s="44" t="str">
        <f t="shared" si="8"/>
        <v/>
      </c>
      <c r="O64" s="45" t="str">
        <f t="shared" si="9"/>
        <v/>
      </c>
      <c r="P64" s="5"/>
      <c r="Q64" s="5"/>
      <c r="R64" s="5"/>
    </row>
    <row r="65" ht="15.75" customHeight="1">
      <c r="A65" s="46"/>
      <c r="B65" s="47"/>
      <c r="C65" s="47"/>
      <c r="D65" s="47"/>
      <c r="E65" s="47"/>
      <c r="F65" s="48"/>
      <c r="G65" s="36" t="str">
        <f t="shared" si="1"/>
        <v/>
      </c>
      <c r="H65" s="37" t="str">
        <f t="shared" si="2"/>
        <v/>
      </c>
      <c r="I65" s="37" t="str">
        <f t="shared" si="3"/>
        <v/>
      </c>
      <c r="J65" s="37" t="str">
        <f t="shared" si="4"/>
        <v/>
      </c>
      <c r="K65" s="32" t="str">
        <f t="shared" si="5"/>
        <v/>
      </c>
      <c r="L65" s="32" t="str">
        <f t="shared" si="6"/>
        <v/>
      </c>
      <c r="M65" s="32" t="str">
        <f t="shared" si="7"/>
        <v/>
      </c>
      <c r="N65" s="44" t="str">
        <f t="shared" si="8"/>
        <v/>
      </c>
      <c r="O65" s="45" t="str">
        <f t="shared" si="9"/>
        <v/>
      </c>
      <c r="P65" s="5"/>
      <c r="Q65" s="5"/>
      <c r="R65" s="5"/>
    </row>
    <row r="66" ht="15.75" customHeight="1">
      <c r="A66" s="46"/>
      <c r="B66" s="47"/>
      <c r="C66" s="47"/>
      <c r="D66" s="47"/>
      <c r="E66" s="47"/>
      <c r="F66" s="48"/>
      <c r="G66" s="36" t="str">
        <f t="shared" si="1"/>
        <v/>
      </c>
      <c r="H66" s="37" t="str">
        <f t="shared" si="2"/>
        <v/>
      </c>
      <c r="I66" s="37" t="str">
        <f t="shared" si="3"/>
        <v/>
      </c>
      <c r="J66" s="37" t="str">
        <f t="shared" si="4"/>
        <v/>
      </c>
      <c r="K66" s="32" t="str">
        <f t="shared" si="5"/>
        <v/>
      </c>
      <c r="L66" s="32" t="str">
        <f t="shared" si="6"/>
        <v/>
      </c>
      <c r="M66" s="32" t="str">
        <f t="shared" si="7"/>
        <v/>
      </c>
      <c r="N66" s="44" t="str">
        <f t="shared" si="8"/>
        <v/>
      </c>
      <c r="O66" s="45" t="str">
        <f t="shared" si="9"/>
        <v/>
      </c>
      <c r="P66" s="5"/>
      <c r="Q66" s="5"/>
      <c r="R66" s="5"/>
    </row>
    <row r="67" ht="15.75" customHeight="1">
      <c r="A67" s="46"/>
      <c r="B67" s="47"/>
      <c r="C67" s="47"/>
      <c r="D67" s="47"/>
      <c r="E67" s="47"/>
      <c r="F67" s="48"/>
      <c r="G67" s="36" t="str">
        <f t="shared" si="1"/>
        <v/>
      </c>
      <c r="H67" s="37" t="str">
        <f t="shared" si="2"/>
        <v/>
      </c>
      <c r="I67" s="37" t="str">
        <f t="shared" si="3"/>
        <v/>
      </c>
      <c r="J67" s="37" t="str">
        <f t="shared" si="4"/>
        <v/>
      </c>
      <c r="K67" s="32" t="str">
        <f t="shared" si="5"/>
        <v/>
      </c>
      <c r="L67" s="32" t="str">
        <f t="shared" si="6"/>
        <v/>
      </c>
      <c r="M67" s="32" t="str">
        <f t="shared" si="7"/>
        <v/>
      </c>
      <c r="N67" s="44" t="str">
        <f t="shared" si="8"/>
        <v/>
      </c>
      <c r="O67" s="45" t="str">
        <f t="shared" si="9"/>
        <v/>
      </c>
      <c r="P67" s="5"/>
      <c r="Q67" s="5"/>
      <c r="R67" s="5"/>
    </row>
    <row r="68" ht="15.75" customHeight="1">
      <c r="A68" s="46"/>
      <c r="B68" s="47"/>
      <c r="C68" s="47"/>
      <c r="D68" s="47"/>
      <c r="E68" s="47"/>
      <c r="F68" s="48"/>
      <c r="G68" s="36" t="str">
        <f t="shared" si="1"/>
        <v/>
      </c>
      <c r="H68" s="37" t="str">
        <f t="shared" si="2"/>
        <v/>
      </c>
      <c r="I68" s="37" t="str">
        <f t="shared" si="3"/>
        <v/>
      </c>
      <c r="J68" s="37" t="str">
        <f t="shared" si="4"/>
        <v/>
      </c>
      <c r="K68" s="32" t="str">
        <f t="shared" si="5"/>
        <v/>
      </c>
      <c r="L68" s="32" t="str">
        <f t="shared" si="6"/>
        <v/>
      </c>
      <c r="M68" s="32" t="str">
        <f t="shared" si="7"/>
        <v/>
      </c>
      <c r="N68" s="44" t="str">
        <f t="shared" si="8"/>
        <v/>
      </c>
      <c r="O68" s="45" t="str">
        <f t="shared" si="9"/>
        <v/>
      </c>
      <c r="P68" s="5"/>
      <c r="Q68" s="5"/>
      <c r="R68" s="5"/>
    </row>
    <row r="69" ht="15.75" customHeight="1">
      <c r="A69" s="46"/>
      <c r="B69" s="47"/>
      <c r="C69" s="47"/>
      <c r="D69" s="47"/>
      <c r="E69" s="47"/>
      <c r="F69" s="48"/>
      <c r="G69" s="36" t="str">
        <f t="shared" si="1"/>
        <v/>
      </c>
      <c r="H69" s="37" t="str">
        <f t="shared" si="2"/>
        <v/>
      </c>
      <c r="I69" s="37" t="str">
        <f t="shared" si="3"/>
        <v/>
      </c>
      <c r="J69" s="37" t="str">
        <f t="shared" si="4"/>
        <v/>
      </c>
      <c r="K69" s="32" t="str">
        <f t="shared" si="5"/>
        <v/>
      </c>
      <c r="L69" s="32" t="str">
        <f t="shared" si="6"/>
        <v/>
      </c>
      <c r="M69" s="32" t="str">
        <f t="shared" si="7"/>
        <v/>
      </c>
      <c r="N69" s="44" t="str">
        <f t="shared" si="8"/>
        <v/>
      </c>
      <c r="O69" s="45" t="str">
        <f t="shared" si="9"/>
        <v/>
      </c>
      <c r="P69" s="5"/>
      <c r="Q69" s="5"/>
      <c r="R69" s="5"/>
    </row>
    <row r="70" ht="15.75" customHeight="1">
      <c r="A70" s="46"/>
      <c r="B70" s="47"/>
      <c r="C70" s="47"/>
      <c r="D70" s="47"/>
      <c r="E70" s="47"/>
      <c r="F70" s="48"/>
      <c r="G70" s="36" t="str">
        <f t="shared" si="1"/>
        <v/>
      </c>
      <c r="H70" s="37" t="str">
        <f t="shared" si="2"/>
        <v/>
      </c>
      <c r="I70" s="37" t="str">
        <f t="shared" si="3"/>
        <v/>
      </c>
      <c r="J70" s="37" t="str">
        <f t="shared" si="4"/>
        <v/>
      </c>
      <c r="K70" s="32" t="str">
        <f t="shared" si="5"/>
        <v/>
      </c>
      <c r="L70" s="32" t="str">
        <f t="shared" si="6"/>
        <v/>
      </c>
      <c r="M70" s="32" t="str">
        <f t="shared" si="7"/>
        <v/>
      </c>
      <c r="N70" s="44" t="str">
        <f t="shared" si="8"/>
        <v/>
      </c>
      <c r="O70" s="45" t="str">
        <f t="shared" si="9"/>
        <v/>
      </c>
      <c r="P70" s="5"/>
      <c r="Q70" s="5"/>
      <c r="R70" s="5"/>
    </row>
    <row r="71" ht="15.75" customHeight="1">
      <c r="A71" s="46"/>
      <c r="B71" s="47"/>
      <c r="C71" s="47"/>
      <c r="D71" s="47"/>
      <c r="E71" s="47"/>
      <c r="F71" s="48"/>
      <c r="G71" s="36" t="str">
        <f t="shared" si="1"/>
        <v/>
      </c>
      <c r="H71" s="37" t="str">
        <f t="shared" si="2"/>
        <v/>
      </c>
      <c r="I71" s="37" t="str">
        <f t="shared" si="3"/>
        <v/>
      </c>
      <c r="J71" s="37" t="str">
        <f t="shared" si="4"/>
        <v/>
      </c>
      <c r="K71" s="32" t="str">
        <f t="shared" si="5"/>
        <v/>
      </c>
      <c r="L71" s="32" t="str">
        <f t="shared" si="6"/>
        <v/>
      </c>
      <c r="M71" s="32" t="str">
        <f t="shared" si="7"/>
        <v/>
      </c>
      <c r="N71" s="44" t="str">
        <f t="shared" si="8"/>
        <v/>
      </c>
      <c r="O71" s="45" t="str">
        <f t="shared" si="9"/>
        <v/>
      </c>
      <c r="P71" s="5"/>
      <c r="Q71" s="5"/>
      <c r="R71" s="5"/>
    </row>
    <row r="72" ht="15.75" customHeight="1">
      <c r="A72" s="46"/>
      <c r="B72" s="47"/>
      <c r="C72" s="47"/>
      <c r="D72" s="47"/>
      <c r="E72" s="47"/>
      <c r="F72" s="48"/>
      <c r="G72" s="36" t="str">
        <f t="shared" si="1"/>
        <v/>
      </c>
      <c r="H72" s="37" t="str">
        <f t="shared" si="2"/>
        <v/>
      </c>
      <c r="I72" s="37" t="str">
        <f t="shared" si="3"/>
        <v/>
      </c>
      <c r="J72" s="37" t="str">
        <f t="shared" si="4"/>
        <v/>
      </c>
      <c r="K72" s="32" t="str">
        <f t="shared" si="5"/>
        <v/>
      </c>
      <c r="L72" s="32" t="str">
        <f t="shared" si="6"/>
        <v/>
      </c>
      <c r="M72" s="32" t="str">
        <f t="shared" si="7"/>
        <v/>
      </c>
      <c r="N72" s="44" t="str">
        <f t="shared" si="8"/>
        <v/>
      </c>
      <c r="O72" s="45" t="str">
        <f t="shared" si="9"/>
        <v/>
      </c>
      <c r="P72" s="5"/>
      <c r="Q72" s="5"/>
      <c r="R72" s="5"/>
    </row>
    <row r="73" ht="15.75" customHeight="1">
      <c r="A73" s="46"/>
      <c r="B73" s="47"/>
      <c r="C73" s="47"/>
      <c r="D73" s="47"/>
      <c r="E73" s="47"/>
      <c r="F73" s="48"/>
      <c r="G73" s="36" t="str">
        <f t="shared" si="1"/>
        <v/>
      </c>
      <c r="H73" s="37" t="str">
        <f t="shared" si="2"/>
        <v/>
      </c>
      <c r="I73" s="37" t="str">
        <f t="shared" si="3"/>
        <v/>
      </c>
      <c r="J73" s="37" t="str">
        <f t="shared" si="4"/>
        <v/>
      </c>
      <c r="K73" s="32" t="str">
        <f t="shared" si="5"/>
        <v/>
      </c>
      <c r="L73" s="32" t="str">
        <f t="shared" si="6"/>
        <v/>
      </c>
      <c r="M73" s="32" t="str">
        <f t="shared" si="7"/>
        <v/>
      </c>
      <c r="N73" s="44" t="str">
        <f t="shared" si="8"/>
        <v/>
      </c>
      <c r="O73" s="45" t="str">
        <f t="shared" si="9"/>
        <v/>
      </c>
      <c r="P73" s="5"/>
      <c r="Q73" s="5"/>
      <c r="R73" s="5"/>
    </row>
    <row r="74" ht="15.75" customHeight="1">
      <c r="A74" s="46"/>
      <c r="B74" s="47"/>
      <c r="C74" s="47"/>
      <c r="D74" s="47"/>
      <c r="E74" s="47"/>
      <c r="F74" s="48"/>
      <c r="G74" s="36" t="str">
        <f t="shared" si="1"/>
        <v/>
      </c>
      <c r="H74" s="37" t="str">
        <f t="shared" si="2"/>
        <v/>
      </c>
      <c r="I74" s="37" t="str">
        <f t="shared" si="3"/>
        <v/>
      </c>
      <c r="J74" s="37" t="str">
        <f t="shared" si="4"/>
        <v/>
      </c>
      <c r="K74" s="32" t="str">
        <f t="shared" si="5"/>
        <v/>
      </c>
      <c r="L74" s="32" t="str">
        <f t="shared" si="6"/>
        <v/>
      </c>
      <c r="M74" s="32" t="str">
        <f t="shared" si="7"/>
        <v/>
      </c>
      <c r="N74" s="44" t="str">
        <f t="shared" si="8"/>
        <v/>
      </c>
      <c r="O74" s="45" t="str">
        <f t="shared" si="9"/>
        <v/>
      </c>
      <c r="P74" s="5"/>
      <c r="Q74" s="5"/>
      <c r="R74" s="5"/>
    </row>
    <row r="75" ht="15.75" customHeight="1">
      <c r="A75" s="46"/>
      <c r="B75" s="47"/>
      <c r="C75" s="47"/>
      <c r="D75" s="47"/>
      <c r="E75" s="47"/>
      <c r="F75" s="48"/>
      <c r="G75" s="36" t="str">
        <f t="shared" si="1"/>
        <v/>
      </c>
      <c r="H75" s="37" t="str">
        <f t="shared" si="2"/>
        <v/>
      </c>
      <c r="I75" s="37" t="str">
        <f t="shared" si="3"/>
        <v/>
      </c>
      <c r="J75" s="37" t="str">
        <f t="shared" si="4"/>
        <v/>
      </c>
      <c r="K75" s="32" t="str">
        <f t="shared" si="5"/>
        <v/>
      </c>
      <c r="L75" s="32" t="str">
        <f t="shared" si="6"/>
        <v/>
      </c>
      <c r="M75" s="32" t="str">
        <f t="shared" si="7"/>
        <v/>
      </c>
      <c r="N75" s="44" t="str">
        <f t="shared" si="8"/>
        <v/>
      </c>
      <c r="O75" s="45" t="str">
        <f t="shared" si="9"/>
        <v/>
      </c>
      <c r="P75" s="5"/>
      <c r="Q75" s="5"/>
      <c r="R75" s="5"/>
    </row>
    <row r="76" ht="15.75" customHeight="1">
      <c r="A76" s="46"/>
      <c r="B76" s="47"/>
      <c r="C76" s="47"/>
      <c r="D76" s="47"/>
      <c r="E76" s="47"/>
      <c r="F76" s="48"/>
      <c r="G76" s="36" t="str">
        <f t="shared" si="1"/>
        <v/>
      </c>
      <c r="H76" s="37" t="str">
        <f t="shared" si="2"/>
        <v/>
      </c>
      <c r="I76" s="37" t="str">
        <f t="shared" si="3"/>
        <v/>
      </c>
      <c r="J76" s="37" t="str">
        <f t="shared" si="4"/>
        <v/>
      </c>
      <c r="K76" s="32" t="str">
        <f t="shared" si="5"/>
        <v/>
      </c>
      <c r="L76" s="32" t="str">
        <f t="shared" si="6"/>
        <v/>
      </c>
      <c r="M76" s="32" t="str">
        <f t="shared" si="7"/>
        <v/>
      </c>
      <c r="N76" s="44" t="str">
        <f t="shared" si="8"/>
        <v/>
      </c>
      <c r="O76" s="45" t="str">
        <f t="shared" si="9"/>
        <v/>
      </c>
      <c r="P76" s="5"/>
      <c r="Q76" s="5"/>
      <c r="R76" s="5"/>
    </row>
    <row r="77" ht="15.75" customHeight="1">
      <c r="A77" s="46"/>
      <c r="B77" s="47"/>
      <c r="C77" s="47"/>
      <c r="D77" s="47"/>
      <c r="E77" s="47"/>
      <c r="F77" s="48"/>
      <c r="G77" s="36" t="str">
        <f t="shared" si="1"/>
        <v/>
      </c>
      <c r="H77" s="37" t="str">
        <f t="shared" si="2"/>
        <v/>
      </c>
      <c r="I77" s="37" t="str">
        <f t="shared" si="3"/>
        <v/>
      </c>
      <c r="J77" s="37" t="str">
        <f t="shared" si="4"/>
        <v/>
      </c>
      <c r="K77" s="32" t="str">
        <f t="shared" si="5"/>
        <v/>
      </c>
      <c r="L77" s="32" t="str">
        <f t="shared" si="6"/>
        <v/>
      </c>
      <c r="M77" s="32" t="str">
        <f t="shared" si="7"/>
        <v/>
      </c>
      <c r="N77" s="44" t="str">
        <f t="shared" si="8"/>
        <v/>
      </c>
      <c r="O77" s="45" t="str">
        <f t="shared" si="9"/>
        <v/>
      </c>
      <c r="P77" s="5"/>
      <c r="Q77" s="5"/>
      <c r="R77" s="5"/>
    </row>
    <row r="78" ht="15.75" customHeight="1">
      <c r="A78" s="46"/>
      <c r="B78" s="47"/>
      <c r="C78" s="47"/>
      <c r="D78" s="47"/>
      <c r="E78" s="47"/>
      <c r="F78" s="48"/>
      <c r="G78" s="36" t="str">
        <f t="shared" si="1"/>
        <v/>
      </c>
      <c r="H78" s="37" t="str">
        <f t="shared" si="2"/>
        <v/>
      </c>
      <c r="I78" s="37" t="str">
        <f t="shared" si="3"/>
        <v/>
      </c>
      <c r="J78" s="37" t="str">
        <f t="shared" si="4"/>
        <v/>
      </c>
      <c r="K78" s="32" t="str">
        <f t="shared" si="5"/>
        <v/>
      </c>
      <c r="L78" s="32" t="str">
        <f t="shared" si="6"/>
        <v/>
      </c>
      <c r="M78" s="32" t="str">
        <f t="shared" si="7"/>
        <v/>
      </c>
      <c r="N78" s="44" t="str">
        <f t="shared" si="8"/>
        <v/>
      </c>
      <c r="O78" s="45" t="str">
        <f t="shared" si="9"/>
        <v/>
      </c>
      <c r="P78" s="5"/>
      <c r="Q78" s="5"/>
      <c r="R78" s="5"/>
    </row>
    <row r="79" ht="15.75" customHeight="1">
      <c r="A79" s="46"/>
      <c r="B79" s="47"/>
      <c r="C79" s="47"/>
      <c r="D79" s="47"/>
      <c r="E79" s="47"/>
      <c r="F79" s="48"/>
      <c r="G79" s="36" t="str">
        <f t="shared" si="1"/>
        <v/>
      </c>
      <c r="H79" s="37" t="str">
        <f t="shared" si="2"/>
        <v/>
      </c>
      <c r="I79" s="37" t="str">
        <f t="shared" si="3"/>
        <v/>
      </c>
      <c r="J79" s="37" t="str">
        <f t="shared" si="4"/>
        <v/>
      </c>
      <c r="K79" s="32" t="str">
        <f t="shared" si="5"/>
        <v/>
      </c>
      <c r="L79" s="32" t="str">
        <f t="shared" si="6"/>
        <v/>
      </c>
      <c r="M79" s="32" t="str">
        <f t="shared" si="7"/>
        <v/>
      </c>
      <c r="N79" s="44" t="str">
        <f t="shared" si="8"/>
        <v/>
      </c>
      <c r="O79" s="45" t="str">
        <f t="shared" si="9"/>
        <v/>
      </c>
      <c r="P79" s="5"/>
      <c r="Q79" s="5"/>
      <c r="R79" s="5"/>
    </row>
    <row r="80" ht="15.75" customHeight="1">
      <c r="A80" s="46"/>
      <c r="B80" s="47"/>
      <c r="C80" s="47"/>
      <c r="D80" s="47"/>
      <c r="E80" s="47"/>
      <c r="F80" s="48"/>
      <c r="G80" s="36" t="str">
        <f t="shared" si="1"/>
        <v/>
      </c>
      <c r="H80" s="37" t="str">
        <f t="shared" si="2"/>
        <v/>
      </c>
      <c r="I80" s="37" t="str">
        <f t="shared" si="3"/>
        <v/>
      </c>
      <c r="J80" s="37" t="str">
        <f t="shared" si="4"/>
        <v/>
      </c>
      <c r="K80" s="32" t="str">
        <f t="shared" si="5"/>
        <v/>
      </c>
      <c r="L80" s="32" t="str">
        <f t="shared" si="6"/>
        <v/>
      </c>
      <c r="M80" s="32" t="str">
        <f t="shared" si="7"/>
        <v/>
      </c>
      <c r="N80" s="44" t="str">
        <f t="shared" si="8"/>
        <v/>
      </c>
      <c r="O80" s="45" t="str">
        <f t="shared" si="9"/>
        <v/>
      </c>
      <c r="P80" s="5"/>
      <c r="Q80" s="5"/>
      <c r="R80" s="5"/>
    </row>
    <row r="81" ht="15.75" customHeight="1">
      <c r="A81" s="46"/>
      <c r="B81" s="47"/>
      <c r="C81" s="47"/>
      <c r="D81" s="47"/>
      <c r="E81" s="47"/>
      <c r="F81" s="48"/>
      <c r="G81" s="36" t="str">
        <f t="shared" si="1"/>
        <v/>
      </c>
      <c r="H81" s="37" t="str">
        <f t="shared" si="2"/>
        <v/>
      </c>
      <c r="I81" s="37" t="str">
        <f t="shared" si="3"/>
        <v/>
      </c>
      <c r="J81" s="37" t="str">
        <f t="shared" si="4"/>
        <v/>
      </c>
      <c r="K81" s="32" t="str">
        <f t="shared" si="5"/>
        <v/>
      </c>
      <c r="L81" s="32" t="str">
        <f t="shared" si="6"/>
        <v/>
      </c>
      <c r="M81" s="32" t="str">
        <f t="shared" si="7"/>
        <v/>
      </c>
      <c r="N81" s="44" t="str">
        <f t="shared" si="8"/>
        <v/>
      </c>
      <c r="O81" s="45" t="str">
        <f t="shared" si="9"/>
        <v/>
      </c>
      <c r="P81" s="5"/>
      <c r="Q81" s="5"/>
      <c r="R81" s="5"/>
    </row>
    <row r="82" ht="15.75" customHeight="1">
      <c r="A82" s="46"/>
      <c r="B82" s="47"/>
      <c r="C82" s="47"/>
      <c r="D82" s="47"/>
      <c r="E82" s="47"/>
      <c r="F82" s="48"/>
      <c r="G82" s="36" t="str">
        <f t="shared" si="1"/>
        <v/>
      </c>
      <c r="H82" s="37" t="str">
        <f t="shared" si="2"/>
        <v/>
      </c>
      <c r="I82" s="37" t="str">
        <f t="shared" si="3"/>
        <v/>
      </c>
      <c r="J82" s="37" t="str">
        <f t="shared" si="4"/>
        <v/>
      </c>
      <c r="K82" s="32" t="str">
        <f t="shared" si="5"/>
        <v/>
      </c>
      <c r="L82" s="32" t="str">
        <f t="shared" si="6"/>
        <v/>
      </c>
      <c r="M82" s="32" t="str">
        <f t="shared" si="7"/>
        <v/>
      </c>
      <c r="N82" s="44" t="str">
        <f t="shared" si="8"/>
        <v/>
      </c>
      <c r="O82" s="45" t="str">
        <f t="shared" si="9"/>
        <v/>
      </c>
      <c r="P82" s="5"/>
      <c r="Q82" s="5"/>
      <c r="R82" s="5"/>
    </row>
    <row r="83" ht="15.75" customHeight="1">
      <c r="A83" s="46"/>
      <c r="B83" s="47"/>
      <c r="C83" s="47"/>
      <c r="D83" s="47"/>
      <c r="E83" s="47"/>
      <c r="F83" s="48"/>
      <c r="G83" s="36" t="str">
        <f t="shared" si="1"/>
        <v/>
      </c>
      <c r="H83" s="37" t="str">
        <f t="shared" si="2"/>
        <v/>
      </c>
      <c r="I83" s="37" t="str">
        <f t="shared" si="3"/>
        <v/>
      </c>
      <c r="J83" s="37" t="str">
        <f t="shared" si="4"/>
        <v/>
      </c>
      <c r="K83" s="32" t="str">
        <f t="shared" si="5"/>
        <v/>
      </c>
      <c r="L83" s="32" t="str">
        <f t="shared" si="6"/>
        <v/>
      </c>
      <c r="M83" s="32" t="str">
        <f t="shared" si="7"/>
        <v/>
      </c>
      <c r="N83" s="44" t="str">
        <f t="shared" si="8"/>
        <v/>
      </c>
      <c r="O83" s="45" t="str">
        <f t="shared" si="9"/>
        <v/>
      </c>
      <c r="P83" s="5"/>
      <c r="Q83" s="5"/>
      <c r="R83" s="5"/>
    </row>
    <row r="84" ht="15.75" customHeight="1">
      <c r="A84" s="46"/>
      <c r="B84" s="47"/>
      <c r="C84" s="47"/>
      <c r="D84" s="47"/>
      <c r="E84" s="47"/>
      <c r="F84" s="48"/>
      <c r="G84" s="36" t="str">
        <f t="shared" si="1"/>
        <v/>
      </c>
      <c r="H84" s="37" t="str">
        <f t="shared" si="2"/>
        <v/>
      </c>
      <c r="I84" s="37" t="str">
        <f t="shared" si="3"/>
        <v/>
      </c>
      <c r="J84" s="37" t="str">
        <f t="shared" si="4"/>
        <v/>
      </c>
      <c r="K84" s="32" t="str">
        <f t="shared" si="5"/>
        <v/>
      </c>
      <c r="L84" s="32" t="str">
        <f t="shared" si="6"/>
        <v/>
      </c>
      <c r="M84" s="32" t="str">
        <f t="shared" si="7"/>
        <v/>
      </c>
      <c r="N84" s="44" t="str">
        <f t="shared" si="8"/>
        <v/>
      </c>
      <c r="O84" s="45" t="str">
        <f t="shared" si="9"/>
        <v/>
      </c>
      <c r="P84" s="5"/>
      <c r="Q84" s="5"/>
      <c r="R84" s="5"/>
    </row>
    <row r="85" ht="15.75" customHeight="1">
      <c r="A85" s="46"/>
      <c r="B85" s="47"/>
      <c r="C85" s="47"/>
      <c r="D85" s="47"/>
      <c r="E85" s="47"/>
      <c r="F85" s="48"/>
      <c r="G85" s="36" t="str">
        <f t="shared" si="1"/>
        <v/>
      </c>
      <c r="H85" s="37" t="str">
        <f t="shared" si="2"/>
        <v/>
      </c>
      <c r="I85" s="37" t="str">
        <f t="shared" si="3"/>
        <v/>
      </c>
      <c r="J85" s="37" t="str">
        <f t="shared" si="4"/>
        <v/>
      </c>
      <c r="K85" s="32" t="str">
        <f t="shared" si="5"/>
        <v/>
      </c>
      <c r="L85" s="32" t="str">
        <f t="shared" si="6"/>
        <v/>
      </c>
      <c r="M85" s="32" t="str">
        <f t="shared" si="7"/>
        <v/>
      </c>
      <c r="N85" s="44" t="str">
        <f t="shared" si="8"/>
        <v/>
      </c>
      <c r="O85" s="45" t="str">
        <f t="shared" si="9"/>
        <v/>
      </c>
      <c r="P85" s="5"/>
      <c r="Q85" s="5"/>
      <c r="R85" s="5"/>
    </row>
    <row r="86" ht="15.75" customHeight="1">
      <c r="A86" s="46"/>
      <c r="B86" s="47"/>
      <c r="C86" s="47"/>
      <c r="D86" s="47"/>
      <c r="E86" s="47"/>
      <c r="F86" s="48"/>
      <c r="G86" s="36" t="str">
        <f t="shared" si="1"/>
        <v/>
      </c>
      <c r="H86" s="37" t="str">
        <f t="shared" si="2"/>
        <v/>
      </c>
      <c r="I86" s="37" t="str">
        <f t="shared" si="3"/>
        <v/>
      </c>
      <c r="J86" s="37" t="str">
        <f t="shared" si="4"/>
        <v/>
      </c>
      <c r="K86" s="32" t="str">
        <f t="shared" si="5"/>
        <v/>
      </c>
      <c r="L86" s="32" t="str">
        <f t="shared" si="6"/>
        <v/>
      </c>
      <c r="M86" s="32" t="str">
        <f t="shared" si="7"/>
        <v/>
      </c>
      <c r="N86" s="44" t="str">
        <f t="shared" si="8"/>
        <v/>
      </c>
      <c r="O86" s="45" t="str">
        <f t="shared" si="9"/>
        <v/>
      </c>
      <c r="P86" s="5"/>
      <c r="Q86" s="5"/>
      <c r="R86" s="5"/>
    </row>
    <row r="87" ht="15.75" customHeight="1">
      <c r="A87" s="46"/>
      <c r="B87" s="47"/>
      <c r="C87" s="47"/>
      <c r="D87" s="47"/>
      <c r="E87" s="47"/>
      <c r="F87" s="48"/>
      <c r="G87" s="36" t="str">
        <f t="shared" si="1"/>
        <v/>
      </c>
      <c r="H87" s="37" t="str">
        <f t="shared" si="2"/>
        <v/>
      </c>
      <c r="I87" s="37" t="str">
        <f t="shared" si="3"/>
        <v/>
      </c>
      <c r="J87" s="37" t="str">
        <f t="shared" si="4"/>
        <v/>
      </c>
      <c r="K87" s="32" t="str">
        <f t="shared" si="5"/>
        <v/>
      </c>
      <c r="L87" s="32" t="str">
        <f t="shared" si="6"/>
        <v/>
      </c>
      <c r="M87" s="32" t="str">
        <f t="shared" si="7"/>
        <v/>
      </c>
      <c r="N87" s="44" t="str">
        <f t="shared" si="8"/>
        <v/>
      </c>
      <c r="O87" s="45" t="str">
        <f t="shared" si="9"/>
        <v/>
      </c>
      <c r="P87" s="5"/>
      <c r="Q87" s="5"/>
      <c r="R87" s="5"/>
    </row>
    <row r="88" ht="15.75" customHeight="1">
      <c r="A88" s="46"/>
      <c r="B88" s="47"/>
      <c r="C88" s="47"/>
      <c r="D88" s="47"/>
      <c r="E88" s="47"/>
      <c r="F88" s="48"/>
      <c r="G88" s="36" t="str">
        <f t="shared" si="1"/>
        <v/>
      </c>
      <c r="H88" s="37" t="str">
        <f t="shared" si="2"/>
        <v/>
      </c>
      <c r="I88" s="37" t="str">
        <f t="shared" si="3"/>
        <v/>
      </c>
      <c r="J88" s="37" t="str">
        <f t="shared" si="4"/>
        <v/>
      </c>
      <c r="K88" s="32" t="str">
        <f t="shared" si="5"/>
        <v/>
      </c>
      <c r="L88" s="32" t="str">
        <f t="shared" si="6"/>
        <v/>
      </c>
      <c r="M88" s="32" t="str">
        <f t="shared" si="7"/>
        <v/>
      </c>
      <c r="N88" s="44" t="str">
        <f t="shared" si="8"/>
        <v/>
      </c>
      <c r="O88" s="45" t="str">
        <f t="shared" si="9"/>
        <v/>
      </c>
      <c r="P88" s="5"/>
      <c r="Q88" s="5"/>
      <c r="R88" s="5"/>
    </row>
    <row r="89" ht="15.75" customHeight="1">
      <c r="A89" s="46"/>
      <c r="B89" s="47"/>
      <c r="C89" s="47"/>
      <c r="D89" s="47"/>
      <c r="E89" s="47"/>
      <c r="F89" s="48"/>
      <c r="G89" s="36" t="str">
        <f t="shared" si="1"/>
        <v/>
      </c>
      <c r="H89" s="37" t="str">
        <f t="shared" si="2"/>
        <v/>
      </c>
      <c r="I89" s="37" t="str">
        <f t="shared" si="3"/>
        <v/>
      </c>
      <c r="J89" s="37" t="str">
        <f t="shared" si="4"/>
        <v/>
      </c>
      <c r="K89" s="32" t="str">
        <f t="shared" si="5"/>
        <v/>
      </c>
      <c r="L89" s="32" t="str">
        <f t="shared" si="6"/>
        <v/>
      </c>
      <c r="M89" s="32" t="str">
        <f t="shared" si="7"/>
        <v/>
      </c>
      <c r="N89" s="44" t="str">
        <f t="shared" si="8"/>
        <v/>
      </c>
      <c r="O89" s="45" t="str">
        <f t="shared" si="9"/>
        <v/>
      </c>
      <c r="P89" s="5"/>
      <c r="Q89" s="5"/>
      <c r="R89" s="5"/>
    </row>
    <row r="90" ht="15.75" customHeight="1">
      <c r="A90" s="46"/>
      <c r="B90" s="47"/>
      <c r="C90" s="47"/>
      <c r="D90" s="47"/>
      <c r="E90" s="47"/>
      <c r="F90" s="48"/>
      <c r="G90" s="36" t="str">
        <f t="shared" si="1"/>
        <v/>
      </c>
      <c r="H90" s="37" t="str">
        <f t="shared" si="2"/>
        <v/>
      </c>
      <c r="I90" s="37" t="str">
        <f t="shared" si="3"/>
        <v/>
      </c>
      <c r="J90" s="37" t="str">
        <f t="shared" si="4"/>
        <v/>
      </c>
      <c r="K90" s="32" t="str">
        <f t="shared" si="5"/>
        <v/>
      </c>
      <c r="L90" s="32" t="str">
        <f t="shared" si="6"/>
        <v/>
      </c>
      <c r="M90" s="32" t="str">
        <f t="shared" si="7"/>
        <v/>
      </c>
      <c r="N90" s="44" t="str">
        <f t="shared" si="8"/>
        <v/>
      </c>
      <c r="O90" s="45" t="str">
        <f t="shared" si="9"/>
        <v/>
      </c>
      <c r="P90" s="5"/>
      <c r="Q90" s="5"/>
      <c r="R90" s="5"/>
    </row>
    <row r="91" ht="15.75" customHeight="1">
      <c r="A91" s="46"/>
      <c r="B91" s="47"/>
      <c r="C91" s="47"/>
      <c r="D91" s="47"/>
      <c r="E91" s="47"/>
      <c r="F91" s="48"/>
      <c r="G91" s="36" t="str">
        <f t="shared" si="1"/>
        <v/>
      </c>
      <c r="H91" s="37" t="str">
        <f t="shared" si="2"/>
        <v/>
      </c>
      <c r="I91" s="37" t="str">
        <f t="shared" si="3"/>
        <v/>
      </c>
      <c r="J91" s="37" t="str">
        <f t="shared" si="4"/>
        <v/>
      </c>
      <c r="K91" s="32" t="str">
        <f t="shared" si="5"/>
        <v/>
      </c>
      <c r="L91" s="32" t="str">
        <f t="shared" si="6"/>
        <v/>
      </c>
      <c r="M91" s="32" t="str">
        <f t="shared" si="7"/>
        <v/>
      </c>
      <c r="N91" s="44" t="str">
        <f t="shared" si="8"/>
        <v/>
      </c>
      <c r="O91" s="45" t="str">
        <f t="shared" si="9"/>
        <v/>
      </c>
      <c r="P91" s="5"/>
      <c r="Q91" s="5"/>
      <c r="R91" s="5"/>
    </row>
    <row r="92" ht="15.75" customHeight="1">
      <c r="A92" s="46"/>
      <c r="B92" s="47"/>
      <c r="C92" s="47"/>
      <c r="D92" s="47"/>
      <c r="E92" s="47"/>
      <c r="F92" s="48"/>
      <c r="G92" s="36" t="str">
        <f t="shared" si="1"/>
        <v/>
      </c>
      <c r="H92" s="37" t="str">
        <f t="shared" si="2"/>
        <v/>
      </c>
      <c r="I92" s="37" t="str">
        <f t="shared" si="3"/>
        <v/>
      </c>
      <c r="J92" s="37" t="str">
        <f t="shared" si="4"/>
        <v/>
      </c>
      <c r="K92" s="32" t="str">
        <f t="shared" si="5"/>
        <v/>
      </c>
      <c r="L92" s="32" t="str">
        <f t="shared" si="6"/>
        <v/>
      </c>
      <c r="M92" s="32" t="str">
        <f t="shared" si="7"/>
        <v/>
      </c>
      <c r="N92" s="44" t="str">
        <f t="shared" si="8"/>
        <v/>
      </c>
      <c r="O92" s="45" t="str">
        <f t="shared" si="9"/>
        <v/>
      </c>
      <c r="P92" s="5"/>
      <c r="Q92" s="5"/>
      <c r="R92" s="5"/>
    </row>
    <row r="93" ht="15.75" customHeight="1">
      <c r="A93" s="46"/>
      <c r="B93" s="47"/>
      <c r="C93" s="47"/>
      <c r="D93" s="47"/>
      <c r="E93" s="47"/>
      <c r="F93" s="48"/>
      <c r="G93" s="36" t="str">
        <f t="shared" si="1"/>
        <v/>
      </c>
      <c r="H93" s="37" t="str">
        <f t="shared" si="2"/>
        <v/>
      </c>
      <c r="I93" s="37" t="str">
        <f t="shared" si="3"/>
        <v/>
      </c>
      <c r="J93" s="37" t="str">
        <f t="shared" si="4"/>
        <v/>
      </c>
      <c r="K93" s="32" t="str">
        <f t="shared" si="5"/>
        <v/>
      </c>
      <c r="L93" s="32" t="str">
        <f t="shared" si="6"/>
        <v/>
      </c>
      <c r="M93" s="32" t="str">
        <f t="shared" si="7"/>
        <v/>
      </c>
      <c r="N93" s="44" t="str">
        <f t="shared" si="8"/>
        <v/>
      </c>
      <c r="O93" s="45" t="str">
        <f t="shared" si="9"/>
        <v/>
      </c>
      <c r="P93" s="5"/>
      <c r="Q93" s="5"/>
      <c r="R93" s="5"/>
    </row>
    <row r="94" ht="15.75" customHeight="1">
      <c r="A94" s="46"/>
      <c r="B94" s="47"/>
      <c r="C94" s="47"/>
      <c r="D94" s="47"/>
      <c r="E94" s="47"/>
      <c r="F94" s="48"/>
      <c r="G94" s="36" t="str">
        <f t="shared" si="1"/>
        <v/>
      </c>
      <c r="H94" s="37" t="str">
        <f t="shared" si="2"/>
        <v/>
      </c>
      <c r="I94" s="37" t="str">
        <f t="shared" si="3"/>
        <v/>
      </c>
      <c r="J94" s="37" t="str">
        <f t="shared" si="4"/>
        <v/>
      </c>
      <c r="K94" s="32" t="str">
        <f t="shared" si="5"/>
        <v/>
      </c>
      <c r="L94" s="32" t="str">
        <f t="shared" si="6"/>
        <v/>
      </c>
      <c r="M94" s="32" t="str">
        <f t="shared" si="7"/>
        <v/>
      </c>
      <c r="N94" s="44" t="str">
        <f t="shared" si="8"/>
        <v/>
      </c>
      <c r="O94" s="45" t="str">
        <f t="shared" si="9"/>
        <v/>
      </c>
      <c r="P94" s="5"/>
      <c r="Q94" s="5"/>
      <c r="R94" s="5"/>
    </row>
    <row r="95" ht="15.75" customHeight="1">
      <c r="A95" s="46"/>
      <c r="B95" s="47"/>
      <c r="C95" s="47"/>
      <c r="D95" s="47"/>
      <c r="E95" s="47"/>
      <c r="F95" s="48"/>
      <c r="G95" s="36" t="str">
        <f t="shared" si="1"/>
        <v/>
      </c>
      <c r="H95" s="37" t="str">
        <f t="shared" si="2"/>
        <v/>
      </c>
      <c r="I95" s="37" t="str">
        <f t="shared" si="3"/>
        <v/>
      </c>
      <c r="J95" s="37" t="str">
        <f t="shared" si="4"/>
        <v/>
      </c>
      <c r="K95" s="32" t="str">
        <f t="shared" si="5"/>
        <v/>
      </c>
      <c r="L95" s="32" t="str">
        <f t="shared" si="6"/>
        <v/>
      </c>
      <c r="M95" s="32" t="str">
        <f t="shared" si="7"/>
        <v/>
      </c>
      <c r="N95" s="44" t="str">
        <f t="shared" si="8"/>
        <v/>
      </c>
      <c r="O95" s="45" t="str">
        <f t="shared" si="9"/>
        <v/>
      </c>
      <c r="P95" s="5"/>
      <c r="Q95" s="5"/>
      <c r="R95" s="5"/>
    </row>
    <row r="96" ht="15.75" customHeight="1">
      <c r="A96" s="46"/>
      <c r="B96" s="47"/>
      <c r="C96" s="47"/>
      <c r="D96" s="47"/>
      <c r="E96" s="47"/>
      <c r="F96" s="48"/>
      <c r="G96" s="36" t="str">
        <f t="shared" si="1"/>
        <v/>
      </c>
      <c r="H96" s="37" t="str">
        <f t="shared" si="2"/>
        <v/>
      </c>
      <c r="I96" s="37" t="str">
        <f t="shared" si="3"/>
        <v/>
      </c>
      <c r="J96" s="37" t="str">
        <f t="shared" si="4"/>
        <v/>
      </c>
      <c r="K96" s="32" t="str">
        <f t="shared" si="5"/>
        <v/>
      </c>
      <c r="L96" s="32" t="str">
        <f t="shared" si="6"/>
        <v/>
      </c>
      <c r="M96" s="32" t="str">
        <f t="shared" si="7"/>
        <v/>
      </c>
      <c r="N96" s="44" t="str">
        <f t="shared" si="8"/>
        <v/>
      </c>
      <c r="O96" s="45" t="str">
        <f t="shared" si="9"/>
        <v/>
      </c>
      <c r="P96" s="5"/>
      <c r="Q96" s="5"/>
      <c r="R96" s="5"/>
    </row>
    <row r="97" ht="15.75" customHeight="1">
      <c r="A97" s="46"/>
      <c r="B97" s="47"/>
      <c r="C97" s="47"/>
      <c r="D97" s="47"/>
      <c r="E97" s="47"/>
      <c r="F97" s="48"/>
      <c r="G97" s="36" t="str">
        <f t="shared" si="1"/>
        <v/>
      </c>
      <c r="H97" s="37" t="str">
        <f t="shared" si="2"/>
        <v/>
      </c>
      <c r="I97" s="37" t="str">
        <f t="shared" si="3"/>
        <v/>
      </c>
      <c r="J97" s="37" t="str">
        <f t="shared" si="4"/>
        <v/>
      </c>
      <c r="K97" s="32" t="str">
        <f t="shared" si="5"/>
        <v/>
      </c>
      <c r="L97" s="32" t="str">
        <f t="shared" si="6"/>
        <v/>
      </c>
      <c r="M97" s="32" t="str">
        <f t="shared" si="7"/>
        <v/>
      </c>
      <c r="N97" s="44" t="str">
        <f t="shared" si="8"/>
        <v/>
      </c>
      <c r="O97" s="45" t="str">
        <f t="shared" si="9"/>
        <v/>
      </c>
      <c r="P97" s="5"/>
      <c r="Q97" s="5"/>
      <c r="R97" s="5"/>
    </row>
    <row r="98" ht="15.75" customHeight="1">
      <c r="A98" s="46"/>
      <c r="B98" s="47"/>
      <c r="C98" s="47"/>
      <c r="D98" s="47"/>
      <c r="E98" s="47"/>
      <c r="F98" s="48"/>
      <c r="G98" s="36" t="str">
        <f t="shared" si="1"/>
        <v/>
      </c>
      <c r="H98" s="37" t="str">
        <f t="shared" si="2"/>
        <v/>
      </c>
      <c r="I98" s="37" t="str">
        <f t="shared" si="3"/>
        <v/>
      </c>
      <c r="J98" s="37" t="str">
        <f t="shared" si="4"/>
        <v/>
      </c>
      <c r="K98" s="32" t="str">
        <f t="shared" si="5"/>
        <v/>
      </c>
      <c r="L98" s="32" t="str">
        <f t="shared" si="6"/>
        <v/>
      </c>
      <c r="M98" s="32" t="str">
        <f t="shared" si="7"/>
        <v/>
      </c>
      <c r="N98" s="44" t="str">
        <f t="shared" si="8"/>
        <v/>
      </c>
      <c r="O98" s="45" t="str">
        <f t="shared" si="9"/>
        <v/>
      </c>
      <c r="P98" s="5"/>
      <c r="Q98" s="5"/>
      <c r="R98" s="5"/>
    </row>
    <row r="99" ht="15.75" customHeight="1">
      <c r="A99" s="46"/>
      <c r="B99" s="47"/>
      <c r="C99" s="47"/>
      <c r="D99" s="47"/>
      <c r="E99" s="47"/>
      <c r="F99" s="48"/>
      <c r="G99" s="36" t="str">
        <f t="shared" si="1"/>
        <v/>
      </c>
      <c r="H99" s="37" t="str">
        <f t="shared" si="2"/>
        <v/>
      </c>
      <c r="I99" s="37" t="str">
        <f t="shared" si="3"/>
        <v/>
      </c>
      <c r="J99" s="37" t="str">
        <f t="shared" si="4"/>
        <v/>
      </c>
      <c r="K99" s="32" t="str">
        <f t="shared" si="5"/>
        <v/>
      </c>
      <c r="L99" s="32" t="str">
        <f t="shared" si="6"/>
        <v/>
      </c>
      <c r="M99" s="32" t="str">
        <f t="shared" si="7"/>
        <v/>
      </c>
      <c r="N99" s="44" t="str">
        <f t="shared" si="8"/>
        <v/>
      </c>
      <c r="O99" s="45" t="str">
        <f t="shared" si="9"/>
        <v/>
      </c>
      <c r="P99" s="5"/>
      <c r="Q99" s="5"/>
      <c r="R99" s="5"/>
    </row>
    <row r="100" ht="15.75" customHeight="1">
      <c r="A100" s="46"/>
      <c r="B100" s="47"/>
      <c r="C100" s="47"/>
      <c r="D100" s="47"/>
      <c r="E100" s="47"/>
      <c r="F100" s="48"/>
      <c r="G100" s="36" t="str">
        <f t="shared" si="1"/>
        <v/>
      </c>
      <c r="H100" s="37" t="str">
        <f t="shared" si="2"/>
        <v/>
      </c>
      <c r="I100" s="37" t="str">
        <f t="shared" si="3"/>
        <v/>
      </c>
      <c r="J100" s="37" t="str">
        <f t="shared" si="4"/>
        <v/>
      </c>
      <c r="K100" s="32" t="str">
        <f t="shared" si="5"/>
        <v/>
      </c>
      <c r="L100" s="32" t="str">
        <f t="shared" si="6"/>
        <v/>
      </c>
      <c r="M100" s="32" t="str">
        <f t="shared" si="7"/>
        <v/>
      </c>
      <c r="N100" s="44" t="str">
        <f t="shared" si="8"/>
        <v/>
      </c>
      <c r="O100" s="45" t="str">
        <f t="shared" si="9"/>
        <v/>
      </c>
      <c r="P100" s="5"/>
      <c r="Q100" s="5"/>
      <c r="R100" s="5"/>
    </row>
    <row r="101" ht="15.75" customHeight="1">
      <c r="A101" s="46"/>
      <c r="B101" s="47"/>
      <c r="C101" s="47"/>
      <c r="D101" s="47"/>
      <c r="E101" s="47"/>
      <c r="F101" s="48"/>
      <c r="G101" s="36" t="str">
        <f t="shared" si="1"/>
        <v/>
      </c>
      <c r="H101" s="37" t="str">
        <f t="shared" si="2"/>
        <v/>
      </c>
      <c r="I101" s="37" t="str">
        <f t="shared" si="3"/>
        <v/>
      </c>
      <c r="J101" s="37" t="str">
        <f t="shared" si="4"/>
        <v/>
      </c>
      <c r="K101" s="32" t="str">
        <f t="shared" si="5"/>
        <v/>
      </c>
      <c r="L101" s="32" t="str">
        <f t="shared" si="6"/>
        <v/>
      </c>
      <c r="M101" s="32" t="str">
        <f t="shared" si="7"/>
        <v/>
      </c>
      <c r="N101" s="44" t="str">
        <f t="shared" si="8"/>
        <v/>
      </c>
      <c r="O101" s="45" t="str">
        <f t="shared" si="9"/>
        <v/>
      </c>
      <c r="P101" s="5"/>
      <c r="Q101" s="5"/>
      <c r="R101" s="5"/>
    </row>
    <row r="102" ht="15.75" customHeight="1">
      <c r="A102" s="46"/>
      <c r="B102" s="47"/>
      <c r="C102" s="47"/>
      <c r="D102" s="47"/>
      <c r="E102" s="47"/>
      <c r="F102" s="48"/>
      <c r="G102" s="36" t="str">
        <f t="shared" si="1"/>
        <v/>
      </c>
      <c r="H102" s="37" t="str">
        <f t="shared" si="2"/>
        <v/>
      </c>
      <c r="I102" s="37" t="str">
        <f t="shared" si="3"/>
        <v/>
      </c>
      <c r="J102" s="37" t="str">
        <f t="shared" si="4"/>
        <v/>
      </c>
      <c r="K102" s="32" t="str">
        <f t="shared" si="5"/>
        <v/>
      </c>
      <c r="L102" s="32" t="str">
        <f t="shared" si="6"/>
        <v/>
      </c>
      <c r="M102" s="32" t="str">
        <f t="shared" si="7"/>
        <v/>
      </c>
      <c r="N102" s="44" t="str">
        <f t="shared" si="8"/>
        <v/>
      </c>
      <c r="O102" s="45" t="str">
        <f t="shared" si="9"/>
        <v/>
      </c>
      <c r="P102" s="5"/>
      <c r="Q102" s="5"/>
      <c r="R102" s="5"/>
    </row>
    <row r="103" ht="15.75" customHeight="1">
      <c r="A103" s="46"/>
      <c r="B103" s="47"/>
      <c r="C103" s="47"/>
      <c r="D103" s="47"/>
      <c r="E103" s="47"/>
      <c r="F103" s="48"/>
      <c r="G103" s="36" t="str">
        <f t="shared" si="1"/>
        <v/>
      </c>
      <c r="H103" s="37" t="str">
        <f t="shared" si="2"/>
        <v/>
      </c>
      <c r="I103" s="37" t="str">
        <f t="shared" si="3"/>
        <v/>
      </c>
      <c r="J103" s="37" t="str">
        <f t="shared" si="4"/>
        <v/>
      </c>
      <c r="K103" s="32" t="str">
        <f t="shared" si="5"/>
        <v/>
      </c>
      <c r="L103" s="32" t="str">
        <f t="shared" si="6"/>
        <v/>
      </c>
      <c r="M103" s="32" t="str">
        <f t="shared" si="7"/>
        <v/>
      </c>
      <c r="N103" s="44" t="str">
        <f t="shared" si="8"/>
        <v/>
      </c>
      <c r="O103" s="45" t="str">
        <f t="shared" si="9"/>
        <v/>
      </c>
      <c r="P103" s="5"/>
      <c r="Q103" s="5"/>
      <c r="R103" s="5"/>
    </row>
    <row r="104" ht="15.75" customHeight="1">
      <c r="A104" s="46"/>
      <c r="B104" s="47"/>
      <c r="C104" s="47"/>
      <c r="D104" s="47"/>
      <c r="E104" s="47"/>
      <c r="F104" s="48"/>
      <c r="G104" s="36" t="str">
        <f t="shared" si="1"/>
        <v/>
      </c>
      <c r="H104" s="37" t="str">
        <f t="shared" si="2"/>
        <v/>
      </c>
      <c r="I104" s="37" t="str">
        <f t="shared" si="3"/>
        <v/>
      </c>
      <c r="J104" s="37" t="str">
        <f t="shared" si="4"/>
        <v/>
      </c>
      <c r="K104" s="32" t="str">
        <f t="shared" si="5"/>
        <v/>
      </c>
      <c r="L104" s="32" t="str">
        <f t="shared" si="6"/>
        <v/>
      </c>
      <c r="M104" s="32" t="str">
        <f t="shared" si="7"/>
        <v/>
      </c>
      <c r="N104" s="44" t="str">
        <f t="shared" si="8"/>
        <v/>
      </c>
      <c r="O104" s="45" t="str">
        <f t="shared" si="9"/>
        <v/>
      </c>
      <c r="P104" s="5"/>
      <c r="Q104" s="5"/>
      <c r="R104" s="5"/>
    </row>
    <row r="105" ht="15.75" customHeight="1">
      <c r="A105" s="46"/>
      <c r="B105" s="47"/>
      <c r="C105" s="47"/>
      <c r="D105" s="47"/>
      <c r="E105" s="47"/>
      <c r="F105" s="48"/>
      <c r="G105" s="36" t="str">
        <f t="shared" si="1"/>
        <v/>
      </c>
      <c r="H105" s="37" t="str">
        <f t="shared" si="2"/>
        <v/>
      </c>
      <c r="I105" s="37" t="str">
        <f t="shared" si="3"/>
        <v/>
      </c>
      <c r="J105" s="37" t="str">
        <f t="shared" si="4"/>
        <v/>
      </c>
      <c r="K105" s="32" t="str">
        <f t="shared" si="5"/>
        <v/>
      </c>
      <c r="L105" s="32" t="str">
        <f t="shared" si="6"/>
        <v/>
      </c>
      <c r="M105" s="32" t="str">
        <f t="shared" si="7"/>
        <v/>
      </c>
      <c r="N105" s="44" t="str">
        <f t="shared" si="8"/>
        <v/>
      </c>
      <c r="O105" s="45" t="str">
        <f t="shared" si="9"/>
        <v/>
      </c>
      <c r="P105" s="5"/>
      <c r="Q105" s="5"/>
      <c r="R105" s="5"/>
    </row>
    <row r="106" ht="15.75" customHeight="1">
      <c r="A106" s="46"/>
      <c r="B106" s="47"/>
      <c r="C106" s="47"/>
      <c r="D106" s="47"/>
      <c r="E106" s="47"/>
      <c r="F106" s="48"/>
      <c r="G106" s="36" t="str">
        <f t="shared" si="1"/>
        <v/>
      </c>
      <c r="H106" s="37" t="str">
        <f t="shared" si="2"/>
        <v/>
      </c>
      <c r="I106" s="37" t="str">
        <f t="shared" si="3"/>
        <v/>
      </c>
      <c r="J106" s="37" t="str">
        <f t="shared" si="4"/>
        <v/>
      </c>
      <c r="K106" s="32" t="str">
        <f t="shared" si="5"/>
        <v/>
      </c>
      <c r="L106" s="32" t="str">
        <f t="shared" si="6"/>
        <v/>
      </c>
      <c r="M106" s="32" t="str">
        <f t="shared" si="7"/>
        <v/>
      </c>
      <c r="N106" s="44" t="str">
        <f t="shared" si="8"/>
        <v/>
      </c>
      <c r="O106" s="45" t="str">
        <f t="shared" si="9"/>
        <v/>
      </c>
      <c r="P106" s="5"/>
      <c r="Q106" s="5"/>
      <c r="R106" s="5"/>
    </row>
    <row r="107" ht="15.75" customHeight="1">
      <c r="A107" s="46"/>
      <c r="B107" s="47"/>
      <c r="C107" s="47"/>
      <c r="D107" s="47"/>
      <c r="E107" s="47"/>
      <c r="F107" s="48"/>
      <c r="G107" s="36" t="str">
        <f t="shared" si="1"/>
        <v/>
      </c>
      <c r="H107" s="37" t="str">
        <f t="shared" si="2"/>
        <v/>
      </c>
      <c r="I107" s="37" t="str">
        <f t="shared" si="3"/>
        <v/>
      </c>
      <c r="J107" s="37" t="str">
        <f t="shared" si="4"/>
        <v/>
      </c>
      <c r="K107" s="32" t="str">
        <f t="shared" si="5"/>
        <v/>
      </c>
      <c r="L107" s="32" t="str">
        <f t="shared" si="6"/>
        <v/>
      </c>
      <c r="M107" s="32" t="str">
        <f t="shared" si="7"/>
        <v/>
      </c>
      <c r="N107" s="44" t="str">
        <f t="shared" si="8"/>
        <v/>
      </c>
      <c r="O107" s="45" t="str">
        <f t="shared" si="9"/>
        <v/>
      </c>
      <c r="P107" s="5"/>
      <c r="Q107" s="5"/>
      <c r="R107" s="5"/>
    </row>
    <row r="108" ht="15.75" customHeight="1">
      <c r="A108" s="46"/>
      <c r="B108" s="47"/>
      <c r="C108" s="47"/>
      <c r="D108" s="47"/>
      <c r="E108" s="47"/>
      <c r="F108" s="48"/>
      <c r="G108" s="36" t="str">
        <f t="shared" si="1"/>
        <v/>
      </c>
      <c r="H108" s="37" t="str">
        <f t="shared" si="2"/>
        <v/>
      </c>
      <c r="I108" s="37" t="str">
        <f t="shared" si="3"/>
        <v/>
      </c>
      <c r="J108" s="37" t="str">
        <f t="shared" si="4"/>
        <v/>
      </c>
      <c r="K108" s="32" t="str">
        <f t="shared" si="5"/>
        <v/>
      </c>
      <c r="L108" s="32" t="str">
        <f t="shared" si="6"/>
        <v/>
      </c>
      <c r="M108" s="32" t="str">
        <f t="shared" si="7"/>
        <v/>
      </c>
      <c r="N108" s="44" t="str">
        <f t="shared" si="8"/>
        <v/>
      </c>
      <c r="O108" s="45" t="str">
        <f t="shared" si="9"/>
        <v/>
      </c>
      <c r="P108" s="5"/>
      <c r="Q108" s="5"/>
      <c r="R108" s="5"/>
    </row>
    <row r="109" ht="15.75" customHeight="1">
      <c r="A109" s="46"/>
      <c r="B109" s="47"/>
      <c r="C109" s="47"/>
      <c r="D109" s="47"/>
      <c r="E109" s="47"/>
      <c r="F109" s="48"/>
      <c r="G109" s="36" t="str">
        <f t="shared" si="1"/>
        <v/>
      </c>
      <c r="H109" s="37" t="str">
        <f t="shared" si="2"/>
        <v/>
      </c>
      <c r="I109" s="37" t="str">
        <f t="shared" si="3"/>
        <v/>
      </c>
      <c r="J109" s="37" t="str">
        <f t="shared" si="4"/>
        <v/>
      </c>
      <c r="K109" s="32" t="str">
        <f t="shared" si="5"/>
        <v/>
      </c>
      <c r="L109" s="32" t="str">
        <f t="shared" si="6"/>
        <v/>
      </c>
      <c r="M109" s="32" t="str">
        <f t="shared" si="7"/>
        <v/>
      </c>
      <c r="N109" s="44" t="str">
        <f t="shared" si="8"/>
        <v/>
      </c>
      <c r="O109" s="45" t="str">
        <f t="shared" si="9"/>
        <v/>
      </c>
      <c r="P109" s="5"/>
      <c r="Q109" s="5"/>
      <c r="R109" s="5"/>
    </row>
    <row r="110" ht="15.75" customHeight="1">
      <c r="A110" s="46"/>
      <c r="B110" s="47"/>
      <c r="C110" s="47"/>
      <c r="D110" s="47"/>
      <c r="E110" s="47"/>
      <c r="F110" s="48"/>
      <c r="G110" s="36" t="str">
        <f t="shared" si="1"/>
        <v/>
      </c>
      <c r="H110" s="37" t="str">
        <f t="shared" si="2"/>
        <v/>
      </c>
      <c r="I110" s="37" t="str">
        <f t="shared" si="3"/>
        <v/>
      </c>
      <c r="J110" s="37" t="str">
        <f t="shared" si="4"/>
        <v/>
      </c>
      <c r="K110" s="32" t="str">
        <f t="shared" si="5"/>
        <v/>
      </c>
      <c r="L110" s="32" t="str">
        <f t="shared" si="6"/>
        <v/>
      </c>
      <c r="M110" s="32" t="str">
        <f t="shared" si="7"/>
        <v/>
      </c>
      <c r="N110" s="44" t="str">
        <f t="shared" si="8"/>
        <v/>
      </c>
      <c r="O110" s="45" t="str">
        <f t="shared" si="9"/>
        <v/>
      </c>
      <c r="P110" s="5"/>
      <c r="Q110" s="5"/>
      <c r="R110" s="5"/>
    </row>
    <row r="111" ht="15.75" customHeight="1">
      <c r="A111" s="46"/>
      <c r="B111" s="47"/>
      <c r="C111" s="47"/>
      <c r="D111" s="47"/>
      <c r="E111" s="47"/>
      <c r="F111" s="48"/>
      <c r="G111" s="36" t="str">
        <f t="shared" si="1"/>
        <v/>
      </c>
      <c r="H111" s="37" t="str">
        <f t="shared" si="2"/>
        <v/>
      </c>
      <c r="I111" s="37" t="str">
        <f t="shared" si="3"/>
        <v/>
      </c>
      <c r="J111" s="37" t="str">
        <f t="shared" si="4"/>
        <v/>
      </c>
      <c r="K111" s="32" t="str">
        <f t="shared" si="5"/>
        <v/>
      </c>
      <c r="L111" s="32" t="str">
        <f t="shared" si="6"/>
        <v/>
      </c>
      <c r="M111" s="32" t="str">
        <f t="shared" si="7"/>
        <v/>
      </c>
      <c r="N111" s="44" t="str">
        <f t="shared" si="8"/>
        <v/>
      </c>
      <c r="O111" s="45" t="str">
        <f t="shared" si="9"/>
        <v/>
      </c>
      <c r="P111" s="5"/>
      <c r="Q111" s="5"/>
      <c r="R111" s="5"/>
    </row>
    <row r="112" ht="15.75" customHeight="1">
      <c r="A112" s="46"/>
      <c r="B112" s="47"/>
      <c r="C112" s="47"/>
      <c r="D112" s="47"/>
      <c r="E112" s="47"/>
      <c r="F112" s="48"/>
      <c r="G112" s="36" t="str">
        <f t="shared" si="1"/>
        <v/>
      </c>
      <c r="H112" s="37" t="str">
        <f t="shared" si="2"/>
        <v/>
      </c>
      <c r="I112" s="37" t="str">
        <f t="shared" si="3"/>
        <v/>
      </c>
      <c r="J112" s="37" t="str">
        <f t="shared" si="4"/>
        <v/>
      </c>
      <c r="K112" s="32" t="str">
        <f t="shared" si="5"/>
        <v/>
      </c>
      <c r="L112" s="32" t="str">
        <f t="shared" si="6"/>
        <v/>
      </c>
      <c r="M112" s="32" t="str">
        <f t="shared" si="7"/>
        <v/>
      </c>
      <c r="N112" s="44" t="str">
        <f t="shared" si="8"/>
        <v/>
      </c>
      <c r="O112" s="45" t="str">
        <f t="shared" si="9"/>
        <v/>
      </c>
      <c r="P112" s="5"/>
      <c r="Q112" s="5"/>
      <c r="R112" s="5"/>
    </row>
    <row r="113" ht="15.75" customHeight="1">
      <c r="A113" s="46"/>
      <c r="B113" s="47"/>
      <c r="C113" s="47"/>
      <c r="D113" s="47"/>
      <c r="E113" s="47"/>
      <c r="F113" s="48"/>
      <c r="G113" s="36" t="str">
        <f t="shared" si="1"/>
        <v/>
      </c>
      <c r="H113" s="37" t="str">
        <f t="shared" si="2"/>
        <v/>
      </c>
      <c r="I113" s="37" t="str">
        <f t="shared" si="3"/>
        <v/>
      </c>
      <c r="J113" s="37" t="str">
        <f t="shared" si="4"/>
        <v/>
      </c>
      <c r="K113" s="32" t="str">
        <f t="shared" si="5"/>
        <v/>
      </c>
      <c r="L113" s="32" t="str">
        <f t="shared" si="6"/>
        <v/>
      </c>
      <c r="M113" s="32" t="str">
        <f t="shared" si="7"/>
        <v/>
      </c>
      <c r="N113" s="44" t="str">
        <f t="shared" si="8"/>
        <v/>
      </c>
      <c r="O113" s="45" t="str">
        <f t="shared" si="9"/>
        <v/>
      </c>
      <c r="P113" s="5"/>
      <c r="Q113" s="5"/>
      <c r="R113" s="5"/>
    </row>
    <row r="114" ht="15.75" customHeight="1">
      <c r="A114" s="46"/>
      <c r="B114" s="47"/>
      <c r="C114" s="47"/>
      <c r="D114" s="47"/>
      <c r="E114" s="47"/>
      <c r="F114" s="48"/>
      <c r="G114" s="36" t="str">
        <f t="shared" si="1"/>
        <v/>
      </c>
      <c r="H114" s="37" t="str">
        <f t="shared" si="2"/>
        <v/>
      </c>
      <c r="I114" s="37" t="str">
        <f t="shared" si="3"/>
        <v/>
      </c>
      <c r="J114" s="37" t="str">
        <f t="shared" si="4"/>
        <v/>
      </c>
      <c r="K114" s="32" t="str">
        <f t="shared" si="5"/>
        <v/>
      </c>
      <c r="L114" s="32" t="str">
        <f t="shared" si="6"/>
        <v/>
      </c>
      <c r="M114" s="32" t="str">
        <f t="shared" si="7"/>
        <v/>
      </c>
      <c r="N114" s="44" t="str">
        <f t="shared" si="8"/>
        <v/>
      </c>
      <c r="O114" s="45" t="str">
        <f t="shared" si="9"/>
        <v/>
      </c>
      <c r="P114" s="5"/>
      <c r="Q114" s="5"/>
      <c r="R114" s="5"/>
    </row>
    <row r="115" ht="15.75" customHeight="1">
      <c r="A115" s="46"/>
      <c r="B115" s="47"/>
      <c r="C115" s="47"/>
      <c r="D115" s="47"/>
      <c r="E115" s="47"/>
      <c r="F115" s="48"/>
      <c r="G115" s="36" t="str">
        <f t="shared" si="1"/>
        <v/>
      </c>
      <c r="H115" s="37" t="str">
        <f t="shared" si="2"/>
        <v/>
      </c>
      <c r="I115" s="37" t="str">
        <f t="shared" si="3"/>
        <v/>
      </c>
      <c r="J115" s="37" t="str">
        <f t="shared" si="4"/>
        <v/>
      </c>
      <c r="K115" s="32" t="str">
        <f t="shared" si="5"/>
        <v/>
      </c>
      <c r="L115" s="32" t="str">
        <f t="shared" si="6"/>
        <v/>
      </c>
      <c r="M115" s="32" t="str">
        <f t="shared" si="7"/>
        <v/>
      </c>
      <c r="N115" s="44" t="str">
        <f t="shared" si="8"/>
        <v/>
      </c>
      <c r="O115" s="45" t="str">
        <f t="shared" si="9"/>
        <v/>
      </c>
      <c r="P115" s="5"/>
      <c r="Q115" s="5"/>
      <c r="R115" s="5"/>
    </row>
    <row r="116" ht="15.75" customHeight="1">
      <c r="A116" s="46"/>
      <c r="B116" s="47"/>
      <c r="C116" s="47"/>
      <c r="D116" s="47"/>
      <c r="E116" s="47"/>
      <c r="F116" s="48"/>
      <c r="G116" s="36" t="str">
        <f t="shared" si="1"/>
        <v/>
      </c>
      <c r="H116" s="37" t="str">
        <f t="shared" si="2"/>
        <v/>
      </c>
      <c r="I116" s="37" t="str">
        <f t="shared" si="3"/>
        <v/>
      </c>
      <c r="J116" s="37" t="str">
        <f t="shared" si="4"/>
        <v/>
      </c>
      <c r="K116" s="32" t="str">
        <f t="shared" si="5"/>
        <v/>
      </c>
      <c r="L116" s="32" t="str">
        <f t="shared" si="6"/>
        <v/>
      </c>
      <c r="M116" s="32" t="str">
        <f t="shared" si="7"/>
        <v/>
      </c>
      <c r="N116" s="44" t="str">
        <f t="shared" si="8"/>
        <v/>
      </c>
      <c r="O116" s="45" t="str">
        <f t="shared" si="9"/>
        <v/>
      </c>
      <c r="P116" s="5"/>
      <c r="Q116" s="5"/>
      <c r="R116" s="5"/>
    </row>
    <row r="117" ht="15.75" customHeight="1">
      <c r="A117" s="46"/>
      <c r="B117" s="47"/>
      <c r="C117" s="47"/>
      <c r="D117" s="47"/>
      <c r="E117" s="47"/>
      <c r="F117" s="48"/>
      <c r="G117" s="36" t="str">
        <f t="shared" si="1"/>
        <v/>
      </c>
      <c r="H117" s="37" t="str">
        <f t="shared" si="2"/>
        <v/>
      </c>
      <c r="I117" s="37" t="str">
        <f t="shared" si="3"/>
        <v/>
      </c>
      <c r="J117" s="37" t="str">
        <f t="shared" si="4"/>
        <v/>
      </c>
      <c r="K117" s="32" t="str">
        <f t="shared" si="5"/>
        <v/>
      </c>
      <c r="L117" s="32" t="str">
        <f t="shared" si="6"/>
        <v/>
      </c>
      <c r="M117" s="32" t="str">
        <f t="shared" si="7"/>
        <v/>
      </c>
      <c r="N117" s="44" t="str">
        <f t="shared" si="8"/>
        <v/>
      </c>
      <c r="O117" s="45" t="str">
        <f t="shared" si="9"/>
        <v/>
      </c>
      <c r="P117" s="5"/>
      <c r="Q117" s="5"/>
      <c r="R117" s="5"/>
    </row>
    <row r="118" ht="15.75" customHeight="1">
      <c r="A118" s="46"/>
      <c r="B118" s="47"/>
      <c r="C118" s="47"/>
      <c r="D118" s="47"/>
      <c r="E118" s="47"/>
      <c r="F118" s="48"/>
      <c r="G118" s="36" t="str">
        <f t="shared" si="1"/>
        <v/>
      </c>
      <c r="H118" s="37" t="str">
        <f t="shared" si="2"/>
        <v/>
      </c>
      <c r="I118" s="37" t="str">
        <f t="shared" si="3"/>
        <v/>
      </c>
      <c r="J118" s="37" t="str">
        <f t="shared" si="4"/>
        <v/>
      </c>
      <c r="K118" s="32" t="str">
        <f t="shared" si="5"/>
        <v/>
      </c>
      <c r="L118" s="32" t="str">
        <f t="shared" si="6"/>
        <v/>
      </c>
      <c r="M118" s="32" t="str">
        <f t="shared" si="7"/>
        <v/>
      </c>
      <c r="N118" s="44" t="str">
        <f t="shared" si="8"/>
        <v/>
      </c>
      <c r="O118" s="45" t="str">
        <f t="shared" si="9"/>
        <v/>
      </c>
      <c r="P118" s="5"/>
      <c r="Q118" s="5"/>
      <c r="R118" s="5"/>
    </row>
    <row r="119" ht="15.75" customHeight="1">
      <c r="A119" s="46"/>
      <c r="B119" s="47"/>
      <c r="C119" s="47"/>
      <c r="D119" s="47"/>
      <c r="E119" s="47"/>
      <c r="F119" s="48"/>
      <c r="G119" s="36" t="str">
        <f t="shared" si="1"/>
        <v/>
      </c>
      <c r="H119" s="37" t="str">
        <f t="shared" si="2"/>
        <v/>
      </c>
      <c r="I119" s="37" t="str">
        <f t="shared" si="3"/>
        <v/>
      </c>
      <c r="J119" s="37" t="str">
        <f t="shared" si="4"/>
        <v/>
      </c>
      <c r="K119" s="32" t="str">
        <f t="shared" si="5"/>
        <v/>
      </c>
      <c r="L119" s="32" t="str">
        <f t="shared" si="6"/>
        <v/>
      </c>
      <c r="M119" s="32" t="str">
        <f t="shared" si="7"/>
        <v/>
      </c>
      <c r="N119" s="44" t="str">
        <f t="shared" si="8"/>
        <v/>
      </c>
      <c r="O119" s="45" t="str">
        <f t="shared" si="9"/>
        <v/>
      </c>
      <c r="P119" s="5"/>
      <c r="Q119" s="5"/>
      <c r="R119" s="5"/>
    </row>
    <row r="120" ht="15.75" customHeight="1">
      <c r="A120" s="46"/>
      <c r="B120" s="47"/>
      <c r="C120" s="47"/>
      <c r="D120" s="47"/>
      <c r="E120" s="47"/>
      <c r="F120" s="48"/>
      <c r="G120" s="36" t="str">
        <f t="shared" si="1"/>
        <v/>
      </c>
      <c r="H120" s="37" t="str">
        <f t="shared" si="2"/>
        <v/>
      </c>
      <c r="I120" s="37" t="str">
        <f t="shared" si="3"/>
        <v/>
      </c>
      <c r="J120" s="37" t="str">
        <f t="shared" si="4"/>
        <v/>
      </c>
      <c r="K120" s="32" t="str">
        <f t="shared" si="5"/>
        <v/>
      </c>
      <c r="L120" s="32" t="str">
        <f t="shared" si="6"/>
        <v/>
      </c>
      <c r="M120" s="32" t="str">
        <f t="shared" si="7"/>
        <v/>
      </c>
      <c r="N120" s="44" t="str">
        <f t="shared" si="8"/>
        <v/>
      </c>
      <c r="O120" s="45" t="str">
        <f t="shared" si="9"/>
        <v/>
      </c>
      <c r="P120" s="5"/>
      <c r="Q120" s="5"/>
      <c r="R120" s="5"/>
    </row>
    <row r="121" ht="15.75" customHeight="1">
      <c r="A121" s="46"/>
      <c r="B121" s="47"/>
      <c r="C121" s="47"/>
      <c r="D121" s="47"/>
      <c r="E121" s="47"/>
      <c r="F121" s="48"/>
      <c r="G121" s="36" t="str">
        <f t="shared" si="1"/>
        <v/>
      </c>
      <c r="H121" s="37" t="str">
        <f t="shared" si="2"/>
        <v/>
      </c>
      <c r="I121" s="37" t="str">
        <f t="shared" si="3"/>
        <v/>
      </c>
      <c r="J121" s="37" t="str">
        <f t="shared" si="4"/>
        <v/>
      </c>
      <c r="K121" s="32" t="str">
        <f t="shared" si="5"/>
        <v/>
      </c>
      <c r="L121" s="32" t="str">
        <f t="shared" si="6"/>
        <v/>
      </c>
      <c r="M121" s="32" t="str">
        <f t="shared" si="7"/>
        <v/>
      </c>
      <c r="N121" s="44" t="str">
        <f t="shared" si="8"/>
        <v/>
      </c>
      <c r="O121" s="45" t="str">
        <f t="shared" si="9"/>
        <v/>
      </c>
      <c r="P121" s="5"/>
      <c r="Q121" s="5"/>
      <c r="R121" s="5"/>
    </row>
    <row r="122" ht="15.75" customHeight="1">
      <c r="A122" s="46"/>
      <c r="B122" s="47"/>
      <c r="C122" s="47"/>
      <c r="D122" s="47"/>
      <c r="E122" s="47"/>
      <c r="F122" s="48"/>
      <c r="G122" s="36" t="str">
        <f t="shared" si="1"/>
        <v/>
      </c>
      <c r="H122" s="37" t="str">
        <f t="shared" si="2"/>
        <v/>
      </c>
      <c r="I122" s="37" t="str">
        <f t="shared" si="3"/>
        <v/>
      </c>
      <c r="J122" s="37" t="str">
        <f t="shared" si="4"/>
        <v/>
      </c>
      <c r="K122" s="32" t="str">
        <f t="shared" si="5"/>
        <v/>
      </c>
      <c r="L122" s="32" t="str">
        <f t="shared" si="6"/>
        <v/>
      </c>
      <c r="M122" s="32" t="str">
        <f t="shared" si="7"/>
        <v/>
      </c>
      <c r="N122" s="44" t="str">
        <f t="shared" si="8"/>
        <v/>
      </c>
      <c r="O122" s="45" t="str">
        <f t="shared" si="9"/>
        <v/>
      </c>
      <c r="P122" s="5"/>
      <c r="Q122" s="5"/>
      <c r="R122" s="5"/>
    </row>
    <row r="123" ht="15.75" customHeight="1">
      <c r="A123" s="46"/>
      <c r="B123" s="47"/>
      <c r="C123" s="47"/>
      <c r="D123" s="47"/>
      <c r="E123" s="47"/>
      <c r="F123" s="48"/>
      <c r="G123" s="36" t="str">
        <f t="shared" si="1"/>
        <v/>
      </c>
      <c r="H123" s="37" t="str">
        <f t="shared" si="2"/>
        <v/>
      </c>
      <c r="I123" s="37" t="str">
        <f t="shared" si="3"/>
        <v/>
      </c>
      <c r="J123" s="37" t="str">
        <f t="shared" si="4"/>
        <v/>
      </c>
      <c r="K123" s="32" t="str">
        <f t="shared" si="5"/>
        <v/>
      </c>
      <c r="L123" s="32" t="str">
        <f t="shared" si="6"/>
        <v/>
      </c>
      <c r="M123" s="32" t="str">
        <f t="shared" si="7"/>
        <v/>
      </c>
      <c r="N123" s="44" t="str">
        <f t="shared" si="8"/>
        <v/>
      </c>
      <c r="O123" s="45" t="str">
        <f t="shared" si="9"/>
        <v/>
      </c>
      <c r="P123" s="5"/>
      <c r="Q123" s="5"/>
      <c r="R123" s="5"/>
    </row>
    <row r="124" ht="15.75" customHeight="1">
      <c r="A124" s="46"/>
      <c r="B124" s="47"/>
      <c r="C124" s="47"/>
      <c r="D124" s="47"/>
      <c r="E124" s="47"/>
      <c r="F124" s="48"/>
      <c r="G124" s="36" t="str">
        <f t="shared" si="1"/>
        <v/>
      </c>
      <c r="H124" s="37" t="str">
        <f t="shared" si="2"/>
        <v/>
      </c>
      <c r="I124" s="37" t="str">
        <f t="shared" si="3"/>
        <v/>
      </c>
      <c r="J124" s="37" t="str">
        <f t="shared" si="4"/>
        <v/>
      </c>
      <c r="K124" s="32" t="str">
        <f t="shared" si="5"/>
        <v/>
      </c>
      <c r="L124" s="32" t="str">
        <f t="shared" si="6"/>
        <v/>
      </c>
      <c r="M124" s="32" t="str">
        <f t="shared" si="7"/>
        <v/>
      </c>
      <c r="N124" s="44" t="str">
        <f t="shared" si="8"/>
        <v/>
      </c>
      <c r="O124" s="45" t="str">
        <f t="shared" si="9"/>
        <v/>
      </c>
      <c r="P124" s="5"/>
      <c r="Q124" s="5"/>
      <c r="R124" s="5"/>
    </row>
    <row r="125" ht="15.75" customHeight="1">
      <c r="A125" s="46"/>
      <c r="B125" s="47"/>
      <c r="C125" s="47"/>
      <c r="D125" s="47"/>
      <c r="E125" s="47"/>
      <c r="F125" s="48"/>
      <c r="G125" s="36" t="str">
        <f t="shared" si="1"/>
        <v/>
      </c>
      <c r="H125" s="37" t="str">
        <f t="shared" si="2"/>
        <v/>
      </c>
      <c r="I125" s="37" t="str">
        <f t="shared" si="3"/>
        <v/>
      </c>
      <c r="J125" s="37" t="str">
        <f t="shared" si="4"/>
        <v/>
      </c>
      <c r="K125" s="32" t="str">
        <f t="shared" si="5"/>
        <v/>
      </c>
      <c r="L125" s="32" t="str">
        <f t="shared" si="6"/>
        <v/>
      </c>
      <c r="M125" s="32" t="str">
        <f t="shared" si="7"/>
        <v/>
      </c>
      <c r="N125" s="44" t="str">
        <f t="shared" si="8"/>
        <v/>
      </c>
      <c r="O125" s="45" t="str">
        <f t="shared" si="9"/>
        <v/>
      </c>
      <c r="P125" s="5"/>
      <c r="Q125" s="5"/>
      <c r="R125" s="5"/>
    </row>
    <row r="126" ht="15.75" customHeight="1">
      <c r="A126" s="46"/>
      <c r="B126" s="47"/>
      <c r="C126" s="47"/>
      <c r="D126" s="47"/>
      <c r="E126" s="47"/>
      <c r="F126" s="48"/>
      <c r="G126" s="36" t="str">
        <f t="shared" si="1"/>
        <v/>
      </c>
      <c r="H126" s="37" t="str">
        <f t="shared" si="2"/>
        <v/>
      </c>
      <c r="I126" s="37" t="str">
        <f t="shared" si="3"/>
        <v/>
      </c>
      <c r="J126" s="37" t="str">
        <f t="shared" si="4"/>
        <v/>
      </c>
      <c r="K126" s="32" t="str">
        <f t="shared" si="5"/>
        <v/>
      </c>
      <c r="L126" s="32" t="str">
        <f t="shared" si="6"/>
        <v/>
      </c>
      <c r="M126" s="32" t="str">
        <f t="shared" si="7"/>
        <v/>
      </c>
      <c r="N126" s="44" t="str">
        <f t="shared" si="8"/>
        <v/>
      </c>
      <c r="O126" s="45" t="str">
        <f t="shared" si="9"/>
        <v/>
      </c>
      <c r="P126" s="5"/>
      <c r="Q126" s="5"/>
      <c r="R126" s="5"/>
    </row>
    <row r="127" ht="15.75" customHeight="1">
      <c r="A127" s="46"/>
      <c r="B127" s="47"/>
      <c r="C127" s="47"/>
      <c r="D127" s="47"/>
      <c r="E127" s="47"/>
      <c r="F127" s="48"/>
      <c r="G127" s="36" t="str">
        <f t="shared" si="1"/>
        <v/>
      </c>
      <c r="H127" s="37" t="str">
        <f t="shared" si="2"/>
        <v/>
      </c>
      <c r="I127" s="37" t="str">
        <f t="shared" si="3"/>
        <v/>
      </c>
      <c r="J127" s="37" t="str">
        <f t="shared" si="4"/>
        <v/>
      </c>
      <c r="K127" s="32" t="str">
        <f t="shared" si="5"/>
        <v/>
      </c>
      <c r="L127" s="32" t="str">
        <f t="shared" si="6"/>
        <v/>
      </c>
      <c r="M127" s="32" t="str">
        <f t="shared" si="7"/>
        <v/>
      </c>
      <c r="N127" s="44" t="str">
        <f t="shared" si="8"/>
        <v/>
      </c>
      <c r="O127" s="45" t="str">
        <f t="shared" si="9"/>
        <v/>
      </c>
      <c r="P127" s="5"/>
      <c r="Q127" s="5"/>
      <c r="R127" s="5"/>
    </row>
    <row r="128" ht="15.75" customHeight="1">
      <c r="A128" s="46"/>
      <c r="B128" s="47"/>
      <c r="C128" s="47"/>
      <c r="D128" s="47"/>
      <c r="E128" s="47"/>
      <c r="F128" s="48"/>
      <c r="G128" s="36" t="str">
        <f t="shared" si="1"/>
        <v/>
      </c>
      <c r="H128" s="37" t="str">
        <f t="shared" si="2"/>
        <v/>
      </c>
      <c r="I128" s="37" t="str">
        <f t="shared" si="3"/>
        <v/>
      </c>
      <c r="J128" s="37" t="str">
        <f t="shared" si="4"/>
        <v/>
      </c>
      <c r="K128" s="32" t="str">
        <f t="shared" si="5"/>
        <v/>
      </c>
      <c r="L128" s="32" t="str">
        <f t="shared" si="6"/>
        <v/>
      </c>
      <c r="M128" s="32" t="str">
        <f t="shared" si="7"/>
        <v/>
      </c>
      <c r="N128" s="44" t="str">
        <f t="shared" si="8"/>
        <v/>
      </c>
      <c r="O128" s="45" t="str">
        <f t="shared" si="9"/>
        <v/>
      </c>
      <c r="P128" s="5"/>
      <c r="Q128" s="5"/>
      <c r="R128" s="5"/>
    </row>
    <row r="129" ht="15.75" customHeight="1">
      <c r="A129" s="46"/>
      <c r="B129" s="47"/>
      <c r="C129" s="47"/>
      <c r="D129" s="47"/>
      <c r="E129" s="47"/>
      <c r="F129" s="48"/>
      <c r="G129" s="36" t="str">
        <f t="shared" si="1"/>
        <v/>
      </c>
      <c r="H129" s="37" t="str">
        <f t="shared" si="2"/>
        <v/>
      </c>
      <c r="I129" s="37" t="str">
        <f t="shared" si="3"/>
        <v/>
      </c>
      <c r="J129" s="37" t="str">
        <f t="shared" si="4"/>
        <v/>
      </c>
      <c r="K129" s="32" t="str">
        <f t="shared" si="5"/>
        <v/>
      </c>
      <c r="L129" s="32" t="str">
        <f t="shared" si="6"/>
        <v/>
      </c>
      <c r="M129" s="32" t="str">
        <f t="shared" si="7"/>
        <v/>
      </c>
      <c r="N129" s="44" t="str">
        <f t="shared" si="8"/>
        <v/>
      </c>
      <c r="O129" s="45" t="str">
        <f t="shared" si="9"/>
        <v/>
      </c>
      <c r="P129" s="5"/>
      <c r="Q129" s="5"/>
      <c r="R129" s="5"/>
    </row>
    <row r="130" ht="15.75" customHeight="1">
      <c r="A130" s="46"/>
      <c r="B130" s="47"/>
      <c r="C130" s="47"/>
      <c r="D130" s="47"/>
      <c r="E130" s="47"/>
      <c r="F130" s="48"/>
      <c r="G130" s="36" t="str">
        <f t="shared" si="1"/>
        <v/>
      </c>
      <c r="H130" s="37" t="str">
        <f t="shared" si="2"/>
        <v/>
      </c>
      <c r="I130" s="37" t="str">
        <f t="shared" si="3"/>
        <v/>
      </c>
      <c r="J130" s="37" t="str">
        <f t="shared" si="4"/>
        <v/>
      </c>
      <c r="K130" s="32" t="str">
        <f t="shared" si="5"/>
        <v/>
      </c>
      <c r="L130" s="32" t="str">
        <f t="shared" si="6"/>
        <v/>
      </c>
      <c r="M130" s="32" t="str">
        <f t="shared" si="7"/>
        <v/>
      </c>
      <c r="N130" s="44" t="str">
        <f t="shared" si="8"/>
        <v/>
      </c>
      <c r="O130" s="45" t="str">
        <f t="shared" si="9"/>
        <v/>
      </c>
      <c r="P130" s="5"/>
      <c r="Q130" s="5"/>
      <c r="R130" s="5"/>
    </row>
    <row r="131" ht="15.75" customHeight="1">
      <c r="A131" s="46"/>
      <c r="B131" s="47"/>
      <c r="C131" s="47"/>
      <c r="D131" s="47"/>
      <c r="E131" s="47"/>
      <c r="F131" s="48"/>
      <c r="G131" s="36" t="str">
        <f t="shared" si="1"/>
        <v/>
      </c>
      <c r="H131" s="37" t="str">
        <f t="shared" si="2"/>
        <v/>
      </c>
      <c r="I131" s="37" t="str">
        <f t="shared" si="3"/>
        <v/>
      </c>
      <c r="J131" s="37" t="str">
        <f t="shared" si="4"/>
        <v/>
      </c>
      <c r="K131" s="32" t="str">
        <f t="shared" si="5"/>
        <v/>
      </c>
      <c r="L131" s="32" t="str">
        <f t="shared" si="6"/>
        <v/>
      </c>
      <c r="M131" s="32" t="str">
        <f t="shared" si="7"/>
        <v/>
      </c>
      <c r="N131" s="44" t="str">
        <f t="shared" si="8"/>
        <v/>
      </c>
      <c r="O131" s="45" t="str">
        <f t="shared" si="9"/>
        <v/>
      </c>
      <c r="P131" s="5"/>
      <c r="Q131" s="5"/>
      <c r="R131" s="5"/>
    </row>
    <row r="132" ht="15.75" customHeight="1">
      <c r="A132" s="46"/>
      <c r="B132" s="47"/>
      <c r="C132" s="47"/>
      <c r="D132" s="47"/>
      <c r="E132" s="47"/>
      <c r="F132" s="48"/>
      <c r="G132" s="36" t="str">
        <f t="shared" si="1"/>
        <v/>
      </c>
      <c r="H132" s="37" t="str">
        <f t="shared" si="2"/>
        <v/>
      </c>
      <c r="I132" s="37" t="str">
        <f t="shared" si="3"/>
        <v/>
      </c>
      <c r="J132" s="37" t="str">
        <f t="shared" si="4"/>
        <v/>
      </c>
      <c r="K132" s="32" t="str">
        <f t="shared" si="5"/>
        <v/>
      </c>
      <c r="L132" s="32" t="str">
        <f t="shared" si="6"/>
        <v/>
      </c>
      <c r="M132" s="32" t="str">
        <f t="shared" si="7"/>
        <v/>
      </c>
      <c r="N132" s="44" t="str">
        <f t="shared" si="8"/>
        <v/>
      </c>
      <c r="O132" s="45" t="str">
        <f t="shared" si="9"/>
        <v/>
      </c>
      <c r="P132" s="5"/>
      <c r="Q132" s="5"/>
      <c r="R132" s="5"/>
    </row>
    <row r="133" ht="15.75" customHeight="1">
      <c r="A133" s="46"/>
      <c r="B133" s="47"/>
      <c r="C133" s="47"/>
      <c r="D133" s="47"/>
      <c r="E133" s="47"/>
      <c r="F133" s="48"/>
      <c r="G133" s="36" t="str">
        <f t="shared" si="1"/>
        <v/>
      </c>
      <c r="H133" s="37" t="str">
        <f t="shared" si="2"/>
        <v/>
      </c>
      <c r="I133" s="37" t="str">
        <f t="shared" si="3"/>
        <v/>
      </c>
      <c r="J133" s="37" t="str">
        <f t="shared" si="4"/>
        <v/>
      </c>
      <c r="K133" s="32" t="str">
        <f t="shared" si="5"/>
        <v/>
      </c>
      <c r="L133" s="32" t="str">
        <f t="shared" si="6"/>
        <v/>
      </c>
      <c r="M133" s="32" t="str">
        <f t="shared" si="7"/>
        <v/>
      </c>
      <c r="N133" s="44" t="str">
        <f t="shared" si="8"/>
        <v/>
      </c>
      <c r="O133" s="45" t="str">
        <f t="shared" si="9"/>
        <v/>
      </c>
      <c r="P133" s="5"/>
      <c r="Q133" s="5"/>
      <c r="R133" s="5"/>
    </row>
    <row r="134" ht="15.75" customHeight="1">
      <c r="A134" s="46"/>
      <c r="B134" s="47"/>
      <c r="C134" s="47"/>
      <c r="D134" s="47"/>
      <c r="E134" s="47"/>
      <c r="F134" s="48"/>
      <c r="G134" s="36" t="str">
        <f t="shared" si="1"/>
        <v/>
      </c>
      <c r="H134" s="37" t="str">
        <f t="shared" si="2"/>
        <v/>
      </c>
      <c r="I134" s="37" t="str">
        <f t="shared" si="3"/>
        <v/>
      </c>
      <c r="J134" s="37" t="str">
        <f t="shared" si="4"/>
        <v/>
      </c>
      <c r="K134" s="32" t="str">
        <f t="shared" si="5"/>
        <v/>
      </c>
      <c r="L134" s="32" t="str">
        <f t="shared" si="6"/>
        <v/>
      </c>
      <c r="M134" s="32" t="str">
        <f t="shared" si="7"/>
        <v/>
      </c>
      <c r="N134" s="44" t="str">
        <f t="shared" si="8"/>
        <v/>
      </c>
      <c r="O134" s="45" t="str">
        <f t="shared" si="9"/>
        <v/>
      </c>
      <c r="P134" s="5"/>
      <c r="Q134" s="5"/>
      <c r="R134" s="5"/>
    </row>
    <row r="135" ht="15.75" customHeight="1">
      <c r="A135" s="46"/>
      <c r="B135" s="47"/>
      <c r="C135" s="47"/>
      <c r="D135" s="47"/>
      <c r="E135" s="47"/>
      <c r="F135" s="48"/>
      <c r="G135" s="36" t="str">
        <f t="shared" si="1"/>
        <v/>
      </c>
      <c r="H135" s="37" t="str">
        <f t="shared" si="2"/>
        <v/>
      </c>
      <c r="I135" s="37" t="str">
        <f t="shared" si="3"/>
        <v/>
      </c>
      <c r="J135" s="37" t="str">
        <f t="shared" si="4"/>
        <v/>
      </c>
      <c r="K135" s="32" t="str">
        <f t="shared" si="5"/>
        <v/>
      </c>
      <c r="L135" s="32" t="str">
        <f t="shared" si="6"/>
        <v/>
      </c>
      <c r="M135" s="32" t="str">
        <f t="shared" si="7"/>
        <v/>
      </c>
      <c r="N135" s="44" t="str">
        <f t="shared" si="8"/>
        <v/>
      </c>
      <c r="O135" s="45" t="str">
        <f t="shared" si="9"/>
        <v/>
      </c>
      <c r="P135" s="5"/>
      <c r="Q135" s="5"/>
      <c r="R135" s="5"/>
    </row>
    <row r="136" ht="15.75" customHeight="1">
      <c r="A136" s="46"/>
      <c r="B136" s="47"/>
      <c r="C136" s="47"/>
      <c r="D136" s="47"/>
      <c r="E136" s="47"/>
      <c r="F136" s="48"/>
      <c r="G136" s="36" t="str">
        <f t="shared" si="1"/>
        <v/>
      </c>
      <c r="H136" s="37" t="str">
        <f t="shared" si="2"/>
        <v/>
      </c>
      <c r="I136" s="37" t="str">
        <f t="shared" si="3"/>
        <v/>
      </c>
      <c r="J136" s="37" t="str">
        <f t="shared" si="4"/>
        <v/>
      </c>
      <c r="K136" s="32" t="str">
        <f t="shared" si="5"/>
        <v/>
      </c>
      <c r="L136" s="32" t="str">
        <f t="shared" si="6"/>
        <v/>
      </c>
      <c r="M136" s="32" t="str">
        <f t="shared" si="7"/>
        <v/>
      </c>
      <c r="N136" s="44" t="str">
        <f t="shared" si="8"/>
        <v/>
      </c>
      <c r="O136" s="45" t="str">
        <f t="shared" si="9"/>
        <v/>
      </c>
      <c r="P136" s="5"/>
      <c r="Q136" s="5"/>
      <c r="R136" s="5"/>
    </row>
    <row r="137" ht="15.75" customHeight="1">
      <c r="A137" s="46"/>
      <c r="B137" s="47"/>
      <c r="C137" s="47"/>
      <c r="D137" s="47"/>
      <c r="E137" s="47"/>
      <c r="F137" s="48"/>
      <c r="G137" s="36" t="str">
        <f t="shared" si="1"/>
        <v/>
      </c>
      <c r="H137" s="37" t="str">
        <f t="shared" si="2"/>
        <v/>
      </c>
      <c r="I137" s="37" t="str">
        <f t="shared" si="3"/>
        <v/>
      </c>
      <c r="J137" s="37" t="str">
        <f t="shared" si="4"/>
        <v/>
      </c>
      <c r="K137" s="32" t="str">
        <f t="shared" si="5"/>
        <v/>
      </c>
      <c r="L137" s="32" t="str">
        <f t="shared" si="6"/>
        <v/>
      </c>
      <c r="M137" s="32" t="str">
        <f t="shared" si="7"/>
        <v/>
      </c>
      <c r="N137" s="44" t="str">
        <f t="shared" si="8"/>
        <v/>
      </c>
      <c r="O137" s="45" t="str">
        <f t="shared" si="9"/>
        <v/>
      </c>
      <c r="P137" s="5"/>
      <c r="Q137" s="5"/>
      <c r="R137" s="5"/>
    </row>
    <row r="138" ht="15.75" customHeight="1">
      <c r="A138" s="46"/>
      <c r="B138" s="47"/>
      <c r="C138" s="47"/>
      <c r="D138" s="47"/>
      <c r="E138" s="47"/>
      <c r="F138" s="48"/>
      <c r="G138" s="36" t="str">
        <f t="shared" si="1"/>
        <v/>
      </c>
      <c r="H138" s="37" t="str">
        <f t="shared" si="2"/>
        <v/>
      </c>
      <c r="I138" s="37" t="str">
        <f t="shared" si="3"/>
        <v/>
      </c>
      <c r="J138" s="37" t="str">
        <f t="shared" si="4"/>
        <v/>
      </c>
      <c r="K138" s="32" t="str">
        <f t="shared" si="5"/>
        <v/>
      </c>
      <c r="L138" s="32" t="str">
        <f t="shared" si="6"/>
        <v/>
      </c>
      <c r="M138" s="32" t="str">
        <f t="shared" si="7"/>
        <v/>
      </c>
      <c r="N138" s="44" t="str">
        <f t="shared" si="8"/>
        <v/>
      </c>
      <c r="O138" s="45" t="str">
        <f t="shared" si="9"/>
        <v/>
      </c>
      <c r="P138" s="5"/>
      <c r="Q138" s="5"/>
      <c r="R138" s="5"/>
    </row>
    <row r="139" ht="15.75" customHeight="1">
      <c r="A139" s="46"/>
      <c r="B139" s="47"/>
      <c r="C139" s="47"/>
      <c r="D139" s="47"/>
      <c r="E139" s="47"/>
      <c r="F139" s="48"/>
      <c r="G139" s="36" t="str">
        <f t="shared" si="1"/>
        <v/>
      </c>
      <c r="H139" s="37" t="str">
        <f t="shared" si="2"/>
        <v/>
      </c>
      <c r="I139" s="37" t="str">
        <f t="shared" si="3"/>
        <v/>
      </c>
      <c r="J139" s="37" t="str">
        <f t="shared" si="4"/>
        <v/>
      </c>
      <c r="K139" s="32" t="str">
        <f t="shared" si="5"/>
        <v/>
      </c>
      <c r="L139" s="32" t="str">
        <f t="shared" si="6"/>
        <v/>
      </c>
      <c r="M139" s="32" t="str">
        <f t="shared" si="7"/>
        <v/>
      </c>
      <c r="N139" s="44" t="str">
        <f t="shared" si="8"/>
        <v/>
      </c>
      <c r="O139" s="45" t="str">
        <f t="shared" si="9"/>
        <v/>
      </c>
      <c r="P139" s="5"/>
      <c r="Q139" s="5"/>
      <c r="R139" s="5"/>
    </row>
    <row r="140" ht="15.75" customHeight="1">
      <c r="A140" s="46"/>
      <c r="B140" s="47"/>
      <c r="C140" s="47"/>
      <c r="D140" s="47"/>
      <c r="E140" s="47"/>
      <c r="F140" s="48"/>
      <c r="G140" s="36" t="str">
        <f t="shared" si="1"/>
        <v/>
      </c>
      <c r="H140" s="37" t="str">
        <f t="shared" si="2"/>
        <v/>
      </c>
      <c r="I140" s="37" t="str">
        <f t="shared" si="3"/>
        <v/>
      </c>
      <c r="J140" s="37" t="str">
        <f t="shared" si="4"/>
        <v/>
      </c>
      <c r="K140" s="32" t="str">
        <f t="shared" si="5"/>
        <v/>
      </c>
      <c r="L140" s="32" t="str">
        <f t="shared" si="6"/>
        <v/>
      </c>
      <c r="M140" s="32" t="str">
        <f t="shared" si="7"/>
        <v/>
      </c>
      <c r="N140" s="44" t="str">
        <f t="shared" si="8"/>
        <v/>
      </c>
      <c r="O140" s="45" t="str">
        <f t="shared" si="9"/>
        <v/>
      </c>
      <c r="P140" s="5"/>
      <c r="Q140" s="5"/>
      <c r="R140" s="5"/>
    </row>
    <row r="141" ht="15.75" customHeight="1">
      <c r="A141" s="46"/>
      <c r="B141" s="47"/>
      <c r="C141" s="47"/>
      <c r="D141" s="47"/>
      <c r="E141" s="47"/>
      <c r="F141" s="48"/>
      <c r="G141" s="36" t="str">
        <f t="shared" si="1"/>
        <v/>
      </c>
      <c r="H141" s="37" t="str">
        <f t="shared" si="2"/>
        <v/>
      </c>
      <c r="I141" s="37" t="str">
        <f t="shared" si="3"/>
        <v/>
      </c>
      <c r="J141" s="37" t="str">
        <f t="shared" si="4"/>
        <v/>
      </c>
      <c r="K141" s="32" t="str">
        <f t="shared" si="5"/>
        <v/>
      </c>
      <c r="L141" s="32" t="str">
        <f t="shared" si="6"/>
        <v/>
      </c>
      <c r="M141" s="32" t="str">
        <f t="shared" si="7"/>
        <v/>
      </c>
      <c r="N141" s="44" t="str">
        <f t="shared" si="8"/>
        <v/>
      </c>
      <c r="O141" s="45" t="str">
        <f t="shared" si="9"/>
        <v/>
      </c>
      <c r="P141" s="5"/>
      <c r="Q141" s="5"/>
      <c r="R141" s="5"/>
    </row>
    <row r="142" ht="15.75" customHeight="1">
      <c r="A142" s="46"/>
      <c r="B142" s="47"/>
      <c r="C142" s="47"/>
      <c r="D142" s="47"/>
      <c r="E142" s="47"/>
      <c r="F142" s="48"/>
      <c r="G142" s="36" t="str">
        <f t="shared" si="1"/>
        <v/>
      </c>
      <c r="H142" s="37" t="str">
        <f t="shared" si="2"/>
        <v/>
      </c>
      <c r="I142" s="37" t="str">
        <f t="shared" si="3"/>
        <v/>
      </c>
      <c r="J142" s="37" t="str">
        <f t="shared" si="4"/>
        <v/>
      </c>
      <c r="K142" s="32" t="str">
        <f t="shared" si="5"/>
        <v/>
      </c>
      <c r="L142" s="32" t="str">
        <f t="shared" si="6"/>
        <v/>
      </c>
      <c r="M142" s="32" t="str">
        <f t="shared" si="7"/>
        <v/>
      </c>
      <c r="N142" s="44" t="str">
        <f t="shared" si="8"/>
        <v/>
      </c>
      <c r="O142" s="45" t="str">
        <f t="shared" si="9"/>
        <v/>
      </c>
      <c r="P142" s="5"/>
      <c r="Q142" s="5"/>
      <c r="R142" s="5"/>
    </row>
    <row r="143" ht="15.75" customHeight="1">
      <c r="A143" s="46"/>
      <c r="B143" s="47"/>
      <c r="C143" s="47"/>
      <c r="D143" s="47"/>
      <c r="E143" s="47"/>
      <c r="F143" s="48"/>
      <c r="G143" s="36" t="str">
        <f t="shared" si="1"/>
        <v/>
      </c>
      <c r="H143" s="37" t="str">
        <f t="shared" si="2"/>
        <v/>
      </c>
      <c r="I143" s="37" t="str">
        <f t="shared" si="3"/>
        <v/>
      </c>
      <c r="J143" s="37" t="str">
        <f t="shared" si="4"/>
        <v/>
      </c>
      <c r="K143" s="32" t="str">
        <f t="shared" si="5"/>
        <v/>
      </c>
      <c r="L143" s="32" t="str">
        <f t="shared" si="6"/>
        <v/>
      </c>
      <c r="M143" s="32" t="str">
        <f t="shared" si="7"/>
        <v/>
      </c>
      <c r="N143" s="44" t="str">
        <f t="shared" si="8"/>
        <v/>
      </c>
      <c r="O143" s="45" t="str">
        <f t="shared" si="9"/>
        <v/>
      </c>
      <c r="P143" s="5"/>
      <c r="Q143" s="5"/>
      <c r="R143" s="5"/>
    </row>
    <row r="144" ht="15.75" customHeight="1">
      <c r="A144" s="46"/>
      <c r="B144" s="47"/>
      <c r="C144" s="47"/>
      <c r="D144" s="47"/>
      <c r="E144" s="47"/>
      <c r="F144" s="48"/>
      <c r="G144" s="36" t="str">
        <f t="shared" si="1"/>
        <v/>
      </c>
      <c r="H144" s="37" t="str">
        <f t="shared" si="2"/>
        <v/>
      </c>
      <c r="I144" s="37" t="str">
        <f t="shared" si="3"/>
        <v/>
      </c>
      <c r="J144" s="37" t="str">
        <f t="shared" si="4"/>
        <v/>
      </c>
      <c r="K144" s="32" t="str">
        <f t="shared" si="5"/>
        <v/>
      </c>
      <c r="L144" s="32" t="str">
        <f t="shared" si="6"/>
        <v/>
      </c>
      <c r="M144" s="32" t="str">
        <f t="shared" si="7"/>
        <v/>
      </c>
      <c r="N144" s="44" t="str">
        <f t="shared" si="8"/>
        <v/>
      </c>
      <c r="O144" s="45" t="str">
        <f t="shared" si="9"/>
        <v/>
      </c>
      <c r="P144" s="5"/>
      <c r="Q144" s="5"/>
      <c r="R144" s="5"/>
    </row>
    <row r="145" ht="15.75" customHeight="1">
      <c r="A145" s="46"/>
      <c r="B145" s="47"/>
      <c r="C145" s="47"/>
      <c r="D145" s="47"/>
      <c r="E145" s="47"/>
      <c r="F145" s="48"/>
      <c r="G145" s="36" t="str">
        <f t="shared" si="1"/>
        <v/>
      </c>
      <c r="H145" s="37" t="str">
        <f t="shared" si="2"/>
        <v/>
      </c>
      <c r="I145" s="37" t="str">
        <f t="shared" si="3"/>
        <v/>
      </c>
      <c r="J145" s="37" t="str">
        <f t="shared" si="4"/>
        <v/>
      </c>
      <c r="K145" s="32" t="str">
        <f t="shared" si="5"/>
        <v/>
      </c>
      <c r="L145" s="32" t="str">
        <f t="shared" si="6"/>
        <v/>
      </c>
      <c r="M145" s="32" t="str">
        <f t="shared" si="7"/>
        <v/>
      </c>
      <c r="N145" s="44" t="str">
        <f t="shared" si="8"/>
        <v/>
      </c>
      <c r="O145" s="45" t="str">
        <f t="shared" si="9"/>
        <v/>
      </c>
      <c r="P145" s="5"/>
      <c r="Q145" s="5"/>
      <c r="R145" s="5"/>
    </row>
    <row r="146" ht="15.75" customHeight="1">
      <c r="A146" s="46"/>
      <c r="B146" s="47"/>
      <c r="C146" s="47"/>
      <c r="D146" s="47"/>
      <c r="E146" s="47"/>
      <c r="F146" s="48"/>
      <c r="G146" s="36" t="str">
        <f t="shared" si="1"/>
        <v/>
      </c>
      <c r="H146" s="37" t="str">
        <f t="shared" si="2"/>
        <v/>
      </c>
      <c r="I146" s="37" t="str">
        <f t="shared" si="3"/>
        <v/>
      </c>
      <c r="J146" s="37" t="str">
        <f t="shared" si="4"/>
        <v/>
      </c>
      <c r="K146" s="32" t="str">
        <f t="shared" si="5"/>
        <v/>
      </c>
      <c r="L146" s="32" t="str">
        <f t="shared" si="6"/>
        <v/>
      </c>
      <c r="M146" s="32" t="str">
        <f t="shared" si="7"/>
        <v/>
      </c>
      <c r="N146" s="44" t="str">
        <f t="shared" si="8"/>
        <v/>
      </c>
      <c r="O146" s="45" t="str">
        <f t="shared" si="9"/>
        <v/>
      </c>
      <c r="P146" s="5"/>
      <c r="Q146" s="5"/>
      <c r="R146" s="5"/>
    </row>
    <row r="147" ht="15.75" customHeight="1">
      <c r="A147" s="46"/>
      <c r="B147" s="47"/>
      <c r="C147" s="47"/>
      <c r="D147" s="47"/>
      <c r="E147" s="47"/>
      <c r="F147" s="48"/>
      <c r="G147" s="36" t="str">
        <f t="shared" si="1"/>
        <v/>
      </c>
      <c r="H147" s="37" t="str">
        <f t="shared" si="2"/>
        <v/>
      </c>
      <c r="I147" s="37" t="str">
        <f t="shared" si="3"/>
        <v/>
      </c>
      <c r="J147" s="37" t="str">
        <f t="shared" si="4"/>
        <v/>
      </c>
      <c r="K147" s="32" t="str">
        <f t="shared" si="5"/>
        <v/>
      </c>
      <c r="L147" s="32" t="str">
        <f t="shared" si="6"/>
        <v/>
      </c>
      <c r="M147" s="32" t="str">
        <f t="shared" si="7"/>
        <v/>
      </c>
      <c r="N147" s="44" t="str">
        <f t="shared" si="8"/>
        <v/>
      </c>
      <c r="O147" s="45" t="str">
        <f t="shared" si="9"/>
        <v/>
      </c>
      <c r="P147" s="5"/>
      <c r="Q147" s="5"/>
      <c r="R147" s="5"/>
    </row>
    <row r="148" ht="15.75" customHeight="1">
      <c r="A148" s="46"/>
      <c r="B148" s="47"/>
      <c r="C148" s="47"/>
      <c r="D148" s="47"/>
      <c r="E148" s="47"/>
      <c r="F148" s="48"/>
      <c r="G148" s="36" t="str">
        <f t="shared" si="1"/>
        <v/>
      </c>
      <c r="H148" s="37" t="str">
        <f t="shared" si="2"/>
        <v/>
      </c>
      <c r="I148" s="37" t="str">
        <f t="shared" si="3"/>
        <v/>
      </c>
      <c r="J148" s="37" t="str">
        <f t="shared" si="4"/>
        <v/>
      </c>
      <c r="K148" s="32" t="str">
        <f t="shared" si="5"/>
        <v/>
      </c>
      <c r="L148" s="32" t="str">
        <f t="shared" si="6"/>
        <v/>
      </c>
      <c r="M148" s="32" t="str">
        <f t="shared" si="7"/>
        <v/>
      </c>
      <c r="N148" s="44" t="str">
        <f t="shared" si="8"/>
        <v/>
      </c>
      <c r="O148" s="45" t="str">
        <f t="shared" si="9"/>
        <v/>
      </c>
      <c r="P148" s="5"/>
      <c r="Q148" s="5"/>
      <c r="R148" s="5"/>
    </row>
    <row r="149" ht="15.75" customHeight="1">
      <c r="A149" s="46"/>
      <c r="B149" s="47"/>
      <c r="C149" s="47"/>
      <c r="D149" s="47"/>
      <c r="E149" s="47"/>
      <c r="F149" s="48"/>
      <c r="G149" s="36" t="str">
        <f t="shared" si="1"/>
        <v/>
      </c>
      <c r="H149" s="37" t="str">
        <f t="shared" si="2"/>
        <v/>
      </c>
      <c r="I149" s="37" t="str">
        <f t="shared" si="3"/>
        <v/>
      </c>
      <c r="J149" s="37" t="str">
        <f t="shared" si="4"/>
        <v/>
      </c>
      <c r="K149" s="32" t="str">
        <f t="shared" si="5"/>
        <v/>
      </c>
      <c r="L149" s="32" t="str">
        <f t="shared" si="6"/>
        <v/>
      </c>
      <c r="M149" s="32" t="str">
        <f t="shared" si="7"/>
        <v/>
      </c>
      <c r="N149" s="44" t="str">
        <f t="shared" si="8"/>
        <v/>
      </c>
      <c r="O149" s="45" t="str">
        <f t="shared" si="9"/>
        <v/>
      </c>
      <c r="P149" s="5"/>
      <c r="Q149" s="5"/>
      <c r="R149" s="5"/>
    </row>
    <row r="150" ht="15.75" customHeight="1">
      <c r="A150" s="46"/>
      <c r="B150" s="47"/>
      <c r="C150" s="47"/>
      <c r="D150" s="47"/>
      <c r="E150" s="47"/>
      <c r="F150" s="48"/>
      <c r="G150" s="36" t="str">
        <f t="shared" si="1"/>
        <v/>
      </c>
      <c r="H150" s="37" t="str">
        <f t="shared" si="2"/>
        <v/>
      </c>
      <c r="I150" s="37" t="str">
        <f t="shared" si="3"/>
        <v/>
      </c>
      <c r="J150" s="37" t="str">
        <f t="shared" si="4"/>
        <v/>
      </c>
      <c r="K150" s="32" t="str">
        <f t="shared" si="5"/>
        <v/>
      </c>
      <c r="L150" s="32" t="str">
        <f t="shared" si="6"/>
        <v/>
      </c>
      <c r="M150" s="32" t="str">
        <f t="shared" si="7"/>
        <v/>
      </c>
      <c r="N150" s="44" t="str">
        <f t="shared" si="8"/>
        <v/>
      </c>
      <c r="O150" s="45" t="str">
        <f t="shared" si="9"/>
        <v/>
      </c>
      <c r="P150" s="5"/>
      <c r="Q150" s="5"/>
      <c r="R150" s="5"/>
    </row>
    <row r="151" ht="15.75" customHeight="1">
      <c r="A151" s="46"/>
      <c r="B151" s="47"/>
      <c r="C151" s="47"/>
      <c r="D151" s="47"/>
      <c r="E151" s="47"/>
      <c r="F151" s="48"/>
      <c r="G151" s="36" t="str">
        <f t="shared" si="1"/>
        <v/>
      </c>
      <c r="H151" s="37" t="str">
        <f t="shared" si="2"/>
        <v/>
      </c>
      <c r="I151" s="37" t="str">
        <f t="shared" si="3"/>
        <v/>
      </c>
      <c r="J151" s="37" t="str">
        <f t="shared" si="4"/>
        <v/>
      </c>
      <c r="K151" s="32" t="str">
        <f t="shared" si="5"/>
        <v/>
      </c>
      <c r="L151" s="32" t="str">
        <f t="shared" si="6"/>
        <v/>
      </c>
      <c r="M151" s="32" t="str">
        <f t="shared" si="7"/>
        <v/>
      </c>
      <c r="N151" s="44" t="str">
        <f t="shared" si="8"/>
        <v/>
      </c>
      <c r="O151" s="45" t="str">
        <f t="shared" si="9"/>
        <v/>
      </c>
      <c r="P151" s="5"/>
      <c r="Q151" s="5"/>
      <c r="R151" s="5"/>
    </row>
    <row r="152" ht="15.75" customHeight="1">
      <c r="A152" s="46"/>
      <c r="B152" s="47"/>
      <c r="C152" s="47"/>
      <c r="D152" s="47"/>
      <c r="E152" s="47"/>
      <c r="F152" s="48"/>
      <c r="G152" s="36" t="str">
        <f t="shared" si="1"/>
        <v/>
      </c>
      <c r="H152" s="37" t="str">
        <f t="shared" si="2"/>
        <v/>
      </c>
      <c r="I152" s="37" t="str">
        <f t="shared" si="3"/>
        <v/>
      </c>
      <c r="J152" s="37" t="str">
        <f t="shared" si="4"/>
        <v/>
      </c>
      <c r="K152" s="32" t="str">
        <f t="shared" si="5"/>
        <v/>
      </c>
      <c r="L152" s="32" t="str">
        <f t="shared" si="6"/>
        <v/>
      </c>
      <c r="M152" s="32" t="str">
        <f t="shared" si="7"/>
        <v/>
      </c>
      <c r="N152" s="44" t="str">
        <f t="shared" si="8"/>
        <v/>
      </c>
      <c r="O152" s="45" t="str">
        <f t="shared" si="9"/>
        <v/>
      </c>
      <c r="P152" s="5"/>
      <c r="Q152" s="5"/>
      <c r="R152" s="5"/>
    </row>
    <row r="153" ht="15.75" customHeight="1">
      <c r="A153" s="46"/>
      <c r="B153" s="47"/>
      <c r="C153" s="47"/>
      <c r="D153" s="47"/>
      <c r="E153" s="47"/>
      <c r="F153" s="48"/>
      <c r="G153" s="36" t="str">
        <f t="shared" si="1"/>
        <v/>
      </c>
      <c r="H153" s="37" t="str">
        <f t="shared" si="2"/>
        <v/>
      </c>
      <c r="I153" s="37" t="str">
        <f t="shared" si="3"/>
        <v/>
      </c>
      <c r="J153" s="37" t="str">
        <f t="shared" si="4"/>
        <v/>
      </c>
      <c r="K153" s="32" t="str">
        <f t="shared" si="5"/>
        <v/>
      </c>
      <c r="L153" s="32" t="str">
        <f t="shared" si="6"/>
        <v/>
      </c>
      <c r="M153" s="32" t="str">
        <f t="shared" si="7"/>
        <v/>
      </c>
      <c r="N153" s="44" t="str">
        <f t="shared" si="8"/>
        <v/>
      </c>
      <c r="O153" s="45" t="str">
        <f t="shared" si="9"/>
        <v/>
      </c>
      <c r="P153" s="5"/>
      <c r="Q153" s="5"/>
      <c r="R153" s="5"/>
    </row>
    <row r="154" ht="15.75" customHeight="1">
      <c r="A154" s="46"/>
      <c r="B154" s="47"/>
      <c r="C154" s="47"/>
      <c r="D154" s="47"/>
      <c r="E154" s="47"/>
      <c r="F154" s="48"/>
      <c r="G154" s="36" t="str">
        <f t="shared" si="1"/>
        <v/>
      </c>
      <c r="H154" s="37" t="str">
        <f t="shared" si="2"/>
        <v/>
      </c>
      <c r="I154" s="37" t="str">
        <f t="shared" si="3"/>
        <v/>
      </c>
      <c r="J154" s="37" t="str">
        <f t="shared" si="4"/>
        <v/>
      </c>
      <c r="K154" s="32" t="str">
        <f t="shared" si="5"/>
        <v/>
      </c>
      <c r="L154" s="32" t="str">
        <f t="shared" si="6"/>
        <v/>
      </c>
      <c r="M154" s="32" t="str">
        <f t="shared" si="7"/>
        <v/>
      </c>
      <c r="N154" s="44" t="str">
        <f t="shared" si="8"/>
        <v/>
      </c>
      <c r="O154" s="45" t="str">
        <f t="shared" si="9"/>
        <v/>
      </c>
      <c r="P154" s="5"/>
      <c r="Q154" s="5"/>
      <c r="R154" s="5"/>
    </row>
    <row r="155" ht="15.75" customHeight="1">
      <c r="A155" s="46"/>
      <c r="B155" s="47"/>
      <c r="C155" s="47"/>
      <c r="D155" s="47"/>
      <c r="E155" s="47"/>
      <c r="F155" s="48"/>
      <c r="G155" s="36" t="str">
        <f t="shared" si="1"/>
        <v/>
      </c>
      <c r="H155" s="37" t="str">
        <f t="shared" si="2"/>
        <v/>
      </c>
      <c r="I155" s="37" t="str">
        <f t="shared" si="3"/>
        <v/>
      </c>
      <c r="J155" s="37" t="str">
        <f t="shared" si="4"/>
        <v/>
      </c>
      <c r="K155" s="32" t="str">
        <f t="shared" si="5"/>
        <v/>
      </c>
      <c r="L155" s="32" t="str">
        <f t="shared" si="6"/>
        <v/>
      </c>
      <c r="M155" s="32" t="str">
        <f t="shared" si="7"/>
        <v/>
      </c>
      <c r="N155" s="44" t="str">
        <f t="shared" si="8"/>
        <v/>
      </c>
      <c r="O155" s="45" t="str">
        <f t="shared" si="9"/>
        <v/>
      </c>
      <c r="P155" s="5"/>
      <c r="Q155" s="5"/>
      <c r="R155" s="5"/>
    </row>
    <row r="156" ht="15.75" customHeight="1">
      <c r="A156" s="46"/>
      <c r="B156" s="47"/>
      <c r="C156" s="47"/>
      <c r="D156" s="47"/>
      <c r="E156" s="47"/>
      <c r="F156" s="48"/>
      <c r="G156" s="36" t="str">
        <f t="shared" si="1"/>
        <v/>
      </c>
      <c r="H156" s="37" t="str">
        <f t="shared" si="2"/>
        <v/>
      </c>
      <c r="I156" s="37" t="str">
        <f t="shared" si="3"/>
        <v/>
      </c>
      <c r="J156" s="37" t="str">
        <f t="shared" si="4"/>
        <v/>
      </c>
      <c r="K156" s="32" t="str">
        <f t="shared" si="5"/>
        <v/>
      </c>
      <c r="L156" s="32" t="str">
        <f t="shared" si="6"/>
        <v/>
      </c>
      <c r="M156" s="32" t="str">
        <f t="shared" si="7"/>
        <v/>
      </c>
      <c r="N156" s="44" t="str">
        <f t="shared" si="8"/>
        <v/>
      </c>
      <c r="O156" s="45" t="str">
        <f t="shared" si="9"/>
        <v/>
      </c>
      <c r="P156" s="5"/>
      <c r="Q156" s="5"/>
      <c r="R156" s="5"/>
    </row>
    <row r="157" ht="15.75" customHeight="1">
      <c r="A157" s="46"/>
      <c r="B157" s="47"/>
      <c r="C157" s="47"/>
      <c r="D157" s="47"/>
      <c r="E157" s="47"/>
      <c r="F157" s="48"/>
      <c r="G157" s="36" t="str">
        <f t="shared" si="1"/>
        <v/>
      </c>
      <c r="H157" s="37" t="str">
        <f t="shared" si="2"/>
        <v/>
      </c>
      <c r="I157" s="37" t="str">
        <f t="shared" si="3"/>
        <v/>
      </c>
      <c r="J157" s="37" t="str">
        <f t="shared" si="4"/>
        <v/>
      </c>
      <c r="K157" s="32" t="str">
        <f t="shared" si="5"/>
        <v/>
      </c>
      <c r="L157" s="32" t="str">
        <f t="shared" si="6"/>
        <v/>
      </c>
      <c r="M157" s="32" t="str">
        <f t="shared" si="7"/>
        <v/>
      </c>
      <c r="N157" s="44" t="str">
        <f t="shared" si="8"/>
        <v/>
      </c>
      <c r="O157" s="45" t="str">
        <f t="shared" si="9"/>
        <v/>
      </c>
      <c r="P157" s="5"/>
      <c r="Q157" s="5"/>
      <c r="R157" s="5"/>
    </row>
    <row r="158" ht="15.75" customHeight="1">
      <c r="A158" s="46"/>
      <c r="B158" s="47"/>
      <c r="C158" s="47"/>
      <c r="D158" s="47"/>
      <c r="E158" s="47"/>
      <c r="F158" s="48"/>
      <c r="G158" s="36" t="str">
        <f t="shared" si="1"/>
        <v/>
      </c>
      <c r="H158" s="37" t="str">
        <f t="shared" si="2"/>
        <v/>
      </c>
      <c r="I158" s="37" t="str">
        <f t="shared" si="3"/>
        <v/>
      </c>
      <c r="J158" s="37" t="str">
        <f t="shared" si="4"/>
        <v/>
      </c>
      <c r="K158" s="32" t="str">
        <f t="shared" si="5"/>
        <v/>
      </c>
      <c r="L158" s="32" t="str">
        <f t="shared" si="6"/>
        <v/>
      </c>
      <c r="M158" s="32" t="str">
        <f t="shared" si="7"/>
        <v/>
      </c>
      <c r="N158" s="44" t="str">
        <f t="shared" si="8"/>
        <v/>
      </c>
      <c r="O158" s="45" t="str">
        <f t="shared" si="9"/>
        <v/>
      </c>
      <c r="P158" s="5"/>
      <c r="Q158" s="5"/>
      <c r="R158" s="5"/>
    </row>
    <row r="159" ht="15.75" customHeight="1">
      <c r="A159" s="46"/>
      <c r="B159" s="47"/>
      <c r="C159" s="47"/>
      <c r="D159" s="47"/>
      <c r="E159" s="47"/>
      <c r="F159" s="48"/>
      <c r="G159" s="36" t="str">
        <f t="shared" si="1"/>
        <v/>
      </c>
      <c r="H159" s="37" t="str">
        <f t="shared" si="2"/>
        <v/>
      </c>
      <c r="I159" s="37" t="str">
        <f t="shared" si="3"/>
        <v/>
      </c>
      <c r="J159" s="37" t="str">
        <f t="shared" si="4"/>
        <v/>
      </c>
      <c r="K159" s="32" t="str">
        <f t="shared" si="5"/>
        <v/>
      </c>
      <c r="L159" s="32" t="str">
        <f t="shared" si="6"/>
        <v/>
      </c>
      <c r="M159" s="32" t="str">
        <f t="shared" si="7"/>
        <v/>
      </c>
      <c r="N159" s="44" t="str">
        <f t="shared" si="8"/>
        <v/>
      </c>
      <c r="O159" s="45" t="str">
        <f t="shared" si="9"/>
        <v/>
      </c>
      <c r="P159" s="5"/>
      <c r="Q159" s="5"/>
      <c r="R159" s="5"/>
    </row>
    <row r="160" ht="15.75" customHeight="1">
      <c r="A160" s="46"/>
      <c r="B160" s="47"/>
      <c r="C160" s="47"/>
      <c r="D160" s="47"/>
      <c r="E160" s="47"/>
      <c r="F160" s="48"/>
      <c r="G160" s="36" t="str">
        <f t="shared" si="1"/>
        <v/>
      </c>
      <c r="H160" s="37" t="str">
        <f t="shared" si="2"/>
        <v/>
      </c>
      <c r="I160" s="37" t="str">
        <f t="shared" si="3"/>
        <v/>
      </c>
      <c r="J160" s="37" t="str">
        <f t="shared" si="4"/>
        <v/>
      </c>
      <c r="K160" s="32" t="str">
        <f t="shared" si="5"/>
        <v/>
      </c>
      <c r="L160" s="32" t="str">
        <f t="shared" si="6"/>
        <v/>
      </c>
      <c r="M160" s="32" t="str">
        <f t="shared" si="7"/>
        <v/>
      </c>
      <c r="N160" s="44" t="str">
        <f t="shared" si="8"/>
        <v/>
      </c>
      <c r="O160" s="45" t="str">
        <f t="shared" si="9"/>
        <v/>
      </c>
      <c r="P160" s="5"/>
      <c r="Q160" s="5"/>
      <c r="R160" s="5"/>
    </row>
    <row r="161" ht="15.75" customHeight="1">
      <c r="A161" s="46"/>
      <c r="B161" s="47"/>
      <c r="C161" s="47"/>
      <c r="D161" s="47"/>
      <c r="E161" s="47"/>
      <c r="F161" s="48"/>
      <c r="G161" s="36" t="str">
        <f t="shared" si="1"/>
        <v/>
      </c>
      <c r="H161" s="37" t="str">
        <f t="shared" si="2"/>
        <v/>
      </c>
      <c r="I161" s="37" t="str">
        <f t="shared" si="3"/>
        <v/>
      </c>
      <c r="J161" s="37" t="str">
        <f t="shared" si="4"/>
        <v/>
      </c>
      <c r="K161" s="32" t="str">
        <f t="shared" si="5"/>
        <v/>
      </c>
      <c r="L161" s="32" t="str">
        <f t="shared" si="6"/>
        <v/>
      </c>
      <c r="M161" s="32" t="str">
        <f t="shared" si="7"/>
        <v/>
      </c>
      <c r="N161" s="44" t="str">
        <f t="shared" si="8"/>
        <v/>
      </c>
      <c r="O161" s="45" t="str">
        <f t="shared" si="9"/>
        <v/>
      </c>
      <c r="P161" s="5"/>
      <c r="Q161" s="5"/>
      <c r="R161" s="5"/>
    </row>
    <row r="162" ht="15.75" customHeight="1">
      <c r="A162" s="46"/>
      <c r="B162" s="47"/>
      <c r="C162" s="47"/>
      <c r="D162" s="47"/>
      <c r="E162" s="47"/>
      <c r="F162" s="48"/>
      <c r="G162" s="36" t="str">
        <f t="shared" si="1"/>
        <v/>
      </c>
      <c r="H162" s="37" t="str">
        <f t="shared" si="2"/>
        <v/>
      </c>
      <c r="I162" s="37" t="str">
        <f t="shared" si="3"/>
        <v/>
      </c>
      <c r="J162" s="37" t="str">
        <f t="shared" si="4"/>
        <v/>
      </c>
      <c r="K162" s="32" t="str">
        <f t="shared" si="5"/>
        <v/>
      </c>
      <c r="L162" s="32" t="str">
        <f t="shared" si="6"/>
        <v/>
      </c>
      <c r="M162" s="32" t="str">
        <f t="shared" si="7"/>
        <v/>
      </c>
      <c r="N162" s="44" t="str">
        <f t="shared" si="8"/>
        <v/>
      </c>
      <c r="O162" s="45" t="str">
        <f t="shared" si="9"/>
        <v/>
      </c>
      <c r="P162" s="5"/>
      <c r="Q162" s="5"/>
      <c r="R162" s="5"/>
    </row>
    <row r="163" ht="15.75" customHeight="1">
      <c r="A163" s="46"/>
      <c r="B163" s="47"/>
      <c r="C163" s="47"/>
      <c r="D163" s="47"/>
      <c r="E163" s="47"/>
      <c r="F163" s="48"/>
      <c r="G163" s="36" t="str">
        <f t="shared" si="1"/>
        <v/>
      </c>
      <c r="H163" s="37" t="str">
        <f t="shared" si="2"/>
        <v/>
      </c>
      <c r="I163" s="37" t="str">
        <f t="shared" si="3"/>
        <v/>
      </c>
      <c r="J163" s="37" t="str">
        <f t="shared" si="4"/>
        <v/>
      </c>
      <c r="K163" s="32" t="str">
        <f t="shared" si="5"/>
        <v/>
      </c>
      <c r="L163" s="32" t="str">
        <f t="shared" si="6"/>
        <v/>
      </c>
      <c r="M163" s="32" t="str">
        <f t="shared" si="7"/>
        <v/>
      </c>
      <c r="N163" s="44" t="str">
        <f t="shared" si="8"/>
        <v/>
      </c>
      <c r="O163" s="45" t="str">
        <f t="shared" si="9"/>
        <v/>
      </c>
      <c r="P163" s="5"/>
      <c r="Q163" s="5"/>
      <c r="R163" s="5"/>
    </row>
    <row r="164" ht="15.75" customHeight="1">
      <c r="A164" s="46"/>
      <c r="B164" s="47"/>
      <c r="C164" s="47"/>
      <c r="D164" s="47"/>
      <c r="E164" s="47"/>
      <c r="F164" s="48"/>
      <c r="G164" s="36" t="str">
        <f t="shared" si="1"/>
        <v/>
      </c>
      <c r="H164" s="37" t="str">
        <f t="shared" si="2"/>
        <v/>
      </c>
      <c r="I164" s="37" t="str">
        <f t="shared" si="3"/>
        <v/>
      </c>
      <c r="J164" s="37" t="str">
        <f t="shared" si="4"/>
        <v/>
      </c>
      <c r="K164" s="32" t="str">
        <f t="shared" si="5"/>
        <v/>
      </c>
      <c r="L164" s="32" t="str">
        <f t="shared" si="6"/>
        <v/>
      </c>
      <c r="M164" s="32" t="str">
        <f t="shared" si="7"/>
        <v/>
      </c>
      <c r="N164" s="44" t="str">
        <f t="shared" si="8"/>
        <v/>
      </c>
      <c r="O164" s="45" t="str">
        <f t="shared" si="9"/>
        <v/>
      </c>
      <c r="P164" s="5"/>
      <c r="Q164" s="5"/>
      <c r="R164" s="5"/>
    </row>
    <row r="165" ht="15.75" customHeight="1">
      <c r="A165" s="46"/>
      <c r="B165" s="47"/>
      <c r="C165" s="47"/>
      <c r="D165" s="47"/>
      <c r="E165" s="47"/>
      <c r="F165" s="48"/>
      <c r="G165" s="36" t="str">
        <f t="shared" si="1"/>
        <v/>
      </c>
      <c r="H165" s="37" t="str">
        <f t="shared" si="2"/>
        <v/>
      </c>
      <c r="I165" s="37" t="str">
        <f t="shared" si="3"/>
        <v/>
      </c>
      <c r="J165" s="37" t="str">
        <f t="shared" si="4"/>
        <v/>
      </c>
      <c r="K165" s="32" t="str">
        <f t="shared" si="5"/>
        <v/>
      </c>
      <c r="L165" s="32" t="str">
        <f t="shared" si="6"/>
        <v/>
      </c>
      <c r="M165" s="32" t="str">
        <f t="shared" si="7"/>
        <v/>
      </c>
      <c r="N165" s="44" t="str">
        <f t="shared" si="8"/>
        <v/>
      </c>
      <c r="O165" s="45" t="str">
        <f t="shared" si="9"/>
        <v/>
      </c>
      <c r="P165" s="5"/>
      <c r="Q165" s="5"/>
      <c r="R165" s="5"/>
    </row>
    <row r="166" ht="15.75" customHeight="1">
      <c r="A166" s="46"/>
      <c r="B166" s="47"/>
      <c r="C166" s="47"/>
      <c r="D166" s="47"/>
      <c r="E166" s="47"/>
      <c r="F166" s="48"/>
      <c r="G166" s="36" t="str">
        <f t="shared" si="1"/>
        <v/>
      </c>
      <c r="H166" s="37" t="str">
        <f t="shared" si="2"/>
        <v/>
      </c>
      <c r="I166" s="37" t="str">
        <f t="shared" si="3"/>
        <v/>
      </c>
      <c r="J166" s="37" t="str">
        <f t="shared" si="4"/>
        <v/>
      </c>
      <c r="K166" s="32" t="str">
        <f t="shared" si="5"/>
        <v/>
      </c>
      <c r="L166" s="32" t="str">
        <f t="shared" si="6"/>
        <v/>
      </c>
      <c r="M166" s="32" t="str">
        <f t="shared" si="7"/>
        <v/>
      </c>
      <c r="N166" s="44" t="str">
        <f t="shared" si="8"/>
        <v/>
      </c>
      <c r="O166" s="45" t="str">
        <f t="shared" si="9"/>
        <v/>
      </c>
      <c r="P166" s="5"/>
      <c r="Q166" s="5"/>
      <c r="R166" s="5"/>
    </row>
    <row r="167" ht="15.75" customHeight="1">
      <c r="A167" s="46"/>
      <c r="B167" s="47"/>
      <c r="C167" s="47"/>
      <c r="D167" s="47"/>
      <c r="E167" s="47"/>
      <c r="F167" s="48"/>
      <c r="G167" s="36" t="str">
        <f t="shared" si="1"/>
        <v/>
      </c>
      <c r="H167" s="37" t="str">
        <f t="shared" si="2"/>
        <v/>
      </c>
      <c r="I167" s="37" t="str">
        <f t="shared" si="3"/>
        <v/>
      </c>
      <c r="J167" s="37" t="str">
        <f t="shared" si="4"/>
        <v/>
      </c>
      <c r="K167" s="32" t="str">
        <f t="shared" si="5"/>
        <v/>
      </c>
      <c r="L167" s="32" t="str">
        <f t="shared" si="6"/>
        <v/>
      </c>
      <c r="M167" s="32" t="str">
        <f t="shared" si="7"/>
        <v/>
      </c>
      <c r="N167" s="44" t="str">
        <f t="shared" si="8"/>
        <v/>
      </c>
      <c r="O167" s="45" t="str">
        <f t="shared" si="9"/>
        <v/>
      </c>
      <c r="P167" s="5"/>
      <c r="Q167" s="5"/>
      <c r="R167" s="5"/>
    </row>
    <row r="168" ht="15.75" customHeight="1">
      <c r="A168" s="46"/>
      <c r="B168" s="47"/>
      <c r="C168" s="47"/>
      <c r="D168" s="47"/>
      <c r="E168" s="47"/>
      <c r="F168" s="48"/>
      <c r="G168" s="36" t="str">
        <f t="shared" si="1"/>
        <v/>
      </c>
      <c r="H168" s="37" t="str">
        <f t="shared" si="2"/>
        <v/>
      </c>
      <c r="I168" s="37" t="str">
        <f t="shared" si="3"/>
        <v/>
      </c>
      <c r="J168" s="37" t="str">
        <f t="shared" si="4"/>
        <v/>
      </c>
      <c r="K168" s="32" t="str">
        <f t="shared" si="5"/>
        <v/>
      </c>
      <c r="L168" s="32" t="str">
        <f t="shared" si="6"/>
        <v/>
      </c>
      <c r="M168" s="32" t="str">
        <f t="shared" si="7"/>
        <v/>
      </c>
      <c r="N168" s="44" t="str">
        <f t="shared" si="8"/>
        <v/>
      </c>
      <c r="O168" s="45" t="str">
        <f t="shared" si="9"/>
        <v/>
      </c>
      <c r="P168" s="5"/>
      <c r="Q168" s="5"/>
      <c r="R168" s="5"/>
    </row>
    <row r="169" ht="15.75" customHeight="1">
      <c r="A169" s="46"/>
      <c r="B169" s="47"/>
      <c r="C169" s="47"/>
      <c r="D169" s="47"/>
      <c r="E169" s="47"/>
      <c r="F169" s="48"/>
      <c r="G169" s="36" t="str">
        <f t="shared" si="1"/>
        <v/>
      </c>
      <c r="H169" s="37" t="str">
        <f t="shared" si="2"/>
        <v/>
      </c>
      <c r="I169" s="37" t="str">
        <f t="shared" si="3"/>
        <v/>
      </c>
      <c r="J169" s="37" t="str">
        <f t="shared" si="4"/>
        <v/>
      </c>
      <c r="K169" s="32" t="str">
        <f t="shared" si="5"/>
        <v/>
      </c>
      <c r="L169" s="32" t="str">
        <f t="shared" si="6"/>
        <v/>
      </c>
      <c r="M169" s="32" t="str">
        <f t="shared" si="7"/>
        <v/>
      </c>
      <c r="N169" s="44" t="str">
        <f t="shared" si="8"/>
        <v/>
      </c>
      <c r="O169" s="45" t="str">
        <f t="shared" si="9"/>
        <v/>
      </c>
      <c r="P169" s="5"/>
      <c r="Q169" s="5"/>
      <c r="R169" s="5"/>
    </row>
    <row r="170" ht="15.75" customHeight="1">
      <c r="A170" s="46"/>
      <c r="B170" s="47"/>
      <c r="C170" s="47"/>
      <c r="D170" s="47"/>
      <c r="E170" s="47"/>
      <c r="F170" s="48"/>
      <c r="G170" s="36" t="str">
        <f t="shared" si="1"/>
        <v/>
      </c>
      <c r="H170" s="37" t="str">
        <f t="shared" si="2"/>
        <v/>
      </c>
      <c r="I170" s="37" t="str">
        <f t="shared" si="3"/>
        <v/>
      </c>
      <c r="J170" s="37" t="str">
        <f t="shared" si="4"/>
        <v/>
      </c>
      <c r="K170" s="32" t="str">
        <f t="shared" si="5"/>
        <v/>
      </c>
      <c r="L170" s="32" t="str">
        <f t="shared" si="6"/>
        <v/>
      </c>
      <c r="M170" s="32" t="str">
        <f t="shared" si="7"/>
        <v/>
      </c>
      <c r="N170" s="44" t="str">
        <f t="shared" si="8"/>
        <v/>
      </c>
      <c r="O170" s="45" t="str">
        <f t="shared" si="9"/>
        <v/>
      </c>
      <c r="P170" s="5"/>
      <c r="Q170" s="5"/>
      <c r="R170" s="5"/>
    </row>
    <row r="171" ht="15.75" customHeight="1">
      <c r="A171" s="46"/>
      <c r="B171" s="47"/>
      <c r="C171" s="47"/>
      <c r="D171" s="47"/>
      <c r="E171" s="47"/>
      <c r="F171" s="48"/>
      <c r="G171" s="36" t="str">
        <f t="shared" si="1"/>
        <v/>
      </c>
      <c r="H171" s="37" t="str">
        <f t="shared" si="2"/>
        <v/>
      </c>
      <c r="I171" s="37" t="str">
        <f t="shared" si="3"/>
        <v/>
      </c>
      <c r="J171" s="37" t="str">
        <f t="shared" si="4"/>
        <v/>
      </c>
      <c r="K171" s="32" t="str">
        <f t="shared" si="5"/>
        <v/>
      </c>
      <c r="L171" s="32" t="str">
        <f t="shared" si="6"/>
        <v/>
      </c>
      <c r="M171" s="32" t="str">
        <f t="shared" si="7"/>
        <v/>
      </c>
      <c r="N171" s="44" t="str">
        <f t="shared" si="8"/>
        <v/>
      </c>
      <c r="O171" s="45" t="str">
        <f t="shared" si="9"/>
        <v/>
      </c>
      <c r="P171" s="5"/>
      <c r="Q171" s="5"/>
      <c r="R171" s="5"/>
    </row>
    <row r="172" ht="15.75" customHeight="1">
      <c r="A172" s="46"/>
      <c r="B172" s="47"/>
      <c r="C172" s="47"/>
      <c r="D172" s="47"/>
      <c r="E172" s="47"/>
      <c r="F172" s="48"/>
      <c r="G172" s="36" t="str">
        <f t="shared" si="1"/>
        <v/>
      </c>
      <c r="H172" s="37" t="str">
        <f t="shared" si="2"/>
        <v/>
      </c>
      <c r="I172" s="37" t="str">
        <f t="shared" si="3"/>
        <v/>
      </c>
      <c r="J172" s="37" t="str">
        <f t="shared" si="4"/>
        <v/>
      </c>
      <c r="K172" s="32" t="str">
        <f t="shared" si="5"/>
        <v/>
      </c>
      <c r="L172" s="32" t="str">
        <f t="shared" si="6"/>
        <v/>
      </c>
      <c r="M172" s="32" t="str">
        <f t="shared" si="7"/>
        <v/>
      </c>
      <c r="N172" s="44" t="str">
        <f t="shared" si="8"/>
        <v/>
      </c>
      <c r="O172" s="45" t="str">
        <f t="shared" si="9"/>
        <v/>
      </c>
      <c r="P172" s="5"/>
      <c r="Q172" s="5"/>
      <c r="R172" s="5"/>
    </row>
    <row r="173" ht="15.75" customHeight="1">
      <c r="A173" s="46"/>
      <c r="B173" s="47"/>
      <c r="C173" s="47"/>
      <c r="D173" s="47"/>
      <c r="E173" s="47"/>
      <c r="F173" s="48"/>
      <c r="G173" s="36" t="str">
        <f t="shared" si="1"/>
        <v/>
      </c>
      <c r="H173" s="37" t="str">
        <f t="shared" si="2"/>
        <v/>
      </c>
      <c r="I173" s="37" t="str">
        <f t="shared" si="3"/>
        <v/>
      </c>
      <c r="J173" s="37" t="str">
        <f t="shared" si="4"/>
        <v/>
      </c>
      <c r="K173" s="32" t="str">
        <f t="shared" si="5"/>
        <v/>
      </c>
      <c r="L173" s="32" t="str">
        <f t="shared" si="6"/>
        <v/>
      </c>
      <c r="M173" s="32" t="str">
        <f t="shared" si="7"/>
        <v/>
      </c>
      <c r="N173" s="44" t="str">
        <f t="shared" si="8"/>
        <v/>
      </c>
      <c r="O173" s="45" t="str">
        <f t="shared" si="9"/>
        <v/>
      </c>
      <c r="P173" s="5"/>
      <c r="Q173" s="5"/>
      <c r="R173" s="5"/>
    </row>
    <row r="174" ht="15.75" customHeight="1">
      <c r="A174" s="46"/>
      <c r="B174" s="47"/>
      <c r="C174" s="47"/>
      <c r="D174" s="47"/>
      <c r="E174" s="47"/>
      <c r="F174" s="48"/>
      <c r="G174" s="36" t="str">
        <f t="shared" si="1"/>
        <v/>
      </c>
      <c r="H174" s="37" t="str">
        <f t="shared" si="2"/>
        <v/>
      </c>
      <c r="I174" s="37" t="str">
        <f t="shared" si="3"/>
        <v/>
      </c>
      <c r="J174" s="37" t="str">
        <f t="shared" si="4"/>
        <v/>
      </c>
      <c r="K174" s="32" t="str">
        <f t="shared" si="5"/>
        <v/>
      </c>
      <c r="L174" s="32" t="str">
        <f t="shared" si="6"/>
        <v/>
      </c>
      <c r="M174" s="32" t="str">
        <f t="shared" si="7"/>
        <v/>
      </c>
      <c r="N174" s="44" t="str">
        <f t="shared" si="8"/>
        <v/>
      </c>
      <c r="O174" s="45" t="str">
        <f t="shared" si="9"/>
        <v/>
      </c>
      <c r="P174" s="5"/>
      <c r="Q174" s="5"/>
      <c r="R174" s="5"/>
    </row>
    <row r="175" ht="15.75" customHeight="1">
      <c r="A175" s="46"/>
      <c r="B175" s="47"/>
      <c r="C175" s="47"/>
      <c r="D175" s="47"/>
      <c r="E175" s="47"/>
      <c r="F175" s="48"/>
      <c r="G175" s="36" t="str">
        <f t="shared" si="1"/>
        <v/>
      </c>
      <c r="H175" s="37" t="str">
        <f t="shared" si="2"/>
        <v/>
      </c>
      <c r="I175" s="37" t="str">
        <f t="shared" si="3"/>
        <v/>
      </c>
      <c r="J175" s="37" t="str">
        <f t="shared" si="4"/>
        <v/>
      </c>
      <c r="K175" s="32" t="str">
        <f t="shared" si="5"/>
        <v/>
      </c>
      <c r="L175" s="32" t="str">
        <f t="shared" si="6"/>
        <v/>
      </c>
      <c r="M175" s="32" t="str">
        <f t="shared" si="7"/>
        <v/>
      </c>
      <c r="N175" s="44" t="str">
        <f t="shared" si="8"/>
        <v/>
      </c>
      <c r="O175" s="45" t="str">
        <f t="shared" si="9"/>
        <v/>
      </c>
      <c r="P175" s="5"/>
      <c r="Q175" s="5"/>
      <c r="R175" s="5"/>
    </row>
    <row r="176" ht="15.75" customHeight="1">
      <c r="A176" s="46"/>
      <c r="B176" s="47"/>
      <c r="C176" s="47"/>
      <c r="D176" s="47"/>
      <c r="E176" s="47"/>
      <c r="F176" s="48"/>
      <c r="G176" s="36" t="str">
        <f t="shared" si="1"/>
        <v/>
      </c>
      <c r="H176" s="37" t="str">
        <f t="shared" si="2"/>
        <v/>
      </c>
      <c r="I176" s="37" t="str">
        <f t="shared" si="3"/>
        <v/>
      </c>
      <c r="J176" s="37" t="str">
        <f t="shared" si="4"/>
        <v/>
      </c>
      <c r="K176" s="32" t="str">
        <f t="shared" si="5"/>
        <v/>
      </c>
      <c r="L176" s="32" t="str">
        <f t="shared" si="6"/>
        <v/>
      </c>
      <c r="M176" s="32" t="str">
        <f t="shared" si="7"/>
        <v/>
      </c>
      <c r="N176" s="44" t="str">
        <f t="shared" si="8"/>
        <v/>
      </c>
      <c r="O176" s="45" t="str">
        <f t="shared" si="9"/>
        <v/>
      </c>
      <c r="P176" s="5"/>
      <c r="Q176" s="5"/>
      <c r="R176" s="5"/>
    </row>
    <row r="177" ht="15.75" customHeight="1">
      <c r="A177" s="46"/>
      <c r="B177" s="47"/>
      <c r="C177" s="47"/>
      <c r="D177" s="47"/>
      <c r="E177" s="47"/>
      <c r="F177" s="48"/>
      <c r="G177" s="36" t="str">
        <f t="shared" si="1"/>
        <v/>
      </c>
      <c r="H177" s="37" t="str">
        <f t="shared" si="2"/>
        <v/>
      </c>
      <c r="I177" s="37" t="str">
        <f t="shared" si="3"/>
        <v/>
      </c>
      <c r="J177" s="37" t="str">
        <f t="shared" si="4"/>
        <v/>
      </c>
      <c r="K177" s="32" t="str">
        <f t="shared" si="5"/>
        <v/>
      </c>
      <c r="L177" s="32" t="str">
        <f t="shared" si="6"/>
        <v/>
      </c>
      <c r="M177" s="32" t="str">
        <f t="shared" si="7"/>
        <v/>
      </c>
      <c r="N177" s="44" t="str">
        <f t="shared" si="8"/>
        <v/>
      </c>
      <c r="O177" s="45" t="str">
        <f t="shared" si="9"/>
        <v/>
      </c>
      <c r="P177" s="5"/>
      <c r="Q177" s="5"/>
      <c r="R177" s="5"/>
    </row>
    <row r="178" ht="15.75" customHeight="1">
      <c r="A178" s="46"/>
      <c r="B178" s="47"/>
      <c r="C178" s="47"/>
      <c r="D178" s="47"/>
      <c r="E178" s="47"/>
      <c r="F178" s="48"/>
      <c r="G178" s="36" t="str">
        <f t="shared" si="1"/>
        <v/>
      </c>
      <c r="H178" s="37" t="str">
        <f t="shared" si="2"/>
        <v/>
      </c>
      <c r="I178" s="37" t="str">
        <f t="shared" si="3"/>
        <v/>
      </c>
      <c r="J178" s="37" t="str">
        <f t="shared" si="4"/>
        <v/>
      </c>
      <c r="K178" s="32" t="str">
        <f t="shared" si="5"/>
        <v/>
      </c>
      <c r="L178" s="32" t="str">
        <f t="shared" si="6"/>
        <v/>
      </c>
      <c r="M178" s="32" t="str">
        <f t="shared" si="7"/>
        <v/>
      </c>
      <c r="N178" s="44" t="str">
        <f t="shared" si="8"/>
        <v/>
      </c>
      <c r="O178" s="45" t="str">
        <f t="shared" si="9"/>
        <v/>
      </c>
      <c r="P178" s="5"/>
      <c r="Q178" s="5"/>
      <c r="R178" s="5"/>
    </row>
    <row r="179" ht="15.75" customHeight="1">
      <c r="A179" s="46"/>
      <c r="B179" s="47"/>
      <c r="C179" s="47"/>
      <c r="D179" s="47"/>
      <c r="E179" s="47"/>
      <c r="F179" s="48"/>
      <c r="G179" s="36" t="str">
        <f t="shared" si="1"/>
        <v/>
      </c>
      <c r="H179" s="37" t="str">
        <f t="shared" si="2"/>
        <v/>
      </c>
      <c r="I179" s="37" t="str">
        <f t="shared" si="3"/>
        <v/>
      </c>
      <c r="J179" s="37" t="str">
        <f t="shared" si="4"/>
        <v/>
      </c>
      <c r="K179" s="32" t="str">
        <f t="shared" si="5"/>
        <v/>
      </c>
      <c r="L179" s="32" t="str">
        <f t="shared" si="6"/>
        <v/>
      </c>
      <c r="M179" s="32" t="str">
        <f t="shared" si="7"/>
        <v/>
      </c>
      <c r="N179" s="44" t="str">
        <f t="shared" si="8"/>
        <v/>
      </c>
      <c r="O179" s="45" t="str">
        <f t="shared" si="9"/>
        <v/>
      </c>
      <c r="P179" s="5"/>
      <c r="Q179" s="5"/>
      <c r="R179" s="5"/>
    </row>
    <row r="180" ht="15.75" customHeight="1">
      <c r="A180" s="46"/>
      <c r="B180" s="47"/>
      <c r="C180" s="47"/>
      <c r="D180" s="47"/>
      <c r="E180" s="47"/>
      <c r="F180" s="48"/>
      <c r="G180" s="36" t="str">
        <f t="shared" si="1"/>
        <v/>
      </c>
      <c r="H180" s="37" t="str">
        <f t="shared" si="2"/>
        <v/>
      </c>
      <c r="I180" s="37" t="str">
        <f t="shared" si="3"/>
        <v/>
      </c>
      <c r="J180" s="37" t="str">
        <f t="shared" si="4"/>
        <v/>
      </c>
      <c r="K180" s="32" t="str">
        <f t="shared" si="5"/>
        <v/>
      </c>
      <c r="L180" s="32" t="str">
        <f t="shared" si="6"/>
        <v/>
      </c>
      <c r="M180" s="32" t="str">
        <f t="shared" si="7"/>
        <v/>
      </c>
      <c r="N180" s="44" t="str">
        <f t="shared" si="8"/>
        <v/>
      </c>
      <c r="O180" s="45" t="str">
        <f t="shared" si="9"/>
        <v/>
      </c>
      <c r="P180" s="5"/>
      <c r="Q180" s="5"/>
      <c r="R180" s="5"/>
    </row>
    <row r="181" ht="15.75" customHeight="1">
      <c r="A181" s="46"/>
      <c r="B181" s="47"/>
      <c r="C181" s="47"/>
      <c r="D181" s="47"/>
      <c r="E181" s="47"/>
      <c r="F181" s="48"/>
      <c r="G181" s="36" t="str">
        <f t="shared" si="1"/>
        <v/>
      </c>
      <c r="H181" s="37" t="str">
        <f t="shared" si="2"/>
        <v/>
      </c>
      <c r="I181" s="37" t="str">
        <f t="shared" si="3"/>
        <v/>
      </c>
      <c r="J181" s="37" t="str">
        <f t="shared" si="4"/>
        <v/>
      </c>
      <c r="K181" s="32" t="str">
        <f t="shared" si="5"/>
        <v/>
      </c>
      <c r="L181" s="32" t="str">
        <f t="shared" si="6"/>
        <v/>
      </c>
      <c r="M181" s="32" t="str">
        <f t="shared" si="7"/>
        <v/>
      </c>
      <c r="N181" s="44" t="str">
        <f t="shared" si="8"/>
        <v/>
      </c>
      <c r="O181" s="45" t="str">
        <f t="shared" si="9"/>
        <v/>
      </c>
      <c r="P181" s="5"/>
      <c r="Q181" s="5"/>
      <c r="R181" s="5"/>
    </row>
    <row r="182" ht="15.75" customHeight="1">
      <c r="A182" s="46"/>
      <c r="B182" s="47"/>
      <c r="C182" s="47"/>
      <c r="D182" s="47"/>
      <c r="E182" s="47"/>
      <c r="F182" s="48"/>
      <c r="G182" s="36" t="str">
        <f t="shared" si="1"/>
        <v/>
      </c>
      <c r="H182" s="37" t="str">
        <f t="shared" si="2"/>
        <v/>
      </c>
      <c r="I182" s="37" t="str">
        <f t="shared" si="3"/>
        <v/>
      </c>
      <c r="J182" s="37" t="str">
        <f t="shared" si="4"/>
        <v/>
      </c>
      <c r="K182" s="32" t="str">
        <f t="shared" si="5"/>
        <v/>
      </c>
      <c r="L182" s="32" t="str">
        <f t="shared" si="6"/>
        <v/>
      </c>
      <c r="M182" s="32" t="str">
        <f t="shared" si="7"/>
        <v/>
      </c>
      <c r="N182" s="44" t="str">
        <f t="shared" si="8"/>
        <v/>
      </c>
      <c r="O182" s="45" t="str">
        <f t="shared" si="9"/>
        <v/>
      </c>
      <c r="P182" s="5"/>
      <c r="Q182" s="5"/>
      <c r="R182" s="5"/>
    </row>
    <row r="183" ht="15.75" customHeight="1">
      <c r="A183" s="46"/>
      <c r="B183" s="47"/>
      <c r="C183" s="47"/>
      <c r="D183" s="47"/>
      <c r="E183" s="47"/>
      <c r="F183" s="48"/>
      <c r="G183" s="36" t="str">
        <f t="shared" si="1"/>
        <v/>
      </c>
      <c r="H183" s="37" t="str">
        <f t="shared" si="2"/>
        <v/>
      </c>
      <c r="I183" s="37" t="str">
        <f t="shared" si="3"/>
        <v/>
      </c>
      <c r="J183" s="37" t="str">
        <f t="shared" si="4"/>
        <v/>
      </c>
      <c r="K183" s="32" t="str">
        <f t="shared" si="5"/>
        <v/>
      </c>
      <c r="L183" s="32" t="str">
        <f t="shared" si="6"/>
        <v/>
      </c>
      <c r="M183" s="32" t="str">
        <f t="shared" si="7"/>
        <v/>
      </c>
      <c r="N183" s="44" t="str">
        <f t="shared" si="8"/>
        <v/>
      </c>
      <c r="O183" s="45" t="str">
        <f t="shared" si="9"/>
        <v/>
      </c>
      <c r="P183" s="5"/>
      <c r="Q183" s="5"/>
      <c r="R183" s="5"/>
    </row>
    <row r="184" ht="15.75" customHeight="1">
      <c r="A184" s="46"/>
      <c r="B184" s="47"/>
      <c r="C184" s="47"/>
      <c r="D184" s="47"/>
      <c r="E184" s="47"/>
      <c r="F184" s="48"/>
      <c r="G184" s="36" t="str">
        <f t="shared" si="1"/>
        <v/>
      </c>
      <c r="H184" s="37" t="str">
        <f t="shared" si="2"/>
        <v/>
      </c>
      <c r="I184" s="37" t="str">
        <f t="shared" si="3"/>
        <v/>
      </c>
      <c r="J184" s="37" t="str">
        <f t="shared" si="4"/>
        <v/>
      </c>
      <c r="K184" s="32" t="str">
        <f t="shared" si="5"/>
        <v/>
      </c>
      <c r="L184" s="32" t="str">
        <f t="shared" si="6"/>
        <v/>
      </c>
      <c r="M184" s="32" t="str">
        <f t="shared" si="7"/>
        <v/>
      </c>
      <c r="N184" s="44" t="str">
        <f t="shared" si="8"/>
        <v/>
      </c>
      <c r="O184" s="45" t="str">
        <f t="shared" si="9"/>
        <v/>
      </c>
      <c r="P184" s="5"/>
      <c r="Q184" s="5"/>
      <c r="R184" s="5"/>
    </row>
    <row r="185" ht="15.75" customHeight="1">
      <c r="A185" s="46"/>
      <c r="B185" s="47"/>
      <c r="C185" s="47"/>
      <c r="D185" s="47"/>
      <c r="E185" s="47"/>
      <c r="F185" s="48"/>
      <c r="G185" s="36" t="str">
        <f t="shared" si="1"/>
        <v/>
      </c>
      <c r="H185" s="37" t="str">
        <f t="shared" si="2"/>
        <v/>
      </c>
      <c r="I185" s="37" t="str">
        <f t="shared" si="3"/>
        <v/>
      </c>
      <c r="J185" s="37" t="str">
        <f t="shared" si="4"/>
        <v/>
      </c>
      <c r="K185" s="32" t="str">
        <f t="shared" si="5"/>
        <v/>
      </c>
      <c r="L185" s="32" t="str">
        <f t="shared" si="6"/>
        <v/>
      </c>
      <c r="M185" s="32" t="str">
        <f t="shared" si="7"/>
        <v/>
      </c>
      <c r="N185" s="44" t="str">
        <f t="shared" si="8"/>
        <v/>
      </c>
      <c r="O185" s="45" t="str">
        <f t="shared" si="9"/>
        <v/>
      </c>
      <c r="P185" s="5"/>
      <c r="Q185" s="5"/>
      <c r="R185" s="5"/>
    </row>
    <row r="186" ht="15.75" customHeight="1">
      <c r="A186" s="46"/>
      <c r="B186" s="47"/>
      <c r="C186" s="47"/>
      <c r="D186" s="47"/>
      <c r="E186" s="47"/>
      <c r="F186" s="48"/>
      <c r="G186" s="36" t="str">
        <f t="shared" si="1"/>
        <v/>
      </c>
      <c r="H186" s="37" t="str">
        <f t="shared" si="2"/>
        <v/>
      </c>
      <c r="I186" s="37" t="str">
        <f t="shared" si="3"/>
        <v/>
      </c>
      <c r="J186" s="37" t="str">
        <f t="shared" si="4"/>
        <v/>
      </c>
      <c r="K186" s="32" t="str">
        <f t="shared" si="5"/>
        <v/>
      </c>
      <c r="L186" s="32" t="str">
        <f t="shared" si="6"/>
        <v/>
      </c>
      <c r="M186" s="32" t="str">
        <f t="shared" si="7"/>
        <v/>
      </c>
      <c r="N186" s="44" t="str">
        <f t="shared" si="8"/>
        <v/>
      </c>
      <c r="O186" s="45" t="str">
        <f t="shared" si="9"/>
        <v/>
      </c>
      <c r="P186" s="5"/>
      <c r="Q186" s="5"/>
      <c r="R186" s="5"/>
    </row>
    <row r="187" ht="15.75" customHeight="1">
      <c r="A187" s="46"/>
      <c r="B187" s="47"/>
      <c r="C187" s="47"/>
      <c r="D187" s="47"/>
      <c r="E187" s="47"/>
      <c r="F187" s="48"/>
      <c r="G187" s="36" t="str">
        <f t="shared" si="1"/>
        <v/>
      </c>
      <c r="H187" s="37" t="str">
        <f t="shared" si="2"/>
        <v/>
      </c>
      <c r="I187" s="37" t="str">
        <f t="shared" si="3"/>
        <v/>
      </c>
      <c r="J187" s="37" t="str">
        <f t="shared" si="4"/>
        <v/>
      </c>
      <c r="K187" s="32" t="str">
        <f t="shared" si="5"/>
        <v/>
      </c>
      <c r="L187" s="32" t="str">
        <f t="shared" si="6"/>
        <v/>
      </c>
      <c r="M187" s="32" t="str">
        <f t="shared" si="7"/>
        <v/>
      </c>
      <c r="N187" s="44" t="str">
        <f t="shared" si="8"/>
        <v/>
      </c>
      <c r="O187" s="45" t="str">
        <f t="shared" si="9"/>
        <v/>
      </c>
      <c r="P187" s="5"/>
      <c r="Q187" s="5"/>
      <c r="R187" s="5"/>
    </row>
    <row r="188" ht="15.75" customHeight="1">
      <c r="A188" s="46"/>
      <c r="B188" s="47"/>
      <c r="C188" s="47"/>
      <c r="D188" s="47"/>
      <c r="E188" s="47"/>
      <c r="F188" s="48"/>
      <c r="G188" s="36" t="str">
        <f t="shared" si="1"/>
        <v/>
      </c>
      <c r="H188" s="37" t="str">
        <f t="shared" si="2"/>
        <v/>
      </c>
      <c r="I188" s="37" t="str">
        <f t="shared" si="3"/>
        <v/>
      </c>
      <c r="J188" s="37" t="str">
        <f t="shared" si="4"/>
        <v/>
      </c>
      <c r="K188" s="32" t="str">
        <f t="shared" si="5"/>
        <v/>
      </c>
      <c r="L188" s="32" t="str">
        <f t="shared" si="6"/>
        <v/>
      </c>
      <c r="M188" s="32" t="str">
        <f t="shared" si="7"/>
        <v/>
      </c>
      <c r="N188" s="44" t="str">
        <f t="shared" si="8"/>
        <v/>
      </c>
      <c r="O188" s="45" t="str">
        <f t="shared" si="9"/>
        <v/>
      </c>
      <c r="P188" s="5"/>
      <c r="Q188" s="5"/>
      <c r="R188" s="5"/>
    </row>
    <row r="189" ht="15.75" customHeight="1">
      <c r="A189" s="46"/>
      <c r="B189" s="47"/>
      <c r="C189" s="47"/>
      <c r="D189" s="47"/>
      <c r="E189" s="47"/>
      <c r="F189" s="48"/>
      <c r="G189" s="36" t="str">
        <f t="shared" si="1"/>
        <v/>
      </c>
      <c r="H189" s="37" t="str">
        <f t="shared" si="2"/>
        <v/>
      </c>
      <c r="I189" s="37" t="str">
        <f t="shared" si="3"/>
        <v/>
      </c>
      <c r="J189" s="37" t="str">
        <f t="shared" si="4"/>
        <v/>
      </c>
      <c r="K189" s="32" t="str">
        <f t="shared" si="5"/>
        <v/>
      </c>
      <c r="L189" s="32" t="str">
        <f t="shared" si="6"/>
        <v/>
      </c>
      <c r="M189" s="32" t="str">
        <f t="shared" si="7"/>
        <v/>
      </c>
      <c r="N189" s="44" t="str">
        <f t="shared" si="8"/>
        <v/>
      </c>
      <c r="O189" s="45" t="str">
        <f t="shared" si="9"/>
        <v/>
      </c>
      <c r="P189" s="5"/>
      <c r="Q189" s="5"/>
      <c r="R189" s="5"/>
    </row>
    <row r="190" ht="15.75" customHeight="1">
      <c r="A190" s="46"/>
      <c r="B190" s="47"/>
      <c r="C190" s="47"/>
      <c r="D190" s="47"/>
      <c r="E190" s="47"/>
      <c r="F190" s="48"/>
      <c r="G190" s="36" t="str">
        <f t="shared" si="1"/>
        <v/>
      </c>
      <c r="H190" s="37" t="str">
        <f t="shared" si="2"/>
        <v/>
      </c>
      <c r="I190" s="37" t="str">
        <f t="shared" si="3"/>
        <v/>
      </c>
      <c r="J190" s="37" t="str">
        <f t="shared" si="4"/>
        <v/>
      </c>
      <c r="K190" s="32" t="str">
        <f t="shared" si="5"/>
        <v/>
      </c>
      <c r="L190" s="32" t="str">
        <f t="shared" si="6"/>
        <v/>
      </c>
      <c r="M190" s="32" t="str">
        <f t="shared" si="7"/>
        <v/>
      </c>
      <c r="N190" s="44" t="str">
        <f t="shared" si="8"/>
        <v/>
      </c>
      <c r="O190" s="45" t="str">
        <f t="shared" si="9"/>
        <v/>
      </c>
      <c r="P190" s="5"/>
      <c r="Q190" s="5"/>
      <c r="R190" s="5"/>
    </row>
    <row r="191" ht="15.75" customHeight="1">
      <c r="A191" s="46"/>
      <c r="B191" s="47"/>
      <c r="C191" s="47"/>
      <c r="D191" s="47"/>
      <c r="E191" s="47"/>
      <c r="F191" s="48"/>
      <c r="G191" s="36" t="str">
        <f t="shared" si="1"/>
        <v/>
      </c>
      <c r="H191" s="37" t="str">
        <f t="shared" si="2"/>
        <v/>
      </c>
      <c r="I191" s="37" t="str">
        <f t="shared" si="3"/>
        <v/>
      </c>
      <c r="J191" s="37" t="str">
        <f t="shared" si="4"/>
        <v/>
      </c>
      <c r="K191" s="32" t="str">
        <f t="shared" si="5"/>
        <v/>
      </c>
      <c r="L191" s="32" t="str">
        <f t="shared" si="6"/>
        <v/>
      </c>
      <c r="M191" s="32" t="str">
        <f t="shared" si="7"/>
        <v/>
      </c>
      <c r="N191" s="44" t="str">
        <f t="shared" si="8"/>
        <v/>
      </c>
      <c r="O191" s="45" t="str">
        <f t="shared" si="9"/>
        <v/>
      </c>
      <c r="P191" s="5"/>
      <c r="Q191" s="5"/>
      <c r="R191" s="5"/>
    </row>
    <row r="192" ht="15.75" customHeight="1">
      <c r="A192" s="46"/>
      <c r="B192" s="47"/>
      <c r="C192" s="47"/>
      <c r="D192" s="47"/>
      <c r="E192" s="47"/>
      <c r="F192" s="48"/>
      <c r="G192" s="36" t="str">
        <f t="shared" si="1"/>
        <v/>
      </c>
      <c r="H192" s="37" t="str">
        <f t="shared" si="2"/>
        <v/>
      </c>
      <c r="I192" s="37" t="str">
        <f t="shared" si="3"/>
        <v/>
      </c>
      <c r="J192" s="37" t="str">
        <f t="shared" si="4"/>
        <v/>
      </c>
      <c r="K192" s="32" t="str">
        <f t="shared" si="5"/>
        <v/>
      </c>
      <c r="L192" s="32" t="str">
        <f t="shared" si="6"/>
        <v/>
      </c>
      <c r="M192" s="32" t="str">
        <f t="shared" si="7"/>
        <v/>
      </c>
      <c r="N192" s="44" t="str">
        <f t="shared" si="8"/>
        <v/>
      </c>
      <c r="O192" s="45" t="str">
        <f t="shared" si="9"/>
        <v/>
      </c>
      <c r="P192" s="5"/>
      <c r="Q192" s="5"/>
      <c r="R192" s="5"/>
    </row>
    <row r="193" ht="15.75" customHeight="1">
      <c r="A193" s="46"/>
      <c r="B193" s="47"/>
      <c r="C193" s="47"/>
      <c r="D193" s="47"/>
      <c r="E193" s="47"/>
      <c r="F193" s="48"/>
      <c r="G193" s="36" t="str">
        <f t="shared" si="1"/>
        <v/>
      </c>
      <c r="H193" s="37" t="str">
        <f t="shared" si="2"/>
        <v/>
      </c>
      <c r="I193" s="37" t="str">
        <f t="shared" si="3"/>
        <v/>
      </c>
      <c r="J193" s="37" t="str">
        <f t="shared" si="4"/>
        <v/>
      </c>
      <c r="K193" s="32" t="str">
        <f t="shared" si="5"/>
        <v/>
      </c>
      <c r="L193" s="32" t="str">
        <f t="shared" si="6"/>
        <v/>
      </c>
      <c r="M193" s="32" t="str">
        <f t="shared" si="7"/>
        <v/>
      </c>
      <c r="N193" s="44" t="str">
        <f t="shared" si="8"/>
        <v/>
      </c>
      <c r="O193" s="45" t="str">
        <f t="shared" si="9"/>
        <v/>
      </c>
      <c r="P193" s="5"/>
      <c r="Q193" s="5"/>
      <c r="R193" s="5"/>
    </row>
    <row r="194" ht="15.75" customHeight="1">
      <c r="A194" s="46"/>
      <c r="B194" s="47"/>
      <c r="C194" s="47"/>
      <c r="D194" s="47"/>
      <c r="E194" s="47"/>
      <c r="F194" s="48"/>
      <c r="G194" s="36" t="str">
        <f t="shared" si="1"/>
        <v/>
      </c>
      <c r="H194" s="37" t="str">
        <f t="shared" si="2"/>
        <v/>
      </c>
      <c r="I194" s="37" t="str">
        <f t="shared" si="3"/>
        <v/>
      </c>
      <c r="J194" s="37" t="str">
        <f t="shared" si="4"/>
        <v/>
      </c>
      <c r="K194" s="32" t="str">
        <f t="shared" si="5"/>
        <v/>
      </c>
      <c r="L194" s="32" t="str">
        <f t="shared" si="6"/>
        <v/>
      </c>
      <c r="M194" s="32" t="str">
        <f t="shared" si="7"/>
        <v/>
      </c>
      <c r="N194" s="44" t="str">
        <f t="shared" si="8"/>
        <v/>
      </c>
      <c r="O194" s="45" t="str">
        <f t="shared" si="9"/>
        <v/>
      </c>
      <c r="P194" s="5"/>
      <c r="Q194" s="5"/>
      <c r="R194" s="5"/>
    </row>
    <row r="195" ht="15.75" customHeight="1">
      <c r="A195" s="46"/>
      <c r="B195" s="47"/>
      <c r="C195" s="47"/>
      <c r="D195" s="47"/>
      <c r="E195" s="47"/>
      <c r="F195" s="48"/>
      <c r="G195" s="36" t="str">
        <f t="shared" si="1"/>
        <v/>
      </c>
      <c r="H195" s="37" t="str">
        <f t="shared" si="2"/>
        <v/>
      </c>
      <c r="I195" s="37" t="str">
        <f t="shared" si="3"/>
        <v/>
      </c>
      <c r="J195" s="37" t="str">
        <f t="shared" si="4"/>
        <v/>
      </c>
      <c r="K195" s="32" t="str">
        <f t="shared" si="5"/>
        <v/>
      </c>
      <c r="L195" s="32" t="str">
        <f t="shared" si="6"/>
        <v/>
      </c>
      <c r="M195" s="32" t="str">
        <f t="shared" si="7"/>
        <v/>
      </c>
      <c r="N195" s="44" t="str">
        <f t="shared" si="8"/>
        <v/>
      </c>
      <c r="O195" s="45" t="str">
        <f t="shared" si="9"/>
        <v/>
      </c>
      <c r="P195" s="5"/>
      <c r="Q195" s="5"/>
      <c r="R195" s="5"/>
    </row>
    <row r="196" ht="15.75" customHeight="1">
      <c r="A196" s="46"/>
      <c r="B196" s="47"/>
      <c r="C196" s="47"/>
      <c r="D196" s="47"/>
      <c r="E196" s="47"/>
      <c r="F196" s="48"/>
      <c r="G196" s="36" t="str">
        <f t="shared" si="1"/>
        <v/>
      </c>
      <c r="H196" s="37" t="str">
        <f t="shared" si="2"/>
        <v/>
      </c>
      <c r="I196" s="37" t="str">
        <f t="shared" si="3"/>
        <v/>
      </c>
      <c r="J196" s="37" t="str">
        <f t="shared" si="4"/>
        <v/>
      </c>
      <c r="K196" s="32" t="str">
        <f t="shared" si="5"/>
        <v/>
      </c>
      <c r="L196" s="32" t="str">
        <f t="shared" si="6"/>
        <v/>
      </c>
      <c r="M196" s="32" t="str">
        <f t="shared" si="7"/>
        <v/>
      </c>
      <c r="N196" s="44" t="str">
        <f t="shared" si="8"/>
        <v/>
      </c>
      <c r="O196" s="45" t="str">
        <f t="shared" si="9"/>
        <v/>
      </c>
      <c r="P196" s="5"/>
      <c r="Q196" s="5"/>
      <c r="R196" s="5"/>
    </row>
    <row r="197" ht="15.75" customHeight="1">
      <c r="A197" s="46"/>
      <c r="B197" s="47"/>
      <c r="C197" s="47"/>
      <c r="D197" s="47"/>
      <c r="E197" s="47"/>
      <c r="F197" s="48"/>
      <c r="G197" s="36" t="str">
        <f t="shared" si="1"/>
        <v/>
      </c>
      <c r="H197" s="37" t="str">
        <f t="shared" si="2"/>
        <v/>
      </c>
      <c r="I197" s="37" t="str">
        <f t="shared" si="3"/>
        <v/>
      </c>
      <c r="J197" s="37" t="str">
        <f t="shared" si="4"/>
        <v/>
      </c>
      <c r="K197" s="32" t="str">
        <f t="shared" si="5"/>
        <v/>
      </c>
      <c r="L197" s="32" t="str">
        <f t="shared" si="6"/>
        <v/>
      </c>
      <c r="M197" s="32" t="str">
        <f t="shared" si="7"/>
        <v/>
      </c>
      <c r="N197" s="44" t="str">
        <f t="shared" si="8"/>
        <v/>
      </c>
      <c r="O197" s="45" t="str">
        <f t="shared" si="9"/>
        <v/>
      </c>
      <c r="P197" s="5"/>
      <c r="Q197" s="5"/>
      <c r="R197" s="5"/>
    </row>
    <row r="198" ht="15.75" customHeight="1">
      <c r="A198" s="46"/>
      <c r="B198" s="47"/>
      <c r="C198" s="47"/>
      <c r="D198" s="47"/>
      <c r="E198" s="47"/>
      <c r="F198" s="48"/>
      <c r="G198" s="36" t="str">
        <f t="shared" si="1"/>
        <v/>
      </c>
      <c r="H198" s="37" t="str">
        <f t="shared" si="2"/>
        <v/>
      </c>
      <c r="I198" s="37" t="str">
        <f t="shared" si="3"/>
        <v/>
      </c>
      <c r="J198" s="37" t="str">
        <f t="shared" si="4"/>
        <v/>
      </c>
      <c r="K198" s="32" t="str">
        <f t="shared" si="5"/>
        <v/>
      </c>
      <c r="L198" s="32" t="str">
        <f t="shared" si="6"/>
        <v/>
      </c>
      <c r="M198" s="32" t="str">
        <f t="shared" si="7"/>
        <v/>
      </c>
      <c r="N198" s="44" t="str">
        <f t="shared" si="8"/>
        <v/>
      </c>
      <c r="O198" s="45" t="str">
        <f t="shared" si="9"/>
        <v/>
      </c>
      <c r="P198" s="5"/>
      <c r="Q198" s="5"/>
      <c r="R198" s="5"/>
    </row>
    <row r="199" ht="15.75" customHeight="1">
      <c r="A199" s="46"/>
      <c r="B199" s="47"/>
      <c r="C199" s="47"/>
      <c r="D199" s="47"/>
      <c r="E199" s="47"/>
      <c r="F199" s="48"/>
      <c r="G199" s="36" t="str">
        <f t="shared" si="1"/>
        <v/>
      </c>
      <c r="H199" s="37" t="str">
        <f t="shared" si="2"/>
        <v/>
      </c>
      <c r="I199" s="37" t="str">
        <f t="shared" si="3"/>
        <v/>
      </c>
      <c r="J199" s="37" t="str">
        <f t="shared" si="4"/>
        <v/>
      </c>
      <c r="K199" s="32" t="str">
        <f t="shared" si="5"/>
        <v/>
      </c>
      <c r="L199" s="32" t="str">
        <f t="shared" si="6"/>
        <v/>
      </c>
      <c r="M199" s="32" t="str">
        <f t="shared" si="7"/>
        <v/>
      </c>
      <c r="N199" s="44" t="str">
        <f t="shared" si="8"/>
        <v/>
      </c>
      <c r="O199" s="45" t="str">
        <f t="shared" si="9"/>
        <v/>
      </c>
      <c r="P199" s="5"/>
      <c r="Q199" s="5"/>
      <c r="R199" s="5"/>
    </row>
    <row r="200" ht="15.75" customHeight="1">
      <c r="A200" s="46"/>
      <c r="B200" s="47"/>
      <c r="C200" s="47"/>
      <c r="D200" s="47"/>
      <c r="E200" s="47"/>
      <c r="F200" s="48"/>
      <c r="G200" s="36" t="str">
        <f t="shared" si="1"/>
        <v/>
      </c>
      <c r="H200" s="37" t="str">
        <f t="shared" si="2"/>
        <v/>
      </c>
      <c r="I200" s="37" t="str">
        <f t="shared" si="3"/>
        <v/>
      </c>
      <c r="J200" s="37" t="str">
        <f t="shared" si="4"/>
        <v/>
      </c>
      <c r="K200" s="32" t="str">
        <f t="shared" si="5"/>
        <v/>
      </c>
      <c r="L200" s="32" t="str">
        <f t="shared" si="6"/>
        <v/>
      </c>
      <c r="M200" s="32" t="str">
        <f t="shared" si="7"/>
        <v/>
      </c>
      <c r="N200" s="44" t="str">
        <f t="shared" si="8"/>
        <v/>
      </c>
      <c r="O200" s="45" t="str">
        <f t="shared" si="9"/>
        <v/>
      </c>
      <c r="P200" s="5"/>
      <c r="Q200" s="5"/>
      <c r="R200" s="5"/>
    </row>
    <row r="201" ht="15.75" customHeight="1">
      <c r="A201" s="46"/>
      <c r="B201" s="47"/>
      <c r="C201" s="47"/>
      <c r="D201" s="47"/>
      <c r="E201" s="47"/>
      <c r="F201" s="48"/>
      <c r="G201" s="36" t="str">
        <f t="shared" si="1"/>
        <v/>
      </c>
      <c r="H201" s="37" t="str">
        <f t="shared" si="2"/>
        <v/>
      </c>
      <c r="I201" s="37" t="str">
        <f t="shared" si="3"/>
        <v/>
      </c>
      <c r="J201" s="37" t="str">
        <f t="shared" si="4"/>
        <v/>
      </c>
      <c r="K201" s="32" t="str">
        <f t="shared" si="5"/>
        <v/>
      </c>
      <c r="L201" s="32" t="str">
        <f t="shared" si="6"/>
        <v/>
      </c>
      <c r="M201" s="32" t="str">
        <f t="shared" si="7"/>
        <v/>
      </c>
      <c r="N201" s="44" t="str">
        <f t="shared" si="8"/>
        <v/>
      </c>
      <c r="O201" s="45" t="str">
        <f t="shared" si="9"/>
        <v/>
      </c>
      <c r="P201" s="5"/>
      <c r="Q201" s="5"/>
      <c r="R201" s="5"/>
    </row>
    <row r="202" ht="15.75" customHeight="1">
      <c r="A202" s="46"/>
      <c r="B202" s="47"/>
      <c r="C202" s="47"/>
      <c r="D202" s="47"/>
      <c r="E202" s="47"/>
      <c r="F202" s="48"/>
      <c r="G202" s="36" t="str">
        <f t="shared" si="1"/>
        <v/>
      </c>
      <c r="H202" s="37" t="str">
        <f t="shared" si="2"/>
        <v/>
      </c>
      <c r="I202" s="37" t="str">
        <f t="shared" si="3"/>
        <v/>
      </c>
      <c r="J202" s="37" t="str">
        <f t="shared" si="4"/>
        <v/>
      </c>
      <c r="K202" s="32" t="str">
        <f t="shared" si="5"/>
        <v/>
      </c>
      <c r="L202" s="32" t="str">
        <f t="shared" si="6"/>
        <v/>
      </c>
      <c r="M202" s="32" t="str">
        <f t="shared" si="7"/>
        <v/>
      </c>
      <c r="N202" s="44" t="str">
        <f t="shared" si="8"/>
        <v/>
      </c>
      <c r="O202" s="45" t="str">
        <f t="shared" si="9"/>
        <v/>
      </c>
      <c r="P202" s="5"/>
      <c r="Q202" s="5"/>
      <c r="R202" s="5"/>
    </row>
    <row r="203" ht="15.75" customHeight="1">
      <c r="A203" s="46"/>
      <c r="B203" s="47"/>
      <c r="C203" s="47"/>
      <c r="D203" s="47"/>
      <c r="E203" s="47"/>
      <c r="F203" s="48"/>
      <c r="G203" s="36" t="str">
        <f t="shared" si="1"/>
        <v/>
      </c>
      <c r="H203" s="37" t="str">
        <f t="shared" si="2"/>
        <v/>
      </c>
      <c r="I203" s="37" t="str">
        <f t="shared" si="3"/>
        <v/>
      </c>
      <c r="J203" s="37" t="str">
        <f t="shared" si="4"/>
        <v/>
      </c>
      <c r="K203" s="32" t="str">
        <f t="shared" si="5"/>
        <v/>
      </c>
      <c r="L203" s="32" t="str">
        <f t="shared" si="6"/>
        <v/>
      </c>
      <c r="M203" s="32" t="str">
        <f t="shared" si="7"/>
        <v/>
      </c>
      <c r="N203" s="44" t="str">
        <f t="shared" si="8"/>
        <v/>
      </c>
      <c r="O203" s="45" t="str">
        <f t="shared" si="9"/>
        <v/>
      </c>
      <c r="P203" s="5"/>
      <c r="Q203" s="5"/>
      <c r="R203" s="5"/>
    </row>
    <row r="204" ht="15.75" customHeight="1">
      <c r="A204" s="46"/>
      <c r="B204" s="47"/>
      <c r="C204" s="47"/>
      <c r="D204" s="47"/>
      <c r="E204" s="47"/>
      <c r="F204" s="48"/>
      <c r="G204" s="36" t="str">
        <f t="shared" si="1"/>
        <v/>
      </c>
      <c r="H204" s="37" t="str">
        <f t="shared" si="2"/>
        <v/>
      </c>
      <c r="I204" s="37" t="str">
        <f t="shared" si="3"/>
        <v/>
      </c>
      <c r="J204" s="37" t="str">
        <f t="shared" si="4"/>
        <v/>
      </c>
      <c r="K204" s="32" t="str">
        <f t="shared" si="5"/>
        <v/>
      </c>
      <c r="L204" s="32" t="str">
        <f t="shared" si="6"/>
        <v/>
      </c>
      <c r="M204" s="32" t="str">
        <f t="shared" si="7"/>
        <v/>
      </c>
      <c r="N204" s="44" t="str">
        <f t="shared" si="8"/>
        <v/>
      </c>
      <c r="O204" s="45" t="str">
        <f t="shared" si="9"/>
        <v/>
      </c>
      <c r="P204" s="5"/>
      <c r="Q204" s="5"/>
      <c r="R204" s="5"/>
    </row>
    <row r="205" ht="15.75" customHeight="1">
      <c r="A205" s="46"/>
      <c r="B205" s="47"/>
      <c r="C205" s="47"/>
      <c r="D205" s="47"/>
      <c r="E205" s="47"/>
      <c r="F205" s="48"/>
      <c r="G205" s="36" t="str">
        <f t="shared" si="1"/>
        <v/>
      </c>
      <c r="H205" s="37" t="str">
        <f t="shared" si="2"/>
        <v/>
      </c>
      <c r="I205" s="37" t="str">
        <f t="shared" si="3"/>
        <v/>
      </c>
      <c r="J205" s="37" t="str">
        <f t="shared" si="4"/>
        <v/>
      </c>
      <c r="K205" s="32" t="str">
        <f t="shared" si="5"/>
        <v/>
      </c>
      <c r="L205" s="32" t="str">
        <f t="shared" si="6"/>
        <v/>
      </c>
      <c r="M205" s="32" t="str">
        <f t="shared" si="7"/>
        <v/>
      </c>
      <c r="N205" s="44" t="str">
        <f t="shared" si="8"/>
        <v/>
      </c>
      <c r="O205" s="45" t="str">
        <f t="shared" si="9"/>
        <v/>
      </c>
      <c r="P205" s="5"/>
      <c r="Q205" s="5"/>
      <c r="R205" s="5"/>
    </row>
    <row r="206" ht="15.75" customHeight="1">
      <c r="A206" s="46"/>
      <c r="B206" s="47"/>
      <c r="C206" s="47"/>
      <c r="D206" s="47"/>
      <c r="E206" s="47"/>
      <c r="F206" s="48"/>
      <c r="G206" s="36" t="str">
        <f t="shared" si="1"/>
        <v/>
      </c>
      <c r="H206" s="37" t="str">
        <f t="shared" si="2"/>
        <v/>
      </c>
      <c r="I206" s="37" t="str">
        <f t="shared" si="3"/>
        <v/>
      </c>
      <c r="J206" s="37" t="str">
        <f t="shared" si="4"/>
        <v/>
      </c>
      <c r="K206" s="32" t="str">
        <f t="shared" si="5"/>
        <v/>
      </c>
      <c r="L206" s="32" t="str">
        <f t="shared" si="6"/>
        <v/>
      </c>
      <c r="M206" s="32" t="str">
        <f t="shared" si="7"/>
        <v/>
      </c>
      <c r="N206" s="44" t="str">
        <f t="shared" si="8"/>
        <v/>
      </c>
      <c r="O206" s="45" t="str">
        <f t="shared" si="9"/>
        <v/>
      </c>
      <c r="P206" s="5"/>
      <c r="Q206" s="5"/>
      <c r="R206" s="5"/>
    </row>
    <row r="207" ht="15.75" customHeight="1">
      <c r="A207" s="46"/>
      <c r="B207" s="47"/>
      <c r="C207" s="47"/>
      <c r="D207" s="47"/>
      <c r="E207" s="47"/>
      <c r="F207" s="48"/>
      <c r="G207" s="36" t="str">
        <f t="shared" si="1"/>
        <v/>
      </c>
      <c r="H207" s="37" t="str">
        <f t="shared" si="2"/>
        <v/>
      </c>
      <c r="I207" s="37" t="str">
        <f t="shared" si="3"/>
        <v/>
      </c>
      <c r="J207" s="37" t="str">
        <f t="shared" si="4"/>
        <v/>
      </c>
      <c r="K207" s="32" t="str">
        <f t="shared" si="5"/>
        <v/>
      </c>
      <c r="L207" s="32" t="str">
        <f t="shared" si="6"/>
        <v/>
      </c>
      <c r="M207" s="32" t="str">
        <f t="shared" si="7"/>
        <v/>
      </c>
      <c r="N207" s="44" t="str">
        <f t="shared" si="8"/>
        <v/>
      </c>
      <c r="O207" s="45" t="str">
        <f t="shared" si="9"/>
        <v/>
      </c>
      <c r="P207" s="5"/>
      <c r="Q207" s="5"/>
      <c r="R207" s="5"/>
    </row>
    <row r="208" ht="15.75" customHeight="1">
      <c r="A208" s="46"/>
      <c r="B208" s="47"/>
      <c r="C208" s="47"/>
      <c r="D208" s="47"/>
      <c r="E208" s="47"/>
      <c r="F208" s="48"/>
      <c r="G208" s="36" t="str">
        <f t="shared" si="1"/>
        <v/>
      </c>
      <c r="H208" s="37" t="str">
        <f t="shared" si="2"/>
        <v/>
      </c>
      <c r="I208" s="37" t="str">
        <f t="shared" si="3"/>
        <v/>
      </c>
      <c r="J208" s="37" t="str">
        <f t="shared" si="4"/>
        <v/>
      </c>
      <c r="K208" s="32" t="str">
        <f t="shared" si="5"/>
        <v/>
      </c>
      <c r="L208" s="32" t="str">
        <f t="shared" si="6"/>
        <v/>
      </c>
      <c r="M208" s="32" t="str">
        <f t="shared" si="7"/>
        <v/>
      </c>
      <c r="N208" s="44" t="str">
        <f t="shared" si="8"/>
        <v/>
      </c>
      <c r="O208" s="45" t="str">
        <f t="shared" si="9"/>
        <v/>
      </c>
      <c r="P208" s="5"/>
      <c r="Q208" s="5"/>
      <c r="R208" s="5"/>
    </row>
    <row r="209" ht="15.75" customHeight="1">
      <c r="A209" s="46"/>
      <c r="B209" s="47"/>
      <c r="C209" s="47"/>
      <c r="D209" s="47"/>
      <c r="E209" s="47"/>
      <c r="F209" s="48"/>
      <c r="G209" s="36" t="str">
        <f t="shared" si="1"/>
        <v/>
      </c>
      <c r="H209" s="37" t="str">
        <f t="shared" si="2"/>
        <v/>
      </c>
      <c r="I209" s="37" t="str">
        <f t="shared" si="3"/>
        <v/>
      </c>
      <c r="J209" s="37" t="str">
        <f t="shared" si="4"/>
        <v/>
      </c>
      <c r="K209" s="32" t="str">
        <f t="shared" si="5"/>
        <v/>
      </c>
      <c r="L209" s="32" t="str">
        <f t="shared" si="6"/>
        <v/>
      </c>
      <c r="M209" s="32" t="str">
        <f t="shared" si="7"/>
        <v/>
      </c>
      <c r="N209" s="44" t="str">
        <f t="shared" si="8"/>
        <v/>
      </c>
      <c r="O209" s="45" t="str">
        <f t="shared" si="9"/>
        <v/>
      </c>
      <c r="P209" s="5"/>
      <c r="Q209" s="5"/>
      <c r="R209" s="5"/>
    </row>
    <row r="210" ht="15.75" customHeight="1">
      <c r="A210" s="46"/>
      <c r="B210" s="47"/>
      <c r="C210" s="47"/>
      <c r="D210" s="47"/>
      <c r="E210" s="47"/>
      <c r="F210" s="48"/>
      <c r="G210" s="36" t="str">
        <f t="shared" si="1"/>
        <v/>
      </c>
      <c r="H210" s="37" t="str">
        <f t="shared" si="2"/>
        <v/>
      </c>
      <c r="I210" s="37" t="str">
        <f t="shared" si="3"/>
        <v/>
      </c>
      <c r="J210" s="37" t="str">
        <f t="shared" si="4"/>
        <v/>
      </c>
      <c r="K210" s="32" t="str">
        <f t="shared" si="5"/>
        <v/>
      </c>
      <c r="L210" s="32" t="str">
        <f t="shared" si="6"/>
        <v/>
      </c>
      <c r="M210" s="32" t="str">
        <f t="shared" si="7"/>
        <v/>
      </c>
      <c r="N210" s="44" t="str">
        <f t="shared" si="8"/>
        <v/>
      </c>
      <c r="O210" s="45" t="str">
        <f t="shared" si="9"/>
        <v/>
      </c>
      <c r="P210" s="5"/>
      <c r="Q210" s="5"/>
      <c r="R210" s="5"/>
    </row>
    <row r="211" ht="15.75" customHeight="1">
      <c r="A211" s="46"/>
      <c r="B211" s="47"/>
      <c r="C211" s="47"/>
      <c r="D211" s="47"/>
      <c r="E211" s="47"/>
      <c r="F211" s="48"/>
      <c r="G211" s="36" t="str">
        <f t="shared" si="1"/>
        <v/>
      </c>
      <c r="H211" s="37" t="str">
        <f t="shared" si="2"/>
        <v/>
      </c>
      <c r="I211" s="37" t="str">
        <f t="shared" si="3"/>
        <v/>
      </c>
      <c r="J211" s="37" t="str">
        <f t="shared" si="4"/>
        <v/>
      </c>
      <c r="K211" s="32" t="str">
        <f t="shared" si="5"/>
        <v/>
      </c>
      <c r="L211" s="32" t="str">
        <f t="shared" si="6"/>
        <v/>
      </c>
      <c r="M211" s="32" t="str">
        <f t="shared" si="7"/>
        <v/>
      </c>
      <c r="N211" s="44" t="str">
        <f t="shared" si="8"/>
        <v/>
      </c>
      <c r="O211" s="45" t="str">
        <f t="shared" si="9"/>
        <v/>
      </c>
      <c r="P211" s="5"/>
      <c r="Q211" s="5"/>
      <c r="R211" s="5"/>
    </row>
    <row r="212" ht="15.75" customHeight="1">
      <c r="A212" s="46"/>
      <c r="B212" s="47"/>
      <c r="C212" s="47"/>
      <c r="D212" s="47"/>
      <c r="E212" s="47"/>
      <c r="F212" s="48"/>
      <c r="G212" s="36" t="str">
        <f t="shared" si="1"/>
        <v/>
      </c>
      <c r="H212" s="37" t="str">
        <f t="shared" si="2"/>
        <v/>
      </c>
      <c r="I212" s="37" t="str">
        <f t="shared" si="3"/>
        <v/>
      </c>
      <c r="J212" s="37" t="str">
        <f t="shared" si="4"/>
        <v/>
      </c>
      <c r="K212" s="32" t="str">
        <f t="shared" si="5"/>
        <v/>
      </c>
      <c r="L212" s="32" t="str">
        <f t="shared" si="6"/>
        <v/>
      </c>
      <c r="M212" s="32" t="str">
        <f t="shared" si="7"/>
        <v/>
      </c>
      <c r="N212" s="44" t="str">
        <f t="shared" si="8"/>
        <v/>
      </c>
      <c r="O212" s="45" t="str">
        <f t="shared" si="9"/>
        <v/>
      </c>
      <c r="P212" s="5"/>
      <c r="Q212" s="5"/>
      <c r="R212" s="5"/>
    </row>
    <row r="213" ht="15.75" customHeight="1">
      <c r="A213" s="46"/>
      <c r="B213" s="47"/>
      <c r="C213" s="47"/>
      <c r="D213" s="47"/>
      <c r="E213" s="47"/>
      <c r="F213" s="48"/>
      <c r="G213" s="36" t="str">
        <f t="shared" si="1"/>
        <v/>
      </c>
      <c r="H213" s="37" t="str">
        <f t="shared" si="2"/>
        <v/>
      </c>
      <c r="I213" s="37" t="str">
        <f t="shared" si="3"/>
        <v/>
      </c>
      <c r="J213" s="37" t="str">
        <f t="shared" si="4"/>
        <v/>
      </c>
      <c r="K213" s="32" t="str">
        <f t="shared" si="5"/>
        <v/>
      </c>
      <c r="L213" s="32" t="str">
        <f t="shared" si="6"/>
        <v/>
      </c>
      <c r="M213" s="32" t="str">
        <f t="shared" si="7"/>
        <v/>
      </c>
      <c r="N213" s="44" t="str">
        <f t="shared" si="8"/>
        <v/>
      </c>
      <c r="O213" s="45" t="str">
        <f t="shared" si="9"/>
        <v/>
      </c>
      <c r="P213" s="5"/>
      <c r="Q213" s="5"/>
      <c r="R213" s="5"/>
    </row>
    <row r="214" ht="15.75" customHeight="1">
      <c r="A214" s="46"/>
      <c r="B214" s="47"/>
      <c r="C214" s="47"/>
      <c r="D214" s="47"/>
      <c r="E214" s="47"/>
      <c r="F214" s="48"/>
      <c r="G214" s="36" t="str">
        <f t="shared" si="1"/>
        <v/>
      </c>
      <c r="H214" s="37" t="str">
        <f t="shared" si="2"/>
        <v/>
      </c>
      <c r="I214" s="37" t="str">
        <f t="shared" si="3"/>
        <v/>
      </c>
      <c r="J214" s="37" t="str">
        <f t="shared" si="4"/>
        <v/>
      </c>
      <c r="K214" s="32" t="str">
        <f t="shared" si="5"/>
        <v/>
      </c>
      <c r="L214" s="32" t="str">
        <f t="shared" si="6"/>
        <v/>
      </c>
      <c r="M214" s="32" t="str">
        <f t="shared" si="7"/>
        <v/>
      </c>
      <c r="N214" s="44" t="str">
        <f t="shared" si="8"/>
        <v/>
      </c>
      <c r="O214" s="45" t="str">
        <f t="shared" si="9"/>
        <v/>
      </c>
      <c r="P214" s="5"/>
      <c r="Q214" s="5"/>
      <c r="R214" s="5"/>
    </row>
    <row r="215" ht="15.75" customHeight="1">
      <c r="A215" s="46"/>
      <c r="B215" s="47"/>
      <c r="C215" s="47"/>
      <c r="D215" s="47"/>
      <c r="E215" s="47"/>
      <c r="F215" s="48"/>
      <c r="G215" s="36" t="str">
        <f t="shared" si="1"/>
        <v/>
      </c>
      <c r="H215" s="37" t="str">
        <f t="shared" si="2"/>
        <v/>
      </c>
      <c r="I215" s="37" t="str">
        <f t="shared" si="3"/>
        <v/>
      </c>
      <c r="J215" s="37" t="str">
        <f t="shared" si="4"/>
        <v/>
      </c>
      <c r="K215" s="32" t="str">
        <f t="shared" si="5"/>
        <v/>
      </c>
      <c r="L215" s="32" t="str">
        <f t="shared" si="6"/>
        <v/>
      </c>
      <c r="M215" s="32" t="str">
        <f t="shared" si="7"/>
        <v/>
      </c>
      <c r="N215" s="44" t="str">
        <f t="shared" si="8"/>
        <v/>
      </c>
      <c r="O215" s="45" t="str">
        <f t="shared" si="9"/>
        <v/>
      </c>
      <c r="P215" s="5"/>
      <c r="Q215" s="5"/>
      <c r="R215" s="5"/>
    </row>
    <row r="216" ht="15.75" customHeight="1">
      <c r="A216" s="46"/>
      <c r="B216" s="47"/>
      <c r="C216" s="47"/>
      <c r="D216" s="47"/>
      <c r="E216" s="47"/>
      <c r="F216" s="48"/>
      <c r="G216" s="36" t="str">
        <f t="shared" si="1"/>
        <v/>
      </c>
      <c r="H216" s="37" t="str">
        <f t="shared" si="2"/>
        <v/>
      </c>
      <c r="I216" s="37" t="str">
        <f t="shared" si="3"/>
        <v/>
      </c>
      <c r="J216" s="37" t="str">
        <f t="shared" si="4"/>
        <v/>
      </c>
      <c r="K216" s="32" t="str">
        <f t="shared" si="5"/>
        <v/>
      </c>
      <c r="L216" s="32" t="str">
        <f t="shared" si="6"/>
        <v/>
      </c>
      <c r="M216" s="32" t="str">
        <f t="shared" si="7"/>
        <v/>
      </c>
      <c r="N216" s="44" t="str">
        <f t="shared" si="8"/>
        <v/>
      </c>
      <c r="O216" s="45" t="str">
        <f t="shared" si="9"/>
        <v/>
      </c>
      <c r="P216" s="5"/>
      <c r="Q216" s="5"/>
      <c r="R216" s="5"/>
    </row>
    <row r="217" ht="15.75" customHeight="1">
      <c r="A217" s="46"/>
      <c r="B217" s="47"/>
      <c r="C217" s="47"/>
      <c r="D217" s="47"/>
      <c r="E217" s="47"/>
      <c r="F217" s="48"/>
      <c r="G217" s="36" t="str">
        <f t="shared" si="1"/>
        <v/>
      </c>
      <c r="H217" s="37" t="str">
        <f t="shared" si="2"/>
        <v/>
      </c>
      <c r="I217" s="37" t="str">
        <f t="shared" si="3"/>
        <v/>
      </c>
      <c r="J217" s="37" t="str">
        <f t="shared" si="4"/>
        <v/>
      </c>
      <c r="K217" s="32" t="str">
        <f t="shared" si="5"/>
        <v/>
      </c>
      <c r="L217" s="32" t="str">
        <f t="shared" si="6"/>
        <v/>
      </c>
      <c r="M217" s="32" t="str">
        <f t="shared" si="7"/>
        <v/>
      </c>
      <c r="N217" s="44" t="str">
        <f t="shared" si="8"/>
        <v/>
      </c>
      <c r="O217" s="45" t="str">
        <f t="shared" si="9"/>
        <v/>
      </c>
      <c r="P217" s="5"/>
      <c r="Q217" s="5"/>
      <c r="R217" s="5"/>
    </row>
    <row r="218" ht="15.75" customHeight="1">
      <c r="A218" s="46"/>
      <c r="B218" s="47"/>
      <c r="C218" s="47"/>
      <c r="D218" s="47"/>
      <c r="E218" s="47"/>
      <c r="F218" s="48"/>
      <c r="G218" s="36" t="str">
        <f t="shared" si="1"/>
        <v/>
      </c>
      <c r="H218" s="37" t="str">
        <f t="shared" si="2"/>
        <v/>
      </c>
      <c r="I218" s="37" t="str">
        <f t="shared" si="3"/>
        <v/>
      </c>
      <c r="J218" s="37" t="str">
        <f t="shared" si="4"/>
        <v/>
      </c>
      <c r="K218" s="32" t="str">
        <f t="shared" si="5"/>
        <v/>
      </c>
      <c r="L218" s="32" t="str">
        <f t="shared" si="6"/>
        <v/>
      </c>
      <c r="M218" s="32" t="str">
        <f t="shared" si="7"/>
        <v/>
      </c>
      <c r="N218" s="44" t="str">
        <f t="shared" si="8"/>
        <v/>
      </c>
      <c r="O218" s="45" t="str">
        <f t="shared" si="9"/>
        <v/>
      </c>
      <c r="P218" s="5"/>
      <c r="Q218" s="5"/>
      <c r="R218" s="5"/>
    </row>
    <row r="219" ht="15.75" customHeight="1">
      <c r="A219" s="46"/>
      <c r="B219" s="47"/>
      <c r="C219" s="47"/>
      <c r="D219" s="47"/>
      <c r="E219" s="47"/>
      <c r="F219" s="48"/>
      <c r="G219" s="36" t="str">
        <f t="shared" si="1"/>
        <v/>
      </c>
      <c r="H219" s="37" t="str">
        <f t="shared" si="2"/>
        <v/>
      </c>
      <c r="I219" s="37" t="str">
        <f t="shared" si="3"/>
        <v/>
      </c>
      <c r="J219" s="37" t="str">
        <f t="shared" si="4"/>
        <v/>
      </c>
      <c r="K219" s="32" t="str">
        <f t="shared" si="5"/>
        <v/>
      </c>
      <c r="L219" s="32" t="str">
        <f t="shared" si="6"/>
        <v/>
      </c>
      <c r="M219" s="32" t="str">
        <f t="shared" si="7"/>
        <v/>
      </c>
      <c r="N219" s="44" t="str">
        <f t="shared" si="8"/>
        <v/>
      </c>
      <c r="O219" s="45" t="str">
        <f t="shared" si="9"/>
        <v/>
      </c>
      <c r="P219" s="5"/>
      <c r="Q219" s="5"/>
      <c r="R219" s="5"/>
    </row>
    <row r="220" ht="15.75" customHeight="1">
      <c r="A220" s="46"/>
      <c r="B220" s="47"/>
      <c r="C220" s="47"/>
      <c r="D220" s="47"/>
      <c r="E220" s="47"/>
      <c r="F220" s="48"/>
      <c r="G220" s="36" t="str">
        <f t="shared" si="1"/>
        <v/>
      </c>
      <c r="H220" s="37" t="str">
        <f t="shared" si="2"/>
        <v/>
      </c>
      <c r="I220" s="37" t="str">
        <f t="shared" si="3"/>
        <v/>
      </c>
      <c r="J220" s="37" t="str">
        <f t="shared" si="4"/>
        <v/>
      </c>
      <c r="K220" s="32" t="str">
        <f t="shared" si="5"/>
        <v/>
      </c>
      <c r="L220" s="32" t="str">
        <f t="shared" si="6"/>
        <v/>
      </c>
      <c r="M220" s="32" t="str">
        <f t="shared" si="7"/>
        <v/>
      </c>
      <c r="N220" s="44" t="str">
        <f t="shared" si="8"/>
        <v/>
      </c>
      <c r="O220" s="45" t="str">
        <f t="shared" si="9"/>
        <v/>
      </c>
      <c r="P220" s="5"/>
      <c r="Q220" s="5"/>
      <c r="R220" s="5"/>
    </row>
    <row r="221" ht="15.75" customHeight="1">
      <c r="A221" s="46"/>
      <c r="B221" s="47"/>
      <c r="C221" s="47"/>
      <c r="D221" s="47"/>
      <c r="E221" s="47"/>
      <c r="F221" s="48"/>
      <c r="G221" s="36" t="str">
        <f t="shared" si="1"/>
        <v/>
      </c>
      <c r="H221" s="37" t="str">
        <f t="shared" si="2"/>
        <v/>
      </c>
      <c r="I221" s="37" t="str">
        <f t="shared" si="3"/>
        <v/>
      </c>
      <c r="J221" s="37" t="str">
        <f t="shared" si="4"/>
        <v/>
      </c>
      <c r="K221" s="32" t="str">
        <f t="shared" si="5"/>
        <v/>
      </c>
      <c r="L221" s="32" t="str">
        <f t="shared" si="6"/>
        <v/>
      </c>
      <c r="M221" s="32" t="str">
        <f t="shared" si="7"/>
        <v/>
      </c>
      <c r="N221" s="44" t="str">
        <f t="shared" si="8"/>
        <v/>
      </c>
      <c r="O221" s="45" t="str">
        <f t="shared" si="9"/>
        <v/>
      </c>
      <c r="P221" s="5"/>
      <c r="Q221" s="5"/>
      <c r="R221" s="5"/>
    </row>
    <row r="222" ht="15.75" customHeight="1">
      <c r="A222" s="46"/>
      <c r="B222" s="47"/>
      <c r="C222" s="47"/>
      <c r="D222" s="47"/>
      <c r="E222" s="47"/>
      <c r="F222" s="48"/>
      <c r="G222" s="36" t="str">
        <f t="shared" si="1"/>
        <v/>
      </c>
      <c r="H222" s="37" t="str">
        <f t="shared" si="2"/>
        <v/>
      </c>
      <c r="I222" s="37" t="str">
        <f t="shared" si="3"/>
        <v/>
      </c>
      <c r="J222" s="37" t="str">
        <f t="shared" si="4"/>
        <v/>
      </c>
      <c r="K222" s="32" t="str">
        <f t="shared" si="5"/>
        <v/>
      </c>
      <c r="L222" s="32" t="str">
        <f t="shared" si="6"/>
        <v/>
      </c>
      <c r="M222" s="32" t="str">
        <f t="shared" si="7"/>
        <v/>
      </c>
      <c r="N222" s="44" t="str">
        <f t="shared" si="8"/>
        <v/>
      </c>
      <c r="O222" s="45" t="str">
        <f t="shared" si="9"/>
        <v/>
      </c>
      <c r="P222" s="5"/>
      <c r="Q222" s="5"/>
      <c r="R222" s="5"/>
    </row>
    <row r="223" ht="15.75" customHeight="1">
      <c r="A223" s="46"/>
      <c r="B223" s="47"/>
      <c r="C223" s="47"/>
      <c r="D223" s="47"/>
      <c r="E223" s="47"/>
      <c r="F223" s="48"/>
      <c r="G223" s="36" t="str">
        <f t="shared" si="1"/>
        <v/>
      </c>
      <c r="H223" s="37" t="str">
        <f t="shared" si="2"/>
        <v/>
      </c>
      <c r="I223" s="37" t="str">
        <f t="shared" si="3"/>
        <v/>
      </c>
      <c r="J223" s="37" t="str">
        <f t="shared" si="4"/>
        <v/>
      </c>
      <c r="K223" s="32" t="str">
        <f t="shared" si="5"/>
        <v/>
      </c>
      <c r="L223" s="32" t="str">
        <f t="shared" si="6"/>
        <v/>
      </c>
      <c r="M223" s="32" t="str">
        <f t="shared" si="7"/>
        <v/>
      </c>
      <c r="N223" s="44" t="str">
        <f t="shared" si="8"/>
        <v/>
      </c>
      <c r="O223" s="45" t="str">
        <f t="shared" si="9"/>
        <v/>
      </c>
      <c r="P223" s="5"/>
      <c r="Q223" s="5"/>
      <c r="R223" s="5"/>
    </row>
    <row r="224" ht="15.75" customHeight="1">
      <c r="A224" s="46"/>
      <c r="B224" s="47"/>
      <c r="C224" s="47"/>
      <c r="D224" s="47"/>
      <c r="E224" s="47"/>
      <c r="F224" s="48"/>
      <c r="G224" s="36" t="str">
        <f t="shared" si="1"/>
        <v/>
      </c>
      <c r="H224" s="37" t="str">
        <f t="shared" si="2"/>
        <v/>
      </c>
      <c r="I224" s="37" t="str">
        <f t="shared" si="3"/>
        <v/>
      </c>
      <c r="J224" s="37" t="str">
        <f t="shared" si="4"/>
        <v/>
      </c>
      <c r="K224" s="32" t="str">
        <f t="shared" si="5"/>
        <v/>
      </c>
      <c r="L224" s="32" t="str">
        <f t="shared" si="6"/>
        <v/>
      </c>
      <c r="M224" s="32" t="str">
        <f t="shared" si="7"/>
        <v/>
      </c>
      <c r="N224" s="44" t="str">
        <f t="shared" si="8"/>
        <v/>
      </c>
      <c r="O224" s="45" t="str">
        <f t="shared" si="9"/>
        <v/>
      </c>
      <c r="P224" s="5"/>
      <c r="Q224" s="5"/>
      <c r="R224" s="5"/>
    </row>
    <row r="225" ht="15.75" customHeight="1">
      <c r="A225" s="46"/>
      <c r="B225" s="47"/>
      <c r="C225" s="47"/>
      <c r="D225" s="47"/>
      <c r="E225" s="47"/>
      <c r="F225" s="48"/>
      <c r="G225" s="36" t="str">
        <f t="shared" si="1"/>
        <v/>
      </c>
      <c r="H225" s="37" t="str">
        <f t="shared" si="2"/>
        <v/>
      </c>
      <c r="I225" s="37" t="str">
        <f t="shared" si="3"/>
        <v/>
      </c>
      <c r="J225" s="37" t="str">
        <f t="shared" si="4"/>
        <v/>
      </c>
      <c r="K225" s="32" t="str">
        <f t="shared" si="5"/>
        <v/>
      </c>
      <c r="L225" s="32" t="str">
        <f t="shared" si="6"/>
        <v/>
      </c>
      <c r="M225" s="32" t="str">
        <f t="shared" si="7"/>
        <v/>
      </c>
      <c r="N225" s="44" t="str">
        <f t="shared" si="8"/>
        <v/>
      </c>
      <c r="O225" s="45" t="str">
        <f t="shared" si="9"/>
        <v/>
      </c>
      <c r="P225" s="5"/>
      <c r="Q225" s="5"/>
      <c r="R225" s="5"/>
    </row>
    <row r="226" ht="15.75" customHeight="1">
      <c r="A226" s="46"/>
      <c r="B226" s="47"/>
      <c r="C226" s="47"/>
      <c r="D226" s="47"/>
      <c r="E226" s="47"/>
      <c r="F226" s="48"/>
      <c r="G226" s="36" t="str">
        <f t="shared" si="1"/>
        <v/>
      </c>
      <c r="H226" s="37" t="str">
        <f t="shared" si="2"/>
        <v/>
      </c>
      <c r="I226" s="37" t="str">
        <f t="shared" si="3"/>
        <v/>
      </c>
      <c r="J226" s="37" t="str">
        <f t="shared" si="4"/>
        <v/>
      </c>
      <c r="K226" s="32" t="str">
        <f t="shared" si="5"/>
        <v/>
      </c>
      <c r="L226" s="32" t="str">
        <f t="shared" si="6"/>
        <v/>
      </c>
      <c r="M226" s="32" t="str">
        <f t="shared" si="7"/>
        <v/>
      </c>
      <c r="N226" s="44" t="str">
        <f t="shared" si="8"/>
        <v/>
      </c>
      <c r="O226" s="45" t="str">
        <f t="shared" si="9"/>
        <v/>
      </c>
      <c r="P226" s="5"/>
      <c r="Q226" s="5"/>
      <c r="R226" s="5"/>
    </row>
    <row r="227" ht="15.75" customHeight="1">
      <c r="A227" s="46"/>
      <c r="B227" s="47"/>
      <c r="C227" s="47"/>
      <c r="D227" s="47"/>
      <c r="E227" s="47"/>
      <c r="F227" s="48"/>
      <c r="G227" s="36" t="str">
        <f t="shared" si="1"/>
        <v/>
      </c>
      <c r="H227" s="37" t="str">
        <f t="shared" si="2"/>
        <v/>
      </c>
      <c r="I227" s="37" t="str">
        <f t="shared" si="3"/>
        <v/>
      </c>
      <c r="J227" s="37" t="str">
        <f t="shared" si="4"/>
        <v/>
      </c>
      <c r="K227" s="32" t="str">
        <f t="shared" si="5"/>
        <v/>
      </c>
      <c r="L227" s="32" t="str">
        <f t="shared" si="6"/>
        <v/>
      </c>
      <c r="M227" s="32" t="str">
        <f t="shared" si="7"/>
        <v/>
      </c>
      <c r="N227" s="44" t="str">
        <f t="shared" si="8"/>
        <v/>
      </c>
      <c r="O227" s="45" t="str">
        <f t="shared" si="9"/>
        <v/>
      </c>
      <c r="P227" s="5"/>
      <c r="Q227" s="5"/>
      <c r="R227" s="5"/>
    </row>
    <row r="228" ht="15.75" customHeight="1">
      <c r="A228" s="46"/>
      <c r="B228" s="47"/>
      <c r="C228" s="47"/>
      <c r="D228" s="47"/>
      <c r="E228" s="47"/>
      <c r="F228" s="48"/>
      <c r="G228" s="36" t="str">
        <f t="shared" si="1"/>
        <v/>
      </c>
      <c r="H228" s="37" t="str">
        <f t="shared" si="2"/>
        <v/>
      </c>
      <c r="I228" s="37" t="str">
        <f t="shared" si="3"/>
        <v/>
      </c>
      <c r="J228" s="37" t="str">
        <f t="shared" si="4"/>
        <v/>
      </c>
      <c r="K228" s="32" t="str">
        <f t="shared" si="5"/>
        <v/>
      </c>
      <c r="L228" s="32" t="str">
        <f t="shared" si="6"/>
        <v/>
      </c>
      <c r="M228" s="32" t="str">
        <f t="shared" si="7"/>
        <v/>
      </c>
      <c r="N228" s="44" t="str">
        <f t="shared" si="8"/>
        <v/>
      </c>
      <c r="O228" s="45" t="str">
        <f t="shared" si="9"/>
        <v/>
      </c>
      <c r="P228" s="5"/>
      <c r="Q228" s="5"/>
      <c r="R228" s="5"/>
    </row>
    <row r="229" ht="15.75" customHeight="1">
      <c r="A229" s="46"/>
      <c r="B229" s="47"/>
      <c r="C229" s="47"/>
      <c r="D229" s="47"/>
      <c r="E229" s="47"/>
      <c r="F229" s="48"/>
      <c r="G229" s="36" t="str">
        <f t="shared" si="1"/>
        <v/>
      </c>
      <c r="H229" s="37" t="str">
        <f t="shared" si="2"/>
        <v/>
      </c>
      <c r="I229" s="37" t="str">
        <f t="shared" si="3"/>
        <v/>
      </c>
      <c r="J229" s="37" t="str">
        <f t="shared" si="4"/>
        <v/>
      </c>
      <c r="K229" s="32" t="str">
        <f t="shared" si="5"/>
        <v/>
      </c>
      <c r="L229" s="32" t="str">
        <f t="shared" si="6"/>
        <v/>
      </c>
      <c r="M229" s="32" t="str">
        <f t="shared" si="7"/>
        <v/>
      </c>
      <c r="N229" s="44" t="str">
        <f t="shared" si="8"/>
        <v/>
      </c>
      <c r="O229" s="45" t="str">
        <f t="shared" si="9"/>
        <v/>
      </c>
      <c r="P229" s="5"/>
      <c r="Q229" s="5"/>
      <c r="R229" s="5"/>
    </row>
    <row r="230" ht="15.75" customHeight="1">
      <c r="A230" s="46"/>
      <c r="B230" s="47"/>
      <c r="C230" s="47"/>
      <c r="D230" s="47"/>
      <c r="E230" s="47"/>
      <c r="F230" s="48"/>
      <c r="G230" s="36" t="str">
        <f t="shared" si="1"/>
        <v/>
      </c>
      <c r="H230" s="37" t="str">
        <f t="shared" si="2"/>
        <v/>
      </c>
      <c r="I230" s="37" t="str">
        <f t="shared" si="3"/>
        <v/>
      </c>
      <c r="J230" s="37" t="str">
        <f t="shared" si="4"/>
        <v/>
      </c>
      <c r="K230" s="32" t="str">
        <f t="shared" si="5"/>
        <v/>
      </c>
      <c r="L230" s="32" t="str">
        <f t="shared" si="6"/>
        <v/>
      </c>
      <c r="M230" s="32" t="str">
        <f t="shared" si="7"/>
        <v/>
      </c>
      <c r="N230" s="44" t="str">
        <f t="shared" si="8"/>
        <v/>
      </c>
      <c r="O230" s="45" t="str">
        <f t="shared" si="9"/>
        <v/>
      </c>
      <c r="P230" s="5"/>
      <c r="Q230" s="5"/>
      <c r="R230" s="5"/>
    </row>
    <row r="231" ht="15.75" customHeight="1">
      <c r="A231" s="46"/>
      <c r="B231" s="47"/>
      <c r="C231" s="47"/>
      <c r="D231" s="47"/>
      <c r="E231" s="47"/>
      <c r="F231" s="48"/>
      <c r="G231" s="36" t="str">
        <f t="shared" si="1"/>
        <v/>
      </c>
      <c r="H231" s="37" t="str">
        <f t="shared" si="2"/>
        <v/>
      </c>
      <c r="I231" s="37" t="str">
        <f t="shared" si="3"/>
        <v/>
      </c>
      <c r="J231" s="37" t="str">
        <f t="shared" si="4"/>
        <v/>
      </c>
      <c r="K231" s="32" t="str">
        <f t="shared" si="5"/>
        <v/>
      </c>
      <c r="L231" s="32" t="str">
        <f t="shared" si="6"/>
        <v/>
      </c>
      <c r="M231" s="32" t="str">
        <f t="shared" si="7"/>
        <v/>
      </c>
      <c r="N231" s="44" t="str">
        <f t="shared" si="8"/>
        <v/>
      </c>
      <c r="O231" s="45" t="str">
        <f t="shared" si="9"/>
        <v/>
      </c>
      <c r="P231" s="5"/>
      <c r="Q231" s="5"/>
      <c r="R231" s="5"/>
    </row>
    <row r="232" ht="15.75" customHeight="1">
      <c r="A232" s="46"/>
      <c r="B232" s="47"/>
      <c r="C232" s="47"/>
      <c r="D232" s="47"/>
      <c r="E232" s="47"/>
      <c r="F232" s="48"/>
      <c r="G232" s="36" t="str">
        <f t="shared" si="1"/>
        <v/>
      </c>
      <c r="H232" s="37" t="str">
        <f t="shared" si="2"/>
        <v/>
      </c>
      <c r="I232" s="37" t="str">
        <f t="shared" si="3"/>
        <v/>
      </c>
      <c r="J232" s="37" t="str">
        <f t="shared" si="4"/>
        <v/>
      </c>
      <c r="K232" s="32" t="str">
        <f t="shared" si="5"/>
        <v/>
      </c>
      <c r="L232" s="32" t="str">
        <f t="shared" si="6"/>
        <v/>
      </c>
      <c r="M232" s="32" t="str">
        <f t="shared" si="7"/>
        <v/>
      </c>
      <c r="N232" s="44" t="str">
        <f t="shared" si="8"/>
        <v/>
      </c>
      <c r="O232" s="45" t="str">
        <f t="shared" si="9"/>
        <v/>
      </c>
      <c r="P232" s="5"/>
      <c r="Q232" s="5"/>
      <c r="R232" s="5"/>
    </row>
    <row r="233" ht="15.75" customHeight="1">
      <c r="A233" s="46"/>
      <c r="B233" s="47"/>
      <c r="C233" s="47"/>
      <c r="D233" s="47"/>
      <c r="E233" s="47"/>
      <c r="F233" s="48"/>
      <c r="G233" s="36" t="str">
        <f t="shared" si="1"/>
        <v/>
      </c>
      <c r="H233" s="37" t="str">
        <f t="shared" si="2"/>
        <v/>
      </c>
      <c r="I233" s="37" t="str">
        <f t="shared" si="3"/>
        <v/>
      </c>
      <c r="J233" s="37" t="str">
        <f t="shared" si="4"/>
        <v/>
      </c>
      <c r="K233" s="32" t="str">
        <f t="shared" si="5"/>
        <v/>
      </c>
      <c r="L233" s="32" t="str">
        <f t="shared" si="6"/>
        <v/>
      </c>
      <c r="M233" s="32" t="str">
        <f t="shared" si="7"/>
        <v/>
      </c>
      <c r="N233" s="44" t="str">
        <f t="shared" si="8"/>
        <v/>
      </c>
      <c r="O233" s="45" t="str">
        <f t="shared" si="9"/>
        <v/>
      </c>
      <c r="P233" s="5"/>
      <c r="Q233" s="5"/>
      <c r="R233" s="5"/>
    </row>
    <row r="234" ht="15.75" customHeight="1">
      <c r="A234" s="46"/>
      <c r="B234" s="47"/>
      <c r="C234" s="47"/>
      <c r="D234" s="47"/>
      <c r="E234" s="47"/>
      <c r="F234" s="48"/>
      <c r="G234" s="36" t="str">
        <f t="shared" si="1"/>
        <v/>
      </c>
      <c r="H234" s="37" t="str">
        <f t="shared" si="2"/>
        <v/>
      </c>
      <c r="I234" s="37" t="str">
        <f t="shared" si="3"/>
        <v/>
      </c>
      <c r="J234" s="37" t="str">
        <f t="shared" si="4"/>
        <v/>
      </c>
      <c r="K234" s="32" t="str">
        <f t="shared" si="5"/>
        <v/>
      </c>
      <c r="L234" s="32" t="str">
        <f t="shared" si="6"/>
        <v/>
      </c>
      <c r="M234" s="32" t="str">
        <f t="shared" si="7"/>
        <v/>
      </c>
      <c r="N234" s="44" t="str">
        <f t="shared" si="8"/>
        <v/>
      </c>
      <c r="O234" s="45" t="str">
        <f t="shared" si="9"/>
        <v/>
      </c>
      <c r="P234" s="5"/>
      <c r="Q234" s="5"/>
      <c r="R234" s="5"/>
    </row>
    <row r="235" ht="15.75" customHeight="1">
      <c r="A235" s="46"/>
      <c r="B235" s="47"/>
      <c r="C235" s="47"/>
      <c r="D235" s="47"/>
      <c r="E235" s="47"/>
      <c r="F235" s="48"/>
      <c r="G235" s="36" t="str">
        <f t="shared" si="1"/>
        <v/>
      </c>
      <c r="H235" s="37" t="str">
        <f t="shared" si="2"/>
        <v/>
      </c>
      <c r="I235" s="37" t="str">
        <f t="shared" si="3"/>
        <v/>
      </c>
      <c r="J235" s="37" t="str">
        <f t="shared" si="4"/>
        <v/>
      </c>
      <c r="K235" s="32" t="str">
        <f t="shared" si="5"/>
        <v/>
      </c>
      <c r="L235" s="32" t="str">
        <f t="shared" si="6"/>
        <v/>
      </c>
      <c r="M235" s="32" t="str">
        <f t="shared" si="7"/>
        <v/>
      </c>
      <c r="N235" s="44" t="str">
        <f t="shared" si="8"/>
        <v/>
      </c>
      <c r="O235" s="45" t="str">
        <f t="shared" si="9"/>
        <v/>
      </c>
      <c r="P235" s="5"/>
      <c r="Q235" s="5"/>
      <c r="R235" s="5"/>
    </row>
    <row r="236" ht="15.75" customHeight="1">
      <c r="A236" s="46"/>
      <c r="B236" s="47"/>
      <c r="C236" s="47"/>
      <c r="D236" s="47"/>
      <c r="E236" s="47"/>
      <c r="F236" s="48"/>
      <c r="G236" s="36" t="str">
        <f t="shared" si="1"/>
        <v/>
      </c>
      <c r="H236" s="37" t="str">
        <f t="shared" si="2"/>
        <v/>
      </c>
      <c r="I236" s="37" t="str">
        <f t="shared" si="3"/>
        <v/>
      </c>
      <c r="J236" s="37" t="str">
        <f t="shared" si="4"/>
        <v/>
      </c>
      <c r="K236" s="32" t="str">
        <f t="shared" si="5"/>
        <v/>
      </c>
      <c r="L236" s="32" t="str">
        <f t="shared" si="6"/>
        <v/>
      </c>
      <c r="M236" s="32" t="str">
        <f t="shared" si="7"/>
        <v/>
      </c>
      <c r="N236" s="44" t="str">
        <f t="shared" si="8"/>
        <v/>
      </c>
      <c r="O236" s="45" t="str">
        <f t="shared" si="9"/>
        <v/>
      </c>
      <c r="P236" s="5"/>
      <c r="Q236" s="5"/>
      <c r="R236" s="5"/>
    </row>
    <row r="237" ht="15.75" customHeight="1">
      <c r="A237" s="46"/>
      <c r="B237" s="47"/>
      <c r="C237" s="47"/>
      <c r="D237" s="47"/>
      <c r="E237" s="47"/>
      <c r="F237" s="48"/>
      <c r="G237" s="36" t="str">
        <f t="shared" si="1"/>
        <v/>
      </c>
      <c r="H237" s="37" t="str">
        <f t="shared" si="2"/>
        <v/>
      </c>
      <c r="I237" s="37" t="str">
        <f t="shared" si="3"/>
        <v/>
      </c>
      <c r="J237" s="37" t="str">
        <f t="shared" si="4"/>
        <v/>
      </c>
      <c r="K237" s="32" t="str">
        <f t="shared" si="5"/>
        <v/>
      </c>
      <c r="L237" s="32" t="str">
        <f t="shared" si="6"/>
        <v/>
      </c>
      <c r="M237" s="32" t="str">
        <f t="shared" si="7"/>
        <v/>
      </c>
      <c r="N237" s="44" t="str">
        <f t="shared" si="8"/>
        <v/>
      </c>
      <c r="O237" s="45" t="str">
        <f t="shared" si="9"/>
        <v/>
      </c>
      <c r="P237" s="5"/>
      <c r="Q237" s="5"/>
      <c r="R237" s="5"/>
    </row>
    <row r="238" ht="15.75" customHeight="1">
      <c r="A238" s="46"/>
      <c r="B238" s="47"/>
      <c r="C238" s="47"/>
      <c r="D238" s="47"/>
      <c r="E238" s="47"/>
      <c r="F238" s="48"/>
      <c r="G238" s="36" t="str">
        <f t="shared" si="1"/>
        <v/>
      </c>
      <c r="H238" s="37" t="str">
        <f t="shared" si="2"/>
        <v/>
      </c>
      <c r="I238" s="37" t="str">
        <f t="shared" si="3"/>
        <v/>
      </c>
      <c r="J238" s="37" t="str">
        <f t="shared" si="4"/>
        <v/>
      </c>
      <c r="K238" s="32" t="str">
        <f t="shared" si="5"/>
        <v/>
      </c>
      <c r="L238" s="32" t="str">
        <f t="shared" si="6"/>
        <v/>
      </c>
      <c r="M238" s="32" t="str">
        <f t="shared" si="7"/>
        <v/>
      </c>
      <c r="N238" s="44" t="str">
        <f t="shared" si="8"/>
        <v/>
      </c>
      <c r="O238" s="45" t="str">
        <f t="shared" si="9"/>
        <v/>
      </c>
      <c r="P238" s="5"/>
      <c r="Q238" s="5"/>
      <c r="R238" s="5"/>
    </row>
    <row r="239" ht="15.75" customHeight="1">
      <c r="A239" s="46"/>
      <c r="B239" s="47"/>
      <c r="C239" s="47"/>
      <c r="D239" s="47"/>
      <c r="E239" s="47"/>
      <c r="F239" s="48"/>
      <c r="G239" s="36" t="str">
        <f t="shared" si="1"/>
        <v/>
      </c>
      <c r="H239" s="37" t="str">
        <f t="shared" si="2"/>
        <v/>
      </c>
      <c r="I239" s="37" t="str">
        <f t="shared" si="3"/>
        <v/>
      </c>
      <c r="J239" s="37" t="str">
        <f t="shared" si="4"/>
        <v/>
      </c>
      <c r="K239" s="32" t="str">
        <f t="shared" si="5"/>
        <v/>
      </c>
      <c r="L239" s="32" t="str">
        <f t="shared" si="6"/>
        <v/>
      </c>
      <c r="M239" s="32" t="str">
        <f t="shared" si="7"/>
        <v/>
      </c>
      <c r="N239" s="44" t="str">
        <f t="shared" si="8"/>
        <v/>
      </c>
      <c r="O239" s="45" t="str">
        <f t="shared" si="9"/>
        <v/>
      </c>
      <c r="P239" s="5"/>
      <c r="Q239" s="5"/>
      <c r="R239" s="5"/>
    </row>
    <row r="240" ht="15.75" customHeight="1">
      <c r="A240" s="46"/>
      <c r="B240" s="47"/>
      <c r="C240" s="47"/>
      <c r="D240" s="47"/>
      <c r="E240" s="47"/>
      <c r="F240" s="48"/>
      <c r="G240" s="36" t="str">
        <f t="shared" si="1"/>
        <v/>
      </c>
      <c r="H240" s="37" t="str">
        <f t="shared" si="2"/>
        <v/>
      </c>
      <c r="I240" s="37" t="str">
        <f t="shared" si="3"/>
        <v/>
      </c>
      <c r="J240" s="37" t="str">
        <f t="shared" si="4"/>
        <v/>
      </c>
      <c r="K240" s="32" t="str">
        <f t="shared" si="5"/>
        <v/>
      </c>
      <c r="L240" s="32" t="str">
        <f t="shared" si="6"/>
        <v/>
      </c>
      <c r="M240" s="32" t="str">
        <f t="shared" si="7"/>
        <v/>
      </c>
      <c r="N240" s="44" t="str">
        <f t="shared" si="8"/>
        <v/>
      </c>
      <c r="O240" s="45" t="str">
        <f t="shared" si="9"/>
        <v/>
      </c>
      <c r="P240" s="5"/>
      <c r="Q240" s="5"/>
      <c r="R240" s="5"/>
    </row>
    <row r="241" ht="15.75" customHeight="1">
      <c r="A241" s="46"/>
      <c r="B241" s="47"/>
      <c r="C241" s="47"/>
      <c r="D241" s="47"/>
      <c r="E241" s="47"/>
      <c r="F241" s="48"/>
      <c r="G241" s="36" t="str">
        <f t="shared" si="1"/>
        <v/>
      </c>
      <c r="H241" s="37" t="str">
        <f t="shared" si="2"/>
        <v/>
      </c>
      <c r="I241" s="37" t="str">
        <f t="shared" si="3"/>
        <v/>
      </c>
      <c r="J241" s="37" t="str">
        <f t="shared" si="4"/>
        <v/>
      </c>
      <c r="K241" s="32" t="str">
        <f t="shared" si="5"/>
        <v/>
      </c>
      <c r="L241" s="32" t="str">
        <f t="shared" si="6"/>
        <v/>
      </c>
      <c r="M241" s="32" t="str">
        <f t="shared" si="7"/>
        <v/>
      </c>
      <c r="N241" s="44" t="str">
        <f t="shared" si="8"/>
        <v/>
      </c>
      <c r="O241" s="45" t="str">
        <f t="shared" si="9"/>
        <v/>
      </c>
      <c r="P241" s="5"/>
      <c r="Q241" s="5"/>
      <c r="R241" s="5"/>
    </row>
    <row r="242" ht="15.75" customHeight="1">
      <c r="A242" s="46"/>
      <c r="B242" s="47"/>
      <c r="C242" s="47"/>
      <c r="D242" s="47"/>
      <c r="E242" s="47"/>
      <c r="F242" s="48"/>
      <c r="G242" s="36" t="str">
        <f t="shared" si="1"/>
        <v/>
      </c>
      <c r="H242" s="37" t="str">
        <f t="shared" si="2"/>
        <v/>
      </c>
      <c r="I242" s="37" t="str">
        <f t="shared" si="3"/>
        <v/>
      </c>
      <c r="J242" s="37" t="str">
        <f t="shared" si="4"/>
        <v/>
      </c>
      <c r="K242" s="32" t="str">
        <f t="shared" si="5"/>
        <v/>
      </c>
      <c r="L242" s="32" t="str">
        <f t="shared" si="6"/>
        <v/>
      </c>
      <c r="M242" s="32" t="str">
        <f t="shared" si="7"/>
        <v/>
      </c>
      <c r="N242" s="44" t="str">
        <f t="shared" si="8"/>
        <v/>
      </c>
      <c r="O242" s="45" t="str">
        <f t="shared" si="9"/>
        <v/>
      </c>
      <c r="P242" s="5"/>
      <c r="Q242" s="5"/>
      <c r="R242" s="5"/>
    </row>
    <row r="243" ht="15.75" customHeight="1">
      <c r="A243" s="46"/>
      <c r="B243" s="47"/>
      <c r="C243" s="47"/>
      <c r="D243" s="47"/>
      <c r="E243" s="47"/>
      <c r="F243" s="48"/>
      <c r="G243" s="36" t="str">
        <f t="shared" si="1"/>
        <v/>
      </c>
      <c r="H243" s="37" t="str">
        <f t="shared" si="2"/>
        <v/>
      </c>
      <c r="I243" s="37" t="str">
        <f t="shared" si="3"/>
        <v/>
      </c>
      <c r="J243" s="37" t="str">
        <f t="shared" si="4"/>
        <v/>
      </c>
      <c r="K243" s="32" t="str">
        <f t="shared" si="5"/>
        <v/>
      </c>
      <c r="L243" s="32" t="str">
        <f t="shared" si="6"/>
        <v/>
      </c>
      <c r="M243" s="32" t="str">
        <f t="shared" si="7"/>
        <v/>
      </c>
      <c r="N243" s="44" t="str">
        <f t="shared" si="8"/>
        <v/>
      </c>
      <c r="O243" s="45" t="str">
        <f t="shared" si="9"/>
        <v/>
      </c>
      <c r="P243" s="5"/>
      <c r="Q243" s="5"/>
      <c r="R243" s="5"/>
    </row>
    <row r="244" ht="15.75" customHeight="1">
      <c r="A244" s="46"/>
      <c r="B244" s="47"/>
      <c r="C244" s="47"/>
      <c r="D244" s="47"/>
      <c r="E244" s="47"/>
      <c r="F244" s="48"/>
      <c r="G244" s="36" t="str">
        <f t="shared" si="1"/>
        <v/>
      </c>
      <c r="H244" s="37" t="str">
        <f t="shared" si="2"/>
        <v/>
      </c>
      <c r="I244" s="37" t="str">
        <f t="shared" si="3"/>
        <v/>
      </c>
      <c r="J244" s="37" t="str">
        <f t="shared" si="4"/>
        <v/>
      </c>
      <c r="K244" s="32" t="str">
        <f t="shared" si="5"/>
        <v/>
      </c>
      <c r="L244" s="32" t="str">
        <f t="shared" si="6"/>
        <v/>
      </c>
      <c r="M244" s="32" t="str">
        <f t="shared" si="7"/>
        <v/>
      </c>
      <c r="N244" s="44" t="str">
        <f t="shared" si="8"/>
        <v/>
      </c>
      <c r="O244" s="45" t="str">
        <f t="shared" si="9"/>
        <v/>
      </c>
      <c r="P244" s="5"/>
      <c r="Q244" s="5"/>
      <c r="R244" s="5"/>
    </row>
    <row r="245" ht="15.75" customHeight="1">
      <c r="A245" s="46"/>
      <c r="B245" s="47"/>
      <c r="C245" s="47"/>
      <c r="D245" s="47"/>
      <c r="E245" s="47"/>
      <c r="F245" s="48"/>
      <c r="G245" s="36" t="str">
        <f t="shared" si="1"/>
        <v/>
      </c>
      <c r="H245" s="37" t="str">
        <f t="shared" si="2"/>
        <v/>
      </c>
      <c r="I245" s="37" t="str">
        <f t="shared" si="3"/>
        <v/>
      </c>
      <c r="J245" s="37" t="str">
        <f t="shared" si="4"/>
        <v/>
      </c>
      <c r="K245" s="32" t="str">
        <f t="shared" si="5"/>
        <v/>
      </c>
      <c r="L245" s="32" t="str">
        <f t="shared" si="6"/>
        <v/>
      </c>
      <c r="M245" s="32" t="str">
        <f t="shared" si="7"/>
        <v/>
      </c>
      <c r="N245" s="44" t="str">
        <f t="shared" si="8"/>
        <v/>
      </c>
      <c r="O245" s="45" t="str">
        <f t="shared" si="9"/>
        <v/>
      </c>
      <c r="P245" s="5"/>
      <c r="Q245" s="5"/>
      <c r="R245" s="5"/>
    </row>
    <row r="246" ht="15.75" customHeight="1">
      <c r="A246" s="46"/>
      <c r="B246" s="47"/>
      <c r="C246" s="47"/>
      <c r="D246" s="47"/>
      <c r="E246" s="47"/>
      <c r="F246" s="48"/>
      <c r="G246" s="36" t="str">
        <f t="shared" si="1"/>
        <v/>
      </c>
      <c r="H246" s="37" t="str">
        <f t="shared" si="2"/>
        <v/>
      </c>
      <c r="I246" s="37" t="str">
        <f t="shared" si="3"/>
        <v/>
      </c>
      <c r="J246" s="37" t="str">
        <f t="shared" si="4"/>
        <v/>
      </c>
      <c r="K246" s="32" t="str">
        <f t="shared" si="5"/>
        <v/>
      </c>
      <c r="L246" s="32" t="str">
        <f t="shared" si="6"/>
        <v/>
      </c>
      <c r="M246" s="32" t="str">
        <f t="shared" si="7"/>
        <v/>
      </c>
      <c r="N246" s="44" t="str">
        <f t="shared" si="8"/>
        <v/>
      </c>
      <c r="O246" s="45" t="str">
        <f t="shared" si="9"/>
        <v/>
      </c>
      <c r="P246" s="5"/>
      <c r="Q246" s="5"/>
      <c r="R246" s="5"/>
    </row>
    <row r="247" ht="15.75" customHeight="1">
      <c r="A247" s="46"/>
      <c r="B247" s="47"/>
      <c r="C247" s="47"/>
      <c r="D247" s="47"/>
      <c r="E247" s="47"/>
      <c r="F247" s="48"/>
      <c r="G247" s="36" t="str">
        <f t="shared" si="1"/>
        <v/>
      </c>
      <c r="H247" s="37" t="str">
        <f t="shared" si="2"/>
        <v/>
      </c>
      <c r="I247" s="37" t="str">
        <f t="shared" si="3"/>
        <v/>
      </c>
      <c r="J247" s="37" t="str">
        <f t="shared" si="4"/>
        <v/>
      </c>
      <c r="K247" s="32" t="str">
        <f t="shared" si="5"/>
        <v/>
      </c>
      <c r="L247" s="32" t="str">
        <f t="shared" si="6"/>
        <v/>
      </c>
      <c r="M247" s="32" t="str">
        <f t="shared" si="7"/>
        <v/>
      </c>
      <c r="N247" s="44" t="str">
        <f t="shared" si="8"/>
        <v/>
      </c>
      <c r="O247" s="45" t="str">
        <f t="shared" si="9"/>
        <v/>
      </c>
      <c r="P247" s="5"/>
      <c r="Q247" s="5"/>
      <c r="R247" s="5"/>
    </row>
    <row r="248" ht="15.75" customHeight="1">
      <c r="A248" s="46"/>
      <c r="B248" s="47"/>
      <c r="C248" s="47"/>
      <c r="D248" s="47"/>
      <c r="E248" s="47"/>
      <c r="F248" s="48"/>
      <c r="G248" s="36" t="str">
        <f t="shared" si="1"/>
        <v/>
      </c>
      <c r="H248" s="37" t="str">
        <f t="shared" si="2"/>
        <v/>
      </c>
      <c r="I248" s="37" t="str">
        <f t="shared" si="3"/>
        <v/>
      </c>
      <c r="J248" s="37" t="str">
        <f t="shared" si="4"/>
        <v/>
      </c>
      <c r="K248" s="32" t="str">
        <f t="shared" si="5"/>
        <v/>
      </c>
      <c r="L248" s="32" t="str">
        <f t="shared" si="6"/>
        <v/>
      </c>
      <c r="M248" s="32" t="str">
        <f t="shared" si="7"/>
        <v/>
      </c>
      <c r="N248" s="44" t="str">
        <f t="shared" si="8"/>
        <v/>
      </c>
      <c r="O248" s="45" t="str">
        <f t="shared" si="9"/>
        <v/>
      </c>
      <c r="P248" s="5"/>
      <c r="Q248" s="5"/>
      <c r="R248" s="5"/>
    </row>
    <row r="249" ht="15.75" customHeight="1">
      <c r="A249" s="46"/>
      <c r="B249" s="47"/>
      <c r="C249" s="47"/>
      <c r="D249" s="47"/>
      <c r="E249" s="47"/>
      <c r="F249" s="48"/>
      <c r="G249" s="36" t="str">
        <f t="shared" si="1"/>
        <v/>
      </c>
      <c r="H249" s="37" t="str">
        <f t="shared" si="2"/>
        <v/>
      </c>
      <c r="I249" s="37" t="str">
        <f t="shared" si="3"/>
        <v/>
      </c>
      <c r="J249" s="37" t="str">
        <f t="shared" si="4"/>
        <v/>
      </c>
      <c r="K249" s="32" t="str">
        <f t="shared" si="5"/>
        <v/>
      </c>
      <c r="L249" s="32" t="str">
        <f t="shared" si="6"/>
        <v/>
      </c>
      <c r="M249" s="32" t="str">
        <f t="shared" si="7"/>
        <v/>
      </c>
      <c r="N249" s="44" t="str">
        <f t="shared" si="8"/>
        <v/>
      </c>
      <c r="O249" s="45" t="str">
        <f t="shared" si="9"/>
        <v/>
      </c>
      <c r="P249" s="5"/>
      <c r="Q249" s="5"/>
      <c r="R249" s="5"/>
    </row>
    <row r="250" ht="15.75" customHeight="1">
      <c r="A250" s="46"/>
      <c r="B250" s="47"/>
      <c r="C250" s="47"/>
      <c r="D250" s="47"/>
      <c r="E250" s="47"/>
      <c r="F250" s="48"/>
      <c r="G250" s="36" t="str">
        <f t="shared" si="1"/>
        <v/>
      </c>
      <c r="H250" s="37" t="str">
        <f t="shared" si="2"/>
        <v/>
      </c>
      <c r="I250" s="37" t="str">
        <f t="shared" si="3"/>
        <v/>
      </c>
      <c r="J250" s="37" t="str">
        <f t="shared" si="4"/>
        <v/>
      </c>
      <c r="K250" s="32" t="str">
        <f t="shared" si="5"/>
        <v/>
      </c>
      <c r="L250" s="32" t="str">
        <f t="shared" si="6"/>
        <v/>
      </c>
      <c r="M250" s="32" t="str">
        <f t="shared" si="7"/>
        <v/>
      </c>
      <c r="N250" s="44" t="str">
        <f t="shared" si="8"/>
        <v/>
      </c>
      <c r="O250" s="45" t="str">
        <f t="shared" si="9"/>
        <v/>
      </c>
      <c r="P250" s="5"/>
      <c r="Q250" s="5"/>
      <c r="R250" s="5"/>
    </row>
    <row r="251" ht="15.75" customHeight="1">
      <c r="A251" s="46"/>
      <c r="B251" s="47"/>
      <c r="C251" s="47"/>
      <c r="D251" s="47"/>
      <c r="E251" s="47"/>
      <c r="F251" s="48"/>
      <c r="G251" s="36" t="str">
        <f t="shared" si="1"/>
        <v/>
      </c>
      <c r="H251" s="37" t="str">
        <f t="shared" si="2"/>
        <v/>
      </c>
      <c r="I251" s="37" t="str">
        <f t="shared" si="3"/>
        <v/>
      </c>
      <c r="J251" s="37" t="str">
        <f t="shared" si="4"/>
        <v/>
      </c>
      <c r="K251" s="32" t="str">
        <f t="shared" si="5"/>
        <v/>
      </c>
      <c r="L251" s="32" t="str">
        <f t="shared" si="6"/>
        <v/>
      </c>
      <c r="M251" s="32" t="str">
        <f t="shared" si="7"/>
        <v/>
      </c>
      <c r="N251" s="44" t="str">
        <f t="shared" si="8"/>
        <v/>
      </c>
      <c r="O251" s="45" t="str">
        <f t="shared" si="9"/>
        <v/>
      </c>
      <c r="P251" s="5"/>
      <c r="Q251" s="5"/>
      <c r="R251" s="5"/>
    </row>
    <row r="252" ht="15.75" customHeight="1">
      <c r="A252" s="46"/>
      <c r="B252" s="47"/>
      <c r="C252" s="47"/>
      <c r="D252" s="47"/>
      <c r="E252" s="47"/>
      <c r="F252" s="48"/>
      <c r="G252" s="36" t="str">
        <f t="shared" si="1"/>
        <v/>
      </c>
      <c r="H252" s="37" t="str">
        <f t="shared" si="2"/>
        <v/>
      </c>
      <c r="I252" s="37" t="str">
        <f t="shared" si="3"/>
        <v/>
      </c>
      <c r="J252" s="37" t="str">
        <f t="shared" si="4"/>
        <v/>
      </c>
      <c r="K252" s="32" t="str">
        <f t="shared" si="5"/>
        <v/>
      </c>
      <c r="L252" s="32" t="str">
        <f t="shared" si="6"/>
        <v/>
      </c>
      <c r="M252" s="32" t="str">
        <f t="shared" si="7"/>
        <v/>
      </c>
      <c r="N252" s="44" t="str">
        <f t="shared" si="8"/>
        <v/>
      </c>
      <c r="O252" s="45" t="str">
        <f t="shared" si="9"/>
        <v/>
      </c>
      <c r="P252" s="5"/>
      <c r="Q252" s="5"/>
      <c r="R252" s="5"/>
    </row>
    <row r="253" ht="15.75" customHeight="1">
      <c r="A253" s="46"/>
      <c r="B253" s="47"/>
      <c r="C253" s="47"/>
      <c r="D253" s="47"/>
      <c r="E253" s="47"/>
      <c r="F253" s="48"/>
      <c r="G253" s="36" t="str">
        <f t="shared" si="1"/>
        <v/>
      </c>
      <c r="H253" s="37" t="str">
        <f t="shared" si="2"/>
        <v/>
      </c>
      <c r="I253" s="37" t="str">
        <f t="shared" si="3"/>
        <v/>
      </c>
      <c r="J253" s="37" t="str">
        <f t="shared" si="4"/>
        <v/>
      </c>
      <c r="K253" s="32" t="str">
        <f t="shared" si="5"/>
        <v/>
      </c>
      <c r="L253" s="32" t="str">
        <f t="shared" si="6"/>
        <v/>
      </c>
      <c r="M253" s="32" t="str">
        <f t="shared" si="7"/>
        <v/>
      </c>
      <c r="N253" s="44" t="str">
        <f t="shared" si="8"/>
        <v/>
      </c>
      <c r="O253" s="45" t="str">
        <f t="shared" si="9"/>
        <v/>
      </c>
      <c r="P253" s="5"/>
      <c r="Q253" s="5"/>
      <c r="R253" s="5"/>
    </row>
    <row r="254" ht="15.75" customHeight="1">
      <c r="A254" s="46"/>
      <c r="B254" s="47"/>
      <c r="C254" s="47"/>
      <c r="D254" s="47"/>
      <c r="E254" s="47"/>
      <c r="F254" s="48"/>
      <c r="G254" s="36" t="str">
        <f t="shared" si="1"/>
        <v/>
      </c>
      <c r="H254" s="37" t="str">
        <f t="shared" si="2"/>
        <v/>
      </c>
      <c r="I254" s="37" t="str">
        <f t="shared" si="3"/>
        <v/>
      </c>
      <c r="J254" s="37" t="str">
        <f t="shared" si="4"/>
        <v/>
      </c>
      <c r="K254" s="32" t="str">
        <f t="shared" si="5"/>
        <v/>
      </c>
      <c r="L254" s="32" t="str">
        <f t="shared" si="6"/>
        <v/>
      </c>
      <c r="M254" s="32" t="str">
        <f t="shared" si="7"/>
        <v/>
      </c>
      <c r="N254" s="44" t="str">
        <f t="shared" si="8"/>
        <v/>
      </c>
      <c r="O254" s="45" t="str">
        <f t="shared" si="9"/>
        <v/>
      </c>
      <c r="P254" s="5"/>
      <c r="Q254" s="5"/>
      <c r="R254" s="5"/>
    </row>
    <row r="255" ht="15.75" customHeight="1">
      <c r="A255" s="46"/>
      <c r="B255" s="47"/>
      <c r="C255" s="47"/>
      <c r="D255" s="47"/>
      <c r="E255" s="47"/>
      <c r="F255" s="48"/>
      <c r="G255" s="36" t="str">
        <f t="shared" si="1"/>
        <v/>
      </c>
      <c r="H255" s="37" t="str">
        <f t="shared" si="2"/>
        <v/>
      </c>
      <c r="I255" s="37" t="str">
        <f t="shared" si="3"/>
        <v/>
      </c>
      <c r="J255" s="37" t="str">
        <f t="shared" si="4"/>
        <v/>
      </c>
      <c r="K255" s="32" t="str">
        <f t="shared" si="5"/>
        <v/>
      </c>
      <c r="L255" s="32" t="str">
        <f t="shared" si="6"/>
        <v/>
      </c>
      <c r="M255" s="32" t="str">
        <f t="shared" si="7"/>
        <v/>
      </c>
      <c r="N255" s="44" t="str">
        <f t="shared" si="8"/>
        <v/>
      </c>
      <c r="O255" s="45" t="str">
        <f t="shared" si="9"/>
        <v/>
      </c>
      <c r="P255" s="5"/>
      <c r="Q255" s="5"/>
      <c r="R255" s="5"/>
    </row>
    <row r="256" ht="15.75" customHeight="1">
      <c r="A256" s="46"/>
      <c r="B256" s="47"/>
      <c r="C256" s="47"/>
      <c r="D256" s="47"/>
      <c r="E256" s="47"/>
      <c r="F256" s="48"/>
      <c r="G256" s="36" t="str">
        <f t="shared" si="1"/>
        <v/>
      </c>
      <c r="H256" s="37" t="str">
        <f t="shared" si="2"/>
        <v/>
      </c>
      <c r="I256" s="37" t="str">
        <f t="shared" si="3"/>
        <v/>
      </c>
      <c r="J256" s="37" t="str">
        <f t="shared" si="4"/>
        <v/>
      </c>
      <c r="K256" s="32" t="str">
        <f t="shared" si="5"/>
        <v/>
      </c>
      <c r="L256" s="32" t="str">
        <f t="shared" si="6"/>
        <v/>
      </c>
      <c r="M256" s="32" t="str">
        <f t="shared" si="7"/>
        <v/>
      </c>
      <c r="N256" s="44" t="str">
        <f t="shared" si="8"/>
        <v/>
      </c>
      <c r="O256" s="45" t="str">
        <f t="shared" si="9"/>
        <v/>
      </c>
      <c r="P256" s="5"/>
      <c r="Q256" s="5"/>
      <c r="R256" s="5"/>
    </row>
    <row r="257" ht="15.75" customHeight="1">
      <c r="A257" s="46"/>
      <c r="B257" s="47"/>
      <c r="C257" s="47"/>
      <c r="D257" s="47"/>
      <c r="E257" s="47"/>
      <c r="F257" s="48"/>
      <c r="G257" s="36" t="str">
        <f t="shared" si="1"/>
        <v/>
      </c>
      <c r="H257" s="37" t="str">
        <f t="shared" si="2"/>
        <v/>
      </c>
      <c r="I257" s="37" t="str">
        <f t="shared" si="3"/>
        <v/>
      </c>
      <c r="J257" s="37" t="str">
        <f t="shared" si="4"/>
        <v/>
      </c>
      <c r="K257" s="32" t="str">
        <f t="shared" si="5"/>
        <v/>
      </c>
      <c r="L257" s="32" t="str">
        <f t="shared" si="6"/>
        <v/>
      </c>
      <c r="M257" s="32" t="str">
        <f t="shared" si="7"/>
        <v/>
      </c>
      <c r="N257" s="44" t="str">
        <f t="shared" si="8"/>
        <v/>
      </c>
      <c r="O257" s="45" t="str">
        <f t="shared" si="9"/>
        <v/>
      </c>
      <c r="P257" s="5"/>
      <c r="Q257" s="5"/>
      <c r="R257" s="5"/>
    </row>
    <row r="258" ht="15.75" customHeight="1">
      <c r="A258" s="46"/>
      <c r="B258" s="47"/>
      <c r="C258" s="47"/>
      <c r="D258" s="47"/>
      <c r="E258" s="47"/>
      <c r="F258" s="48"/>
      <c r="G258" s="36" t="str">
        <f t="shared" si="1"/>
        <v/>
      </c>
      <c r="H258" s="37" t="str">
        <f t="shared" si="2"/>
        <v/>
      </c>
      <c r="I258" s="37" t="str">
        <f t="shared" si="3"/>
        <v/>
      </c>
      <c r="J258" s="37" t="str">
        <f t="shared" si="4"/>
        <v/>
      </c>
      <c r="K258" s="32" t="str">
        <f t="shared" si="5"/>
        <v/>
      </c>
      <c r="L258" s="32" t="str">
        <f t="shared" si="6"/>
        <v/>
      </c>
      <c r="M258" s="32" t="str">
        <f t="shared" si="7"/>
        <v/>
      </c>
      <c r="N258" s="44" t="str">
        <f t="shared" si="8"/>
        <v/>
      </c>
      <c r="O258" s="45" t="str">
        <f t="shared" si="9"/>
        <v/>
      </c>
      <c r="P258" s="5"/>
      <c r="Q258" s="5"/>
      <c r="R258" s="5"/>
    </row>
    <row r="259" ht="15.75" customHeight="1">
      <c r="A259" s="46"/>
      <c r="B259" s="47"/>
      <c r="C259" s="47"/>
      <c r="D259" s="47"/>
      <c r="E259" s="47"/>
      <c r="F259" s="48"/>
      <c r="G259" s="36" t="str">
        <f t="shared" si="1"/>
        <v/>
      </c>
      <c r="H259" s="37" t="str">
        <f t="shared" si="2"/>
        <v/>
      </c>
      <c r="I259" s="37" t="str">
        <f t="shared" si="3"/>
        <v/>
      </c>
      <c r="J259" s="37" t="str">
        <f t="shared" si="4"/>
        <v/>
      </c>
      <c r="K259" s="32" t="str">
        <f t="shared" si="5"/>
        <v/>
      </c>
      <c r="L259" s="32" t="str">
        <f t="shared" si="6"/>
        <v/>
      </c>
      <c r="M259" s="32" t="str">
        <f t="shared" si="7"/>
        <v/>
      </c>
      <c r="N259" s="44" t="str">
        <f t="shared" si="8"/>
        <v/>
      </c>
      <c r="O259" s="45" t="str">
        <f t="shared" si="9"/>
        <v/>
      </c>
      <c r="P259" s="5"/>
      <c r="Q259" s="5"/>
      <c r="R259" s="5"/>
    </row>
    <row r="260" ht="15.75" customHeight="1">
      <c r="A260" s="46"/>
      <c r="B260" s="47"/>
      <c r="C260" s="47"/>
      <c r="D260" s="47"/>
      <c r="E260" s="47"/>
      <c r="F260" s="48"/>
      <c r="G260" s="36" t="str">
        <f t="shared" si="1"/>
        <v/>
      </c>
      <c r="H260" s="37" t="str">
        <f t="shared" si="2"/>
        <v/>
      </c>
      <c r="I260" s="37" t="str">
        <f t="shared" si="3"/>
        <v/>
      </c>
      <c r="J260" s="37" t="str">
        <f t="shared" si="4"/>
        <v/>
      </c>
      <c r="K260" s="32" t="str">
        <f t="shared" si="5"/>
        <v/>
      </c>
      <c r="L260" s="32" t="str">
        <f t="shared" si="6"/>
        <v/>
      </c>
      <c r="M260" s="32" t="str">
        <f t="shared" si="7"/>
        <v/>
      </c>
      <c r="N260" s="44" t="str">
        <f t="shared" si="8"/>
        <v/>
      </c>
      <c r="O260" s="45" t="str">
        <f t="shared" si="9"/>
        <v/>
      </c>
      <c r="P260" s="5"/>
      <c r="Q260" s="5"/>
      <c r="R260" s="5"/>
    </row>
    <row r="261" ht="15.75" customHeight="1">
      <c r="A261" s="46"/>
      <c r="B261" s="47"/>
      <c r="C261" s="47"/>
      <c r="D261" s="47"/>
      <c r="E261" s="47"/>
      <c r="F261" s="48"/>
      <c r="G261" s="36" t="str">
        <f t="shared" si="1"/>
        <v/>
      </c>
      <c r="H261" s="37" t="str">
        <f t="shared" si="2"/>
        <v/>
      </c>
      <c r="I261" s="37" t="str">
        <f t="shared" si="3"/>
        <v/>
      </c>
      <c r="J261" s="37" t="str">
        <f t="shared" si="4"/>
        <v/>
      </c>
      <c r="K261" s="32" t="str">
        <f t="shared" si="5"/>
        <v/>
      </c>
      <c r="L261" s="32" t="str">
        <f t="shared" si="6"/>
        <v/>
      </c>
      <c r="M261" s="32" t="str">
        <f t="shared" si="7"/>
        <v/>
      </c>
      <c r="N261" s="44" t="str">
        <f t="shared" si="8"/>
        <v/>
      </c>
      <c r="O261" s="45" t="str">
        <f t="shared" si="9"/>
        <v/>
      </c>
      <c r="P261" s="5"/>
      <c r="Q261" s="5"/>
      <c r="R261" s="5"/>
    </row>
    <row r="262" ht="15.75" customHeight="1">
      <c r="A262" s="46"/>
      <c r="B262" s="47"/>
      <c r="C262" s="47"/>
      <c r="D262" s="47"/>
      <c r="E262" s="47"/>
      <c r="F262" s="48"/>
      <c r="G262" s="36" t="str">
        <f t="shared" si="1"/>
        <v/>
      </c>
      <c r="H262" s="37" t="str">
        <f t="shared" si="2"/>
        <v/>
      </c>
      <c r="I262" s="37" t="str">
        <f t="shared" si="3"/>
        <v/>
      </c>
      <c r="J262" s="37" t="str">
        <f t="shared" si="4"/>
        <v/>
      </c>
      <c r="K262" s="32" t="str">
        <f t="shared" si="5"/>
        <v/>
      </c>
      <c r="L262" s="32" t="str">
        <f t="shared" si="6"/>
        <v/>
      </c>
      <c r="M262" s="32" t="str">
        <f t="shared" si="7"/>
        <v/>
      </c>
      <c r="N262" s="44" t="str">
        <f t="shared" si="8"/>
        <v/>
      </c>
      <c r="O262" s="45" t="str">
        <f t="shared" si="9"/>
        <v/>
      </c>
      <c r="P262" s="5"/>
      <c r="Q262" s="5"/>
      <c r="R262" s="5"/>
    </row>
    <row r="263" ht="15.75" customHeight="1">
      <c r="A263" s="46"/>
      <c r="B263" s="47"/>
      <c r="C263" s="47"/>
      <c r="D263" s="47"/>
      <c r="E263" s="47"/>
      <c r="F263" s="48"/>
      <c r="G263" s="36" t="str">
        <f t="shared" si="1"/>
        <v/>
      </c>
      <c r="H263" s="37" t="str">
        <f t="shared" si="2"/>
        <v/>
      </c>
      <c r="I263" s="37" t="str">
        <f t="shared" si="3"/>
        <v/>
      </c>
      <c r="J263" s="37" t="str">
        <f t="shared" si="4"/>
        <v/>
      </c>
      <c r="K263" s="32" t="str">
        <f t="shared" si="5"/>
        <v/>
      </c>
      <c r="L263" s="32" t="str">
        <f t="shared" si="6"/>
        <v/>
      </c>
      <c r="M263" s="32" t="str">
        <f t="shared" si="7"/>
        <v/>
      </c>
      <c r="N263" s="44" t="str">
        <f t="shared" si="8"/>
        <v/>
      </c>
      <c r="O263" s="45" t="str">
        <f t="shared" si="9"/>
        <v/>
      </c>
      <c r="P263" s="5"/>
      <c r="Q263" s="5"/>
      <c r="R263" s="5"/>
    </row>
    <row r="264" ht="15.75" customHeight="1">
      <c r="A264" s="46"/>
      <c r="B264" s="47"/>
      <c r="C264" s="47"/>
      <c r="D264" s="47"/>
      <c r="E264" s="47"/>
      <c r="F264" s="48"/>
      <c r="G264" s="36" t="str">
        <f t="shared" si="1"/>
        <v/>
      </c>
      <c r="H264" s="37" t="str">
        <f t="shared" si="2"/>
        <v/>
      </c>
      <c r="I264" s="37" t="str">
        <f t="shared" si="3"/>
        <v/>
      </c>
      <c r="J264" s="37" t="str">
        <f t="shared" si="4"/>
        <v/>
      </c>
      <c r="K264" s="32" t="str">
        <f t="shared" si="5"/>
        <v/>
      </c>
      <c r="L264" s="32" t="str">
        <f t="shared" si="6"/>
        <v/>
      </c>
      <c r="M264" s="32" t="str">
        <f t="shared" si="7"/>
        <v/>
      </c>
      <c r="N264" s="44" t="str">
        <f t="shared" si="8"/>
        <v/>
      </c>
      <c r="O264" s="45" t="str">
        <f t="shared" si="9"/>
        <v/>
      </c>
      <c r="P264" s="5"/>
      <c r="Q264" s="5"/>
      <c r="R264" s="5"/>
    </row>
    <row r="265" ht="15.75" customHeight="1">
      <c r="A265" s="46"/>
      <c r="B265" s="47"/>
      <c r="C265" s="47"/>
      <c r="D265" s="47"/>
      <c r="E265" s="47"/>
      <c r="F265" s="48"/>
      <c r="G265" s="36" t="str">
        <f t="shared" si="1"/>
        <v/>
      </c>
      <c r="H265" s="37" t="str">
        <f t="shared" si="2"/>
        <v/>
      </c>
      <c r="I265" s="37" t="str">
        <f t="shared" si="3"/>
        <v/>
      </c>
      <c r="J265" s="37" t="str">
        <f t="shared" si="4"/>
        <v/>
      </c>
      <c r="K265" s="32" t="str">
        <f t="shared" si="5"/>
        <v/>
      </c>
      <c r="L265" s="32" t="str">
        <f t="shared" si="6"/>
        <v/>
      </c>
      <c r="M265" s="32" t="str">
        <f t="shared" si="7"/>
        <v/>
      </c>
      <c r="N265" s="44" t="str">
        <f t="shared" si="8"/>
        <v/>
      </c>
      <c r="O265" s="45" t="str">
        <f t="shared" si="9"/>
        <v/>
      </c>
      <c r="P265" s="5"/>
      <c r="Q265" s="5"/>
      <c r="R265" s="5"/>
    </row>
    <row r="266" ht="15.75" customHeight="1">
      <c r="A266" s="46"/>
      <c r="B266" s="47"/>
      <c r="C266" s="47"/>
      <c r="D266" s="47"/>
      <c r="E266" s="47"/>
      <c r="F266" s="48"/>
      <c r="G266" s="36" t="str">
        <f t="shared" si="1"/>
        <v/>
      </c>
      <c r="H266" s="37" t="str">
        <f t="shared" si="2"/>
        <v/>
      </c>
      <c r="I266" s="37" t="str">
        <f t="shared" si="3"/>
        <v/>
      </c>
      <c r="J266" s="37" t="str">
        <f t="shared" si="4"/>
        <v/>
      </c>
      <c r="K266" s="32" t="str">
        <f t="shared" si="5"/>
        <v/>
      </c>
      <c r="L266" s="32" t="str">
        <f t="shared" si="6"/>
        <v/>
      </c>
      <c r="M266" s="32" t="str">
        <f t="shared" si="7"/>
        <v/>
      </c>
      <c r="N266" s="44" t="str">
        <f t="shared" si="8"/>
        <v/>
      </c>
      <c r="O266" s="45" t="str">
        <f t="shared" si="9"/>
        <v/>
      </c>
      <c r="P266" s="5"/>
      <c r="Q266" s="5"/>
      <c r="R266" s="5"/>
    </row>
    <row r="267" ht="15.75" customHeight="1">
      <c r="A267" s="46"/>
      <c r="B267" s="47"/>
      <c r="C267" s="47"/>
      <c r="D267" s="47"/>
      <c r="E267" s="47"/>
      <c r="F267" s="48"/>
      <c r="G267" s="36" t="str">
        <f t="shared" si="1"/>
        <v/>
      </c>
      <c r="H267" s="37" t="str">
        <f t="shared" si="2"/>
        <v/>
      </c>
      <c r="I267" s="37" t="str">
        <f t="shared" si="3"/>
        <v/>
      </c>
      <c r="J267" s="37" t="str">
        <f t="shared" si="4"/>
        <v/>
      </c>
      <c r="K267" s="32" t="str">
        <f t="shared" si="5"/>
        <v/>
      </c>
      <c r="L267" s="32" t="str">
        <f t="shared" si="6"/>
        <v/>
      </c>
      <c r="M267" s="32" t="str">
        <f t="shared" si="7"/>
        <v/>
      </c>
      <c r="N267" s="44" t="str">
        <f t="shared" si="8"/>
        <v/>
      </c>
      <c r="O267" s="45" t="str">
        <f t="shared" si="9"/>
        <v/>
      </c>
      <c r="P267" s="5"/>
      <c r="Q267" s="5"/>
      <c r="R267" s="5"/>
    </row>
    <row r="268" ht="15.75" customHeight="1">
      <c r="A268" s="46"/>
      <c r="B268" s="47"/>
      <c r="C268" s="47"/>
      <c r="D268" s="47"/>
      <c r="E268" s="47"/>
      <c r="F268" s="48"/>
      <c r="G268" s="36" t="str">
        <f t="shared" si="1"/>
        <v/>
      </c>
      <c r="H268" s="37" t="str">
        <f t="shared" si="2"/>
        <v/>
      </c>
      <c r="I268" s="37" t="str">
        <f t="shared" si="3"/>
        <v/>
      </c>
      <c r="J268" s="37" t="str">
        <f t="shared" si="4"/>
        <v/>
      </c>
      <c r="K268" s="32" t="str">
        <f t="shared" si="5"/>
        <v/>
      </c>
      <c r="L268" s="32" t="str">
        <f t="shared" si="6"/>
        <v/>
      </c>
      <c r="M268" s="32" t="str">
        <f t="shared" si="7"/>
        <v/>
      </c>
      <c r="N268" s="44" t="str">
        <f t="shared" si="8"/>
        <v/>
      </c>
      <c r="O268" s="45" t="str">
        <f t="shared" si="9"/>
        <v/>
      </c>
      <c r="P268" s="5"/>
      <c r="Q268" s="5"/>
      <c r="R268" s="5"/>
    </row>
    <row r="269" ht="15.75" customHeight="1">
      <c r="A269" s="46"/>
      <c r="B269" s="47"/>
      <c r="C269" s="47"/>
      <c r="D269" s="47"/>
      <c r="E269" s="47"/>
      <c r="F269" s="48"/>
      <c r="G269" s="36" t="str">
        <f t="shared" si="1"/>
        <v/>
      </c>
      <c r="H269" s="37" t="str">
        <f t="shared" si="2"/>
        <v/>
      </c>
      <c r="I269" s="37" t="str">
        <f t="shared" si="3"/>
        <v/>
      </c>
      <c r="J269" s="37" t="str">
        <f t="shared" si="4"/>
        <v/>
      </c>
      <c r="K269" s="32" t="str">
        <f t="shared" si="5"/>
        <v/>
      </c>
      <c r="L269" s="32" t="str">
        <f t="shared" si="6"/>
        <v/>
      </c>
      <c r="M269" s="32" t="str">
        <f t="shared" si="7"/>
        <v/>
      </c>
      <c r="N269" s="44" t="str">
        <f t="shared" si="8"/>
        <v/>
      </c>
      <c r="O269" s="45" t="str">
        <f t="shared" si="9"/>
        <v/>
      </c>
      <c r="P269" s="5"/>
      <c r="Q269" s="5"/>
      <c r="R269" s="5"/>
    </row>
    <row r="270" ht="15.75" customHeight="1">
      <c r="A270" s="46"/>
      <c r="B270" s="47"/>
      <c r="C270" s="47"/>
      <c r="D270" s="47"/>
      <c r="E270" s="47"/>
      <c r="F270" s="48"/>
      <c r="G270" s="36" t="str">
        <f t="shared" si="1"/>
        <v/>
      </c>
      <c r="H270" s="37" t="str">
        <f t="shared" si="2"/>
        <v/>
      </c>
      <c r="I270" s="37" t="str">
        <f t="shared" si="3"/>
        <v/>
      </c>
      <c r="J270" s="37" t="str">
        <f t="shared" si="4"/>
        <v/>
      </c>
      <c r="K270" s="32" t="str">
        <f t="shared" si="5"/>
        <v/>
      </c>
      <c r="L270" s="32" t="str">
        <f t="shared" si="6"/>
        <v/>
      </c>
      <c r="M270" s="32" t="str">
        <f t="shared" si="7"/>
        <v/>
      </c>
      <c r="N270" s="44" t="str">
        <f t="shared" si="8"/>
        <v/>
      </c>
      <c r="O270" s="45" t="str">
        <f t="shared" si="9"/>
        <v/>
      </c>
      <c r="P270" s="5"/>
      <c r="Q270" s="5"/>
      <c r="R270" s="5"/>
    </row>
    <row r="271" ht="15.75" customHeight="1">
      <c r="A271" s="46"/>
      <c r="B271" s="47"/>
      <c r="C271" s="47"/>
      <c r="D271" s="47"/>
      <c r="E271" s="47"/>
      <c r="F271" s="48"/>
      <c r="G271" s="36" t="str">
        <f t="shared" si="1"/>
        <v/>
      </c>
      <c r="H271" s="37" t="str">
        <f t="shared" si="2"/>
        <v/>
      </c>
      <c r="I271" s="37" t="str">
        <f t="shared" si="3"/>
        <v/>
      </c>
      <c r="J271" s="37" t="str">
        <f t="shared" si="4"/>
        <v/>
      </c>
      <c r="K271" s="32" t="str">
        <f t="shared" si="5"/>
        <v/>
      </c>
      <c r="L271" s="32" t="str">
        <f t="shared" si="6"/>
        <v/>
      </c>
      <c r="M271" s="32" t="str">
        <f t="shared" si="7"/>
        <v/>
      </c>
      <c r="N271" s="44" t="str">
        <f t="shared" si="8"/>
        <v/>
      </c>
      <c r="O271" s="45" t="str">
        <f t="shared" si="9"/>
        <v/>
      </c>
      <c r="P271" s="5"/>
      <c r="Q271" s="5"/>
      <c r="R271" s="5"/>
    </row>
    <row r="272" ht="15.75" customHeight="1">
      <c r="A272" s="46"/>
      <c r="B272" s="47"/>
      <c r="C272" s="47"/>
      <c r="D272" s="47"/>
      <c r="E272" s="47"/>
      <c r="F272" s="48"/>
      <c r="G272" s="36" t="str">
        <f t="shared" si="1"/>
        <v/>
      </c>
      <c r="H272" s="37" t="str">
        <f t="shared" si="2"/>
        <v/>
      </c>
      <c r="I272" s="37" t="str">
        <f t="shared" si="3"/>
        <v/>
      </c>
      <c r="J272" s="37" t="str">
        <f t="shared" si="4"/>
        <v/>
      </c>
      <c r="K272" s="32" t="str">
        <f t="shared" si="5"/>
        <v/>
      </c>
      <c r="L272" s="32" t="str">
        <f t="shared" si="6"/>
        <v/>
      </c>
      <c r="M272" s="32" t="str">
        <f t="shared" si="7"/>
        <v/>
      </c>
      <c r="N272" s="44" t="str">
        <f t="shared" si="8"/>
        <v/>
      </c>
      <c r="O272" s="45" t="str">
        <f t="shared" si="9"/>
        <v/>
      </c>
      <c r="P272" s="5"/>
      <c r="Q272" s="5"/>
      <c r="R272" s="5"/>
    </row>
    <row r="273" ht="15.75" customHeight="1">
      <c r="A273" s="46"/>
      <c r="B273" s="47"/>
      <c r="C273" s="47"/>
      <c r="D273" s="47"/>
      <c r="E273" s="47"/>
      <c r="F273" s="48"/>
      <c r="G273" s="36" t="str">
        <f t="shared" si="1"/>
        <v/>
      </c>
      <c r="H273" s="37" t="str">
        <f t="shared" si="2"/>
        <v/>
      </c>
      <c r="I273" s="37" t="str">
        <f t="shared" si="3"/>
        <v/>
      </c>
      <c r="J273" s="37" t="str">
        <f t="shared" si="4"/>
        <v/>
      </c>
      <c r="K273" s="32" t="str">
        <f t="shared" si="5"/>
        <v/>
      </c>
      <c r="L273" s="32" t="str">
        <f t="shared" si="6"/>
        <v/>
      </c>
      <c r="M273" s="32" t="str">
        <f t="shared" si="7"/>
        <v/>
      </c>
      <c r="N273" s="44" t="str">
        <f t="shared" si="8"/>
        <v/>
      </c>
      <c r="O273" s="45" t="str">
        <f t="shared" si="9"/>
        <v/>
      </c>
      <c r="P273" s="5"/>
      <c r="Q273" s="5"/>
      <c r="R273" s="5"/>
    </row>
    <row r="274" ht="15.75" customHeight="1">
      <c r="A274" s="46"/>
      <c r="B274" s="47"/>
      <c r="C274" s="47"/>
      <c r="D274" s="47"/>
      <c r="E274" s="47"/>
      <c r="F274" s="48"/>
      <c r="G274" s="36" t="str">
        <f t="shared" si="1"/>
        <v/>
      </c>
      <c r="H274" s="37" t="str">
        <f t="shared" si="2"/>
        <v/>
      </c>
      <c r="I274" s="37" t="str">
        <f t="shared" si="3"/>
        <v/>
      </c>
      <c r="J274" s="37" t="str">
        <f t="shared" si="4"/>
        <v/>
      </c>
      <c r="K274" s="32" t="str">
        <f t="shared" si="5"/>
        <v/>
      </c>
      <c r="L274" s="32" t="str">
        <f t="shared" si="6"/>
        <v/>
      </c>
      <c r="M274" s="32" t="str">
        <f t="shared" si="7"/>
        <v/>
      </c>
      <c r="N274" s="44" t="str">
        <f t="shared" si="8"/>
        <v/>
      </c>
      <c r="O274" s="45" t="str">
        <f t="shared" si="9"/>
        <v/>
      </c>
      <c r="P274" s="5"/>
      <c r="Q274" s="5"/>
      <c r="R274" s="5"/>
    </row>
    <row r="275" ht="15.75" customHeight="1">
      <c r="A275" s="46"/>
      <c r="B275" s="47"/>
      <c r="C275" s="47"/>
      <c r="D275" s="47"/>
      <c r="E275" s="47"/>
      <c r="F275" s="48"/>
      <c r="G275" s="36" t="str">
        <f t="shared" si="1"/>
        <v/>
      </c>
      <c r="H275" s="37" t="str">
        <f t="shared" si="2"/>
        <v/>
      </c>
      <c r="I275" s="37" t="str">
        <f t="shared" si="3"/>
        <v/>
      </c>
      <c r="J275" s="37" t="str">
        <f t="shared" si="4"/>
        <v/>
      </c>
      <c r="K275" s="32" t="str">
        <f t="shared" si="5"/>
        <v/>
      </c>
      <c r="L275" s="32" t="str">
        <f t="shared" si="6"/>
        <v/>
      </c>
      <c r="M275" s="32" t="str">
        <f t="shared" si="7"/>
        <v/>
      </c>
      <c r="N275" s="44" t="str">
        <f t="shared" si="8"/>
        <v/>
      </c>
      <c r="O275" s="45" t="str">
        <f t="shared" si="9"/>
        <v/>
      </c>
      <c r="P275" s="5"/>
      <c r="Q275" s="5"/>
      <c r="R275" s="5"/>
    </row>
    <row r="276" ht="15.75" customHeight="1">
      <c r="A276" s="46"/>
      <c r="B276" s="47"/>
      <c r="C276" s="47"/>
      <c r="D276" s="47"/>
      <c r="E276" s="47"/>
      <c r="F276" s="48"/>
      <c r="G276" s="36" t="str">
        <f t="shared" si="1"/>
        <v/>
      </c>
      <c r="H276" s="37" t="str">
        <f t="shared" si="2"/>
        <v/>
      </c>
      <c r="I276" s="37" t="str">
        <f t="shared" si="3"/>
        <v/>
      </c>
      <c r="J276" s="37" t="str">
        <f t="shared" si="4"/>
        <v/>
      </c>
      <c r="K276" s="32" t="str">
        <f t="shared" si="5"/>
        <v/>
      </c>
      <c r="L276" s="32" t="str">
        <f t="shared" si="6"/>
        <v/>
      </c>
      <c r="M276" s="32" t="str">
        <f t="shared" si="7"/>
        <v/>
      </c>
      <c r="N276" s="44" t="str">
        <f t="shared" si="8"/>
        <v/>
      </c>
      <c r="O276" s="45" t="str">
        <f t="shared" si="9"/>
        <v/>
      </c>
      <c r="P276" s="5"/>
      <c r="Q276" s="5"/>
      <c r="R276" s="5"/>
    </row>
    <row r="277" ht="15.75" customHeight="1">
      <c r="A277" s="46"/>
      <c r="B277" s="47"/>
      <c r="C277" s="47"/>
      <c r="D277" s="47"/>
      <c r="E277" s="47"/>
      <c r="F277" s="48"/>
      <c r="G277" s="36" t="str">
        <f t="shared" si="1"/>
        <v/>
      </c>
      <c r="H277" s="37" t="str">
        <f t="shared" si="2"/>
        <v/>
      </c>
      <c r="I277" s="37" t="str">
        <f t="shared" si="3"/>
        <v/>
      </c>
      <c r="J277" s="37" t="str">
        <f t="shared" si="4"/>
        <v/>
      </c>
      <c r="K277" s="32" t="str">
        <f t="shared" si="5"/>
        <v/>
      </c>
      <c r="L277" s="32" t="str">
        <f t="shared" si="6"/>
        <v/>
      </c>
      <c r="M277" s="32" t="str">
        <f t="shared" si="7"/>
        <v/>
      </c>
      <c r="N277" s="44" t="str">
        <f t="shared" si="8"/>
        <v/>
      </c>
      <c r="O277" s="45" t="str">
        <f t="shared" si="9"/>
        <v/>
      </c>
      <c r="P277" s="5"/>
      <c r="Q277" s="5"/>
      <c r="R277" s="5"/>
    </row>
    <row r="278" ht="15.75" customHeight="1">
      <c r="A278" s="46"/>
      <c r="B278" s="47"/>
      <c r="C278" s="47"/>
      <c r="D278" s="47"/>
      <c r="E278" s="47"/>
      <c r="F278" s="48"/>
      <c r="G278" s="36" t="str">
        <f t="shared" si="1"/>
        <v/>
      </c>
      <c r="H278" s="37" t="str">
        <f t="shared" si="2"/>
        <v/>
      </c>
      <c r="I278" s="37" t="str">
        <f t="shared" si="3"/>
        <v/>
      </c>
      <c r="J278" s="37" t="str">
        <f t="shared" si="4"/>
        <v/>
      </c>
      <c r="K278" s="32" t="str">
        <f t="shared" si="5"/>
        <v/>
      </c>
      <c r="L278" s="32" t="str">
        <f t="shared" si="6"/>
        <v/>
      </c>
      <c r="M278" s="32" t="str">
        <f t="shared" si="7"/>
        <v/>
      </c>
      <c r="N278" s="44" t="str">
        <f t="shared" si="8"/>
        <v/>
      </c>
      <c r="O278" s="45" t="str">
        <f t="shared" si="9"/>
        <v/>
      </c>
      <c r="P278" s="5"/>
      <c r="Q278" s="5"/>
      <c r="R278" s="5"/>
    </row>
    <row r="279" ht="15.75" customHeight="1">
      <c r="A279" s="46"/>
      <c r="B279" s="47"/>
      <c r="C279" s="47"/>
      <c r="D279" s="47"/>
      <c r="E279" s="47"/>
      <c r="F279" s="48"/>
      <c r="G279" s="36" t="str">
        <f t="shared" si="1"/>
        <v/>
      </c>
      <c r="H279" s="37" t="str">
        <f t="shared" si="2"/>
        <v/>
      </c>
      <c r="I279" s="37" t="str">
        <f t="shared" si="3"/>
        <v/>
      </c>
      <c r="J279" s="37" t="str">
        <f t="shared" si="4"/>
        <v/>
      </c>
      <c r="K279" s="32" t="str">
        <f t="shared" si="5"/>
        <v/>
      </c>
      <c r="L279" s="32" t="str">
        <f t="shared" si="6"/>
        <v/>
      </c>
      <c r="M279" s="32" t="str">
        <f t="shared" si="7"/>
        <v/>
      </c>
      <c r="N279" s="44" t="str">
        <f t="shared" si="8"/>
        <v/>
      </c>
      <c r="O279" s="45" t="str">
        <f t="shared" si="9"/>
        <v/>
      </c>
      <c r="P279" s="5"/>
      <c r="Q279" s="5"/>
      <c r="R279" s="5"/>
    </row>
    <row r="280" ht="15.75" customHeight="1">
      <c r="A280" s="46"/>
      <c r="B280" s="47"/>
      <c r="C280" s="47"/>
      <c r="D280" s="47"/>
      <c r="E280" s="47"/>
      <c r="F280" s="48"/>
      <c r="G280" s="36" t="str">
        <f t="shared" si="1"/>
        <v/>
      </c>
      <c r="H280" s="37" t="str">
        <f t="shared" si="2"/>
        <v/>
      </c>
      <c r="I280" s="37" t="str">
        <f t="shared" si="3"/>
        <v/>
      </c>
      <c r="J280" s="37" t="str">
        <f t="shared" si="4"/>
        <v/>
      </c>
      <c r="K280" s="32" t="str">
        <f t="shared" si="5"/>
        <v/>
      </c>
      <c r="L280" s="32" t="str">
        <f t="shared" si="6"/>
        <v/>
      </c>
      <c r="M280" s="32" t="str">
        <f t="shared" si="7"/>
        <v/>
      </c>
      <c r="N280" s="44" t="str">
        <f t="shared" si="8"/>
        <v/>
      </c>
      <c r="O280" s="45" t="str">
        <f t="shared" si="9"/>
        <v/>
      </c>
      <c r="P280" s="5"/>
      <c r="Q280" s="5"/>
      <c r="R280" s="5"/>
    </row>
    <row r="281" ht="15.75" customHeight="1">
      <c r="A281" s="46"/>
      <c r="B281" s="47"/>
      <c r="C281" s="47"/>
      <c r="D281" s="47"/>
      <c r="E281" s="47"/>
      <c r="F281" s="48"/>
      <c r="G281" s="36" t="str">
        <f t="shared" si="1"/>
        <v/>
      </c>
      <c r="H281" s="37" t="str">
        <f t="shared" si="2"/>
        <v/>
      </c>
      <c r="I281" s="37" t="str">
        <f t="shared" si="3"/>
        <v/>
      </c>
      <c r="J281" s="37" t="str">
        <f t="shared" si="4"/>
        <v/>
      </c>
      <c r="K281" s="32" t="str">
        <f t="shared" si="5"/>
        <v/>
      </c>
      <c r="L281" s="32" t="str">
        <f t="shared" si="6"/>
        <v/>
      </c>
      <c r="M281" s="32" t="str">
        <f t="shared" si="7"/>
        <v/>
      </c>
      <c r="N281" s="44" t="str">
        <f t="shared" si="8"/>
        <v/>
      </c>
      <c r="O281" s="45" t="str">
        <f t="shared" si="9"/>
        <v/>
      </c>
      <c r="P281" s="5"/>
      <c r="Q281" s="5"/>
      <c r="R281" s="5"/>
    </row>
    <row r="282" ht="15.75" customHeight="1">
      <c r="A282" s="46"/>
      <c r="B282" s="47"/>
      <c r="C282" s="47"/>
      <c r="D282" s="47"/>
      <c r="E282" s="47"/>
      <c r="F282" s="48"/>
      <c r="G282" s="36" t="str">
        <f t="shared" si="1"/>
        <v/>
      </c>
      <c r="H282" s="37" t="str">
        <f t="shared" si="2"/>
        <v/>
      </c>
      <c r="I282" s="37" t="str">
        <f t="shared" si="3"/>
        <v/>
      </c>
      <c r="J282" s="37" t="str">
        <f t="shared" si="4"/>
        <v/>
      </c>
      <c r="K282" s="32" t="str">
        <f t="shared" si="5"/>
        <v/>
      </c>
      <c r="L282" s="32" t="str">
        <f t="shared" si="6"/>
        <v/>
      </c>
      <c r="M282" s="32" t="str">
        <f t="shared" si="7"/>
        <v/>
      </c>
      <c r="N282" s="44" t="str">
        <f t="shared" si="8"/>
        <v/>
      </c>
      <c r="O282" s="45" t="str">
        <f t="shared" si="9"/>
        <v/>
      </c>
      <c r="P282" s="5"/>
      <c r="Q282" s="5"/>
      <c r="R282" s="5"/>
    </row>
    <row r="283" ht="15.75" customHeight="1">
      <c r="A283" s="46"/>
      <c r="B283" s="47"/>
      <c r="C283" s="47"/>
      <c r="D283" s="47"/>
      <c r="E283" s="47"/>
      <c r="F283" s="48"/>
      <c r="G283" s="36" t="str">
        <f t="shared" si="1"/>
        <v/>
      </c>
      <c r="H283" s="37" t="str">
        <f t="shared" si="2"/>
        <v/>
      </c>
      <c r="I283" s="37" t="str">
        <f t="shared" si="3"/>
        <v/>
      </c>
      <c r="J283" s="37" t="str">
        <f t="shared" si="4"/>
        <v/>
      </c>
      <c r="K283" s="32" t="str">
        <f t="shared" si="5"/>
        <v/>
      </c>
      <c r="L283" s="32" t="str">
        <f t="shared" si="6"/>
        <v/>
      </c>
      <c r="M283" s="32" t="str">
        <f t="shared" si="7"/>
        <v/>
      </c>
      <c r="N283" s="44" t="str">
        <f t="shared" si="8"/>
        <v/>
      </c>
      <c r="O283" s="45" t="str">
        <f t="shared" si="9"/>
        <v/>
      </c>
      <c r="P283" s="5"/>
      <c r="Q283" s="5"/>
      <c r="R283" s="5"/>
    </row>
    <row r="284" ht="15.75" customHeight="1">
      <c r="A284" s="46"/>
      <c r="B284" s="47"/>
      <c r="C284" s="47"/>
      <c r="D284" s="47"/>
      <c r="E284" s="47"/>
      <c r="F284" s="48"/>
      <c r="G284" s="36" t="str">
        <f t="shared" si="1"/>
        <v/>
      </c>
      <c r="H284" s="37" t="str">
        <f t="shared" si="2"/>
        <v/>
      </c>
      <c r="I284" s="37" t="str">
        <f t="shared" si="3"/>
        <v/>
      </c>
      <c r="J284" s="37" t="str">
        <f t="shared" si="4"/>
        <v/>
      </c>
      <c r="K284" s="32" t="str">
        <f t="shared" si="5"/>
        <v/>
      </c>
      <c r="L284" s="32" t="str">
        <f t="shared" si="6"/>
        <v/>
      </c>
      <c r="M284" s="32" t="str">
        <f t="shared" si="7"/>
        <v/>
      </c>
      <c r="N284" s="44" t="str">
        <f t="shared" si="8"/>
        <v/>
      </c>
      <c r="O284" s="45" t="str">
        <f t="shared" si="9"/>
        <v/>
      </c>
      <c r="P284" s="5"/>
      <c r="Q284" s="5"/>
      <c r="R284" s="5"/>
    </row>
    <row r="285" ht="15.75" customHeight="1">
      <c r="A285" s="46"/>
      <c r="B285" s="47"/>
      <c r="C285" s="47"/>
      <c r="D285" s="47"/>
      <c r="E285" s="47"/>
      <c r="F285" s="48"/>
      <c r="G285" s="36" t="str">
        <f t="shared" si="1"/>
        <v/>
      </c>
      <c r="H285" s="37" t="str">
        <f t="shared" si="2"/>
        <v/>
      </c>
      <c r="I285" s="37" t="str">
        <f t="shared" si="3"/>
        <v/>
      </c>
      <c r="J285" s="37" t="str">
        <f t="shared" si="4"/>
        <v/>
      </c>
      <c r="K285" s="32" t="str">
        <f t="shared" si="5"/>
        <v/>
      </c>
      <c r="L285" s="32" t="str">
        <f t="shared" si="6"/>
        <v/>
      </c>
      <c r="M285" s="32" t="str">
        <f t="shared" si="7"/>
        <v/>
      </c>
      <c r="N285" s="44" t="str">
        <f t="shared" si="8"/>
        <v/>
      </c>
      <c r="O285" s="45" t="str">
        <f t="shared" si="9"/>
        <v/>
      </c>
      <c r="P285" s="5"/>
      <c r="Q285" s="5"/>
      <c r="R285" s="5"/>
    </row>
    <row r="286" ht="15.75" customHeight="1">
      <c r="A286" s="46"/>
      <c r="B286" s="47"/>
      <c r="C286" s="47"/>
      <c r="D286" s="47"/>
      <c r="E286" s="47"/>
      <c r="F286" s="48"/>
      <c r="G286" s="36" t="str">
        <f t="shared" si="1"/>
        <v/>
      </c>
      <c r="H286" s="37" t="str">
        <f t="shared" si="2"/>
        <v/>
      </c>
      <c r="I286" s="37" t="str">
        <f t="shared" si="3"/>
        <v/>
      </c>
      <c r="J286" s="37" t="str">
        <f t="shared" si="4"/>
        <v/>
      </c>
      <c r="K286" s="32" t="str">
        <f t="shared" si="5"/>
        <v/>
      </c>
      <c r="L286" s="32" t="str">
        <f t="shared" si="6"/>
        <v/>
      </c>
      <c r="M286" s="32" t="str">
        <f t="shared" si="7"/>
        <v/>
      </c>
      <c r="N286" s="44" t="str">
        <f t="shared" si="8"/>
        <v/>
      </c>
      <c r="O286" s="45" t="str">
        <f t="shared" si="9"/>
        <v/>
      </c>
      <c r="P286" s="5"/>
      <c r="Q286" s="5"/>
      <c r="R286" s="5"/>
    </row>
    <row r="287" ht="15.75" customHeight="1">
      <c r="A287" s="46"/>
      <c r="B287" s="47"/>
      <c r="C287" s="47"/>
      <c r="D287" s="47"/>
      <c r="E287" s="47"/>
      <c r="F287" s="48"/>
      <c r="G287" s="36" t="str">
        <f t="shared" si="1"/>
        <v/>
      </c>
      <c r="H287" s="37" t="str">
        <f t="shared" si="2"/>
        <v/>
      </c>
      <c r="I287" s="37" t="str">
        <f t="shared" si="3"/>
        <v/>
      </c>
      <c r="J287" s="37" t="str">
        <f t="shared" si="4"/>
        <v/>
      </c>
      <c r="K287" s="32" t="str">
        <f t="shared" si="5"/>
        <v/>
      </c>
      <c r="L287" s="32" t="str">
        <f t="shared" si="6"/>
        <v/>
      </c>
      <c r="M287" s="32" t="str">
        <f t="shared" si="7"/>
        <v/>
      </c>
      <c r="N287" s="44" t="str">
        <f t="shared" si="8"/>
        <v/>
      </c>
      <c r="O287" s="45" t="str">
        <f t="shared" si="9"/>
        <v/>
      </c>
      <c r="P287" s="5"/>
      <c r="Q287" s="5"/>
      <c r="R287" s="5"/>
    </row>
    <row r="288" ht="15.75" customHeight="1">
      <c r="A288" s="46"/>
      <c r="B288" s="47"/>
      <c r="C288" s="47"/>
      <c r="D288" s="47"/>
      <c r="E288" s="47"/>
      <c r="F288" s="48"/>
      <c r="G288" s="36" t="str">
        <f t="shared" si="1"/>
        <v/>
      </c>
      <c r="H288" s="37" t="str">
        <f t="shared" si="2"/>
        <v/>
      </c>
      <c r="I288" s="37" t="str">
        <f t="shared" si="3"/>
        <v/>
      </c>
      <c r="J288" s="37" t="str">
        <f t="shared" si="4"/>
        <v/>
      </c>
      <c r="K288" s="32" t="str">
        <f t="shared" si="5"/>
        <v/>
      </c>
      <c r="L288" s="32" t="str">
        <f t="shared" si="6"/>
        <v/>
      </c>
      <c r="M288" s="32" t="str">
        <f t="shared" si="7"/>
        <v/>
      </c>
      <c r="N288" s="44" t="str">
        <f t="shared" si="8"/>
        <v/>
      </c>
      <c r="O288" s="45" t="str">
        <f t="shared" si="9"/>
        <v/>
      </c>
      <c r="P288" s="5"/>
      <c r="Q288" s="5"/>
      <c r="R288" s="5"/>
    </row>
    <row r="289" ht="15.75" customHeight="1">
      <c r="A289" s="46"/>
      <c r="B289" s="47"/>
      <c r="C289" s="47"/>
      <c r="D289" s="47"/>
      <c r="E289" s="47"/>
      <c r="F289" s="48"/>
      <c r="G289" s="36" t="str">
        <f t="shared" si="1"/>
        <v/>
      </c>
      <c r="H289" s="37" t="str">
        <f t="shared" si="2"/>
        <v/>
      </c>
      <c r="I289" s="37" t="str">
        <f t="shared" si="3"/>
        <v/>
      </c>
      <c r="J289" s="37" t="str">
        <f t="shared" si="4"/>
        <v/>
      </c>
      <c r="K289" s="32" t="str">
        <f t="shared" si="5"/>
        <v/>
      </c>
      <c r="L289" s="32" t="str">
        <f t="shared" si="6"/>
        <v/>
      </c>
      <c r="M289" s="32" t="str">
        <f t="shared" si="7"/>
        <v/>
      </c>
      <c r="N289" s="44" t="str">
        <f t="shared" si="8"/>
        <v/>
      </c>
      <c r="O289" s="45" t="str">
        <f t="shared" si="9"/>
        <v/>
      </c>
      <c r="P289" s="5"/>
      <c r="Q289" s="5"/>
      <c r="R289" s="5"/>
    </row>
    <row r="290" ht="15.75" customHeight="1">
      <c r="A290" s="46"/>
      <c r="B290" s="47"/>
      <c r="C290" s="47"/>
      <c r="D290" s="47"/>
      <c r="E290" s="47"/>
      <c r="F290" s="48"/>
      <c r="G290" s="36" t="str">
        <f t="shared" si="1"/>
        <v/>
      </c>
      <c r="H290" s="37" t="str">
        <f t="shared" si="2"/>
        <v/>
      </c>
      <c r="I290" s="37" t="str">
        <f t="shared" si="3"/>
        <v/>
      </c>
      <c r="J290" s="37" t="str">
        <f t="shared" si="4"/>
        <v/>
      </c>
      <c r="K290" s="32" t="str">
        <f t="shared" si="5"/>
        <v/>
      </c>
      <c r="L290" s="32" t="str">
        <f t="shared" si="6"/>
        <v/>
      </c>
      <c r="M290" s="32" t="str">
        <f t="shared" si="7"/>
        <v/>
      </c>
      <c r="N290" s="44" t="str">
        <f t="shared" si="8"/>
        <v/>
      </c>
      <c r="O290" s="45" t="str">
        <f t="shared" si="9"/>
        <v/>
      </c>
      <c r="P290" s="5"/>
      <c r="Q290" s="5"/>
      <c r="R290" s="5"/>
    </row>
    <row r="291" ht="15.75" customHeight="1">
      <c r="A291" s="46"/>
      <c r="B291" s="47"/>
      <c r="C291" s="47"/>
      <c r="D291" s="47"/>
      <c r="E291" s="47"/>
      <c r="F291" s="48"/>
      <c r="G291" s="36" t="str">
        <f t="shared" si="1"/>
        <v/>
      </c>
      <c r="H291" s="37" t="str">
        <f t="shared" si="2"/>
        <v/>
      </c>
      <c r="I291" s="37" t="str">
        <f t="shared" si="3"/>
        <v/>
      </c>
      <c r="J291" s="37" t="str">
        <f t="shared" si="4"/>
        <v/>
      </c>
      <c r="K291" s="32" t="str">
        <f t="shared" si="5"/>
        <v/>
      </c>
      <c r="L291" s="32" t="str">
        <f t="shared" si="6"/>
        <v/>
      </c>
      <c r="M291" s="32" t="str">
        <f t="shared" si="7"/>
        <v/>
      </c>
      <c r="N291" s="44" t="str">
        <f t="shared" si="8"/>
        <v/>
      </c>
      <c r="O291" s="45" t="str">
        <f t="shared" si="9"/>
        <v/>
      </c>
      <c r="P291" s="5"/>
      <c r="Q291" s="5"/>
      <c r="R291" s="5"/>
    </row>
    <row r="292" ht="15.75" customHeight="1">
      <c r="A292" s="46"/>
      <c r="B292" s="47"/>
      <c r="C292" s="47"/>
      <c r="D292" s="47"/>
      <c r="E292" s="47"/>
      <c r="F292" s="48"/>
      <c r="G292" s="36" t="str">
        <f t="shared" si="1"/>
        <v/>
      </c>
      <c r="H292" s="37" t="str">
        <f t="shared" si="2"/>
        <v/>
      </c>
      <c r="I292" s="37" t="str">
        <f t="shared" si="3"/>
        <v/>
      </c>
      <c r="J292" s="37" t="str">
        <f t="shared" si="4"/>
        <v/>
      </c>
      <c r="K292" s="32" t="str">
        <f t="shared" si="5"/>
        <v/>
      </c>
      <c r="L292" s="32" t="str">
        <f t="shared" si="6"/>
        <v/>
      </c>
      <c r="M292" s="32" t="str">
        <f t="shared" si="7"/>
        <v/>
      </c>
      <c r="N292" s="44" t="str">
        <f t="shared" si="8"/>
        <v/>
      </c>
      <c r="O292" s="45" t="str">
        <f t="shared" si="9"/>
        <v/>
      </c>
      <c r="P292" s="5"/>
      <c r="Q292" s="5"/>
      <c r="R292" s="5"/>
    </row>
    <row r="293" ht="15.75" customHeight="1">
      <c r="A293" s="46"/>
      <c r="B293" s="47"/>
      <c r="C293" s="47"/>
      <c r="D293" s="47"/>
      <c r="E293" s="47"/>
      <c r="F293" s="48"/>
      <c r="G293" s="36" t="str">
        <f t="shared" si="1"/>
        <v/>
      </c>
      <c r="H293" s="37" t="str">
        <f t="shared" si="2"/>
        <v/>
      </c>
      <c r="I293" s="37" t="str">
        <f t="shared" si="3"/>
        <v/>
      </c>
      <c r="J293" s="37" t="str">
        <f t="shared" si="4"/>
        <v/>
      </c>
      <c r="K293" s="32" t="str">
        <f t="shared" si="5"/>
        <v/>
      </c>
      <c r="L293" s="32" t="str">
        <f t="shared" si="6"/>
        <v/>
      </c>
      <c r="M293" s="32" t="str">
        <f t="shared" si="7"/>
        <v/>
      </c>
      <c r="N293" s="44" t="str">
        <f t="shared" si="8"/>
        <v/>
      </c>
      <c r="O293" s="45" t="str">
        <f t="shared" si="9"/>
        <v/>
      </c>
      <c r="P293" s="5"/>
      <c r="Q293" s="5"/>
      <c r="R293" s="5"/>
    </row>
    <row r="294" ht="15.75" customHeight="1">
      <c r="A294" s="46"/>
      <c r="B294" s="47"/>
      <c r="C294" s="47"/>
      <c r="D294" s="47"/>
      <c r="E294" s="47"/>
      <c r="F294" s="48"/>
      <c r="G294" s="36" t="str">
        <f t="shared" si="1"/>
        <v/>
      </c>
      <c r="H294" s="37" t="str">
        <f t="shared" si="2"/>
        <v/>
      </c>
      <c r="I294" s="37" t="str">
        <f t="shared" si="3"/>
        <v/>
      </c>
      <c r="J294" s="37" t="str">
        <f t="shared" si="4"/>
        <v/>
      </c>
      <c r="K294" s="32" t="str">
        <f t="shared" si="5"/>
        <v/>
      </c>
      <c r="L294" s="32" t="str">
        <f t="shared" si="6"/>
        <v/>
      </c>
      <c r="M294" s="32" t="str">
        <f t="shared" si="7"/>
        <v/>
      </c>
      <c r="N294" s="44" t="str">
        <f t="shared" si="8"/>
        <v/>
      </c>
      <c r="O294" s="45" t="str">
        <f t="shared" si="9"/>
        <v/>
      </c>
      <c r="P294" s="5"/>
      <c r="Q294" s="5"/>
      <c r="R294" s="5"/>
    </row>
    <row r="295" ht="15.75" customHeight="1">
      <c r="A295" s="46"/>
      <c r="B295" s="47"/>
      <c r="C295" s="47"/>
      <c r="D295" s="47"/>
      <c r="E295" s="47"/>
      <c r="F295" s="48"/>
      <c r="G295" s="36" t="str">
        <f t="shared" si="1"/>
        <v/>
      </c>
      <c r="H295" s="37" t="str">
        <f t="shared" si="2"/>
        <v/>
      </c>
      <c r="I295" s="37" t="str">
        <f t="shared" si="3"/>
        <v/>
      </c>
      <c r="J295" s="37" t="str">
        <f t="shared" si="4"/>
        <v/>
      </c>
      <c r="K295" s="32" t="str">
        <f t="shared" si="5"/>
        <v/>
      </c>
      <c r="L295" s="32" t="str">
        <f t="shared" si="6"/>
        <v/>
      </c>
      <c r="M295" s="32" t="str">
        <f t="shared" si="7"/>
        <v/>
      </c>
      <c r="N295" s="44" t="str">
        <f t="shared" si="8"/>
        <v/>
      </c>
      <c r="O295" s="45" t="str">
        <f t="shared" si="9"/>
        <v/>
      </c>
      <c r="P295" s="5"/>
      <c r="Q295" s="5"/>
      <c r="R295" s="5"/>
    </row>
    <row r="296" ht="15.75" customHeight="1">
      <c r="A296" s="46"/>
      <c r="B296" s="47"/>
      <c r="C296" s="47"/>
      <c r="D296" s="47"/>
      <c r="E296" s="47"/>
      <c r="F296" s="48"/>
      <c r="G296" s="36" t="str">
        <f t="shared" si="1"/>
        <v/>
      </c>
      <c r="H296" s="37" t="str">
        <f t="shared" si="2"/>
        <v/>
      </c>
      <c r="I296" s="37" t="str">
        <f t="shared" si="3"/>
        <v/>
      </c>
      <c r="J296" s="37" t="str">
        <f t="shared" si="4"/>
        <v/>
      </c>
      <c r="K296" s="32" t="str">
        <f t="shared" si="5"/>
        <v/>
      </c>
      <c r="L296" s="32" t="str">
        <f t="shared" si="6"/>
        <v/>
      </c>
      <c r="M296" s="32" t="str">
        <f t="shared" si="7"/>
        <v/>
      </c>
      <c r="N296" s="44" t="str">
        <f t="shared" si="8"/>
        <v/>
      </c>
      <c r="O296" s="45" t="str">
        <f t="shared" si="9"/>
        <v/>
      </c>
      <c r="P296" s="5"/>
      <c r="Q296" s="5"/>
      <c r="R296" s="5"/>
    </row>
    <row r="297" ht="15.75" customHeight="1">
      <c r="A297" s="46"/>
      <c r="B297" s="47"/>
      <c r="C297" s="47"/>
      <c r="D297" s="47"/>
      <c r="E297" s="47"/>
      <c r="F297" s="48"/>
      <c r="G297" s="36" t="str">
        <f t="shared" si="1"/>
        <v/>
      </c>
      <c r="H297" s="37" t="str">
        <f t="shared" si="2"/>
        <v/>
      </c>
      <c r="I297" s="37" t="str">
        <f t="shared" si="3"/>
        <v/>
      </c>
      <c r="J297" s="37" t="str">
        <f t="shared" si="4"/>
        <v/>
      </c>
      <c r="K297" s="32" t="str">
        <f t="shared" si="5"/>
        <v/>
      </c>
      <c r="L297" s="32" t="str">
        <f t="shared" si="6"/>
        <v/>
      </c>
      <c r="M297" s="32" t="str">
        <f t="shared" si="7"/>
        <v/>
      </c>
      <c r="N297" s="44" t="str">
        <f t="shared" si="8"/>
        <v/>
      </c>
      <c r="O297" s="45" t="str">
        <f t="shared" si="9"/>
        <v/>
      </c>
      <c r="P297" s="5"/>
      <c r="Q297" s="5"/>
      <c r="R297" s="5"/>
    </row>
    <row r="298" ht="15.75" customHeight="1">
      <c r="A298" s="46"/>
      <c r="B298" s="47"/>
      <c r="C298" s="47"/>
      <c r="D298" s="47"/>
      <c r="E298" s="47"/>
      <c r="F298" s="48"/>
      <c r="G298" s="36" t="str">
        <f t="shared" si="1"/>
        <v/>
      </c>
      <c r="H298" s="37" t="str">
        <f t="shared" si="2"/>
        <v/>
      </c>
      <c r="I298" s="37" t="str">
        <f t="shared" si="3"/>
        <v/>
      </c>
      <c r="J298" s="37" t="str">
        <f t="shared" si="4"/>
        <v/>
      </c>
      <c r="K298" s="32" t="str">
        <f t="shared" si="5"/>
        <v/>
      </c>
      <c r="L298" s="32" t="str">
        <f t="shared" si="6"/>
        <v/>
      </c>
      <c r="M298" s="32" t="str">
        <f t="shared" si="7"/>
        <v/>
      </c>
      <c r="N298" s="44" t="str">
        <f t="shared" si="8"/>
        <v/>
      </c>
      <c r="O298" s="45" t="str">
        <f t="shared" si="9"/>
        <v/>
      </c>
      <c r="P298" s="5"/>
      <c r="Q298" s="5"/>
      <c r="R298" s="5"/>
    </row>
    <row r="299" ht="15.75" customHeight="1">
      <c r="A299" s="46"/>
      <c r="B299" s="47"/>
      <c r="C299" s="47"/>
      <c r="D299" s="47"/>
      <c r="E299" s="47"/>
      <c r="F299" s="48"/>
      <c r="G299" s="36" t="str">
        <f t="shared" si="1"/>
        <v/>
      </c>
      <c r="H299" s="37" t="str">
        <f t="shared" si="2"/>
        <v/>
      </c>
      <c r="I299" s="37" t="str">
        <f t="shared" si="3"/>
        <v/>
      </c>
      <c r="J299" s="37" t="str">
        <f t="shared" si="4"/>
        <v/>
      </c>
      <c r="K299" s="32" t="str">
        <f t="shared" si="5"/>
        <v/>
      </c>
      <c r="L299" s="32" t="str">
        <f t="shared" si="6"/>
        <v/>
      </c>
      <c r="M299" s="32" t="str">
        <f t="shared" si="7"/>
        <v/>
      </c>
      <c r="N299" s="44" t="str">
        <f t="shared" si="8"/>
        <v/>
      </c>
      <c r="O299" s="45" t="str">
        <f t="shared" si="9"/>
        <v/>
      </c>
      <c r="P299" s="5"/>
      <c r="Q299" s="5"/>
      <c r="R299" s="5"/>
    </row>
    <row r="300" ht="15.75" customHeight="1">
      <c r="A300" s="46"/>
      <c r="B300" s="47"/>
      <c r="C300" s="47"/>
      <c r="D300" s="47"/>
      <c r="E300" s="47"/>
      <c r="F300" s="48"/>
      <c r="G300" s="36" t="str">
        <f t="shared" si="1"/>
        <v/>
      </c>
      <c r="H300" s="37" t="str">
        <f t="shared" si="2"/>
        <v/>
      </c>
      <c r="I300" s="37" t="str">
        <f t="shared" si="3"/>
        <v/>
      </c>
      <c r="J300" s="37" t="str">
        <f t="shared" si="4"/>
        <v/>
      </c>
      <c r="K300" s="32" t="str">
        <f t="shared" si="5"/>
        <v/>
      </c>
      <c r="L300" s="32" t="str">
        <f t="shared" si="6"/>
        <v/>
      </c>
      <c r="M300" s="32" t="str">
        <f t="shared" si="7"/>
        <v/>
      </c>
      <c r="N300" s="44" t="str">
        <f t="shared" si="8"/>
        <v/>
      </c>
      <c r="O300" s="45" t="str">
        <f t="shared" si="9"/>
        <v/>
      </c>
      <c r="P300" s="5"/>
      <c r="Q300" s="5"/>
      <c r="R300" s="5"/>
    </row>
    <row r="301" ht="15.75" customHeight="1">
      <c r="A301" s="46"/>
      <c r="B301" s="47"/>
      <c r="C301" s="47"/>
      <c r="D301" s="47"/>
      <c r="E301" s="47"/>
      <c r="F301" s="48"/>
      <c r="G301" s="36" t="str">
        <f t="shared" si="1"/>
        <v/>
      </c>
      <c r="H301" s="37" t="str">
        <f t="shared" si="2"/>
        <v/>
      </c>
      <c r="I301" s="37" t="str">
        <f t="shared" si="3"/>
        <v/>
      </c>
      <c r="J301" s="37" t="str">
        <f t="shared" si="4"/>
        <v/>
      </c>
      <c r="K301" s="32" t="str">
        <f t="shared" si="5"/>
        <v/>
      </c>
      <c r="L301" s="32" t="str">
        <f t="shared" si="6"/>
        <v/>
      </c>
      <c r="M301" s="32" t="str">
        <f t="shared" si="7"/>
        <v/>
      </c>
      <c r="N301" s="44" t="str">
        <f t="shared" si="8"/>
        <v/>
      </c>
      <c r="O301" s="45" t="str">
        <f t="shared" si="9"/>
        <v/>
      </c>
      <c r="P301" s="5"/>
      <c r="Q301" s="5"/>
      <c r="R301" s="5"/>
    </row>
    <row r="302" ht="15.75" customHeight="1">
      <c r="A302" s="46"/>
      <c r="B302" s="47"/>
      <c r="C302" s="47"/>
      <c r="D302" s="47"/>
      <c r="E302" s="47"/>
      <c r="F302" s="48"/>
      <c r="G302" s="36" t="str">
        <f t="shared" si="1"/>
        <v/>
      </c>
      <c r="H302" s="37" t="str">
        <f t="shared" si="2"/>
        <v/>
      </c>
      <c r="I302" s="37" t="str">
        <f t="shared" si="3"/>
        <v/>
      </c>
      <c r="J302" s="37" t="str">
        <f t="shared" si="4"/>
        <v/>
      </c>
      <c r="K302" s="32" t="str">
        <f t="shared" si="5"/>
        <v/>
      </c>
      <c r="L302" s="32" t="str">
        <f t="shared" si="6"/>
        <v/>
      </c>
      <c r="M302" s="32" t="str">
        <f t="shared" si="7"/>
        <v/>
      </c>
      <c r="N302" s="44" t="str">
        <f t="shared" si="8"/>
        <v/>
      </c>
      <c r="O302" s="45" t="str">
        <f t="shared" si="9"/>
        <v/>
      </c>
      <c r="P302" s="5"/>
      <c r="Q302" s="5"/>
      <c r="R302" s="5"/>
    </row>
    <row r="303" ht="15.75" customHeight="1">
      <c r="A303" s="46"/>
      <c r="B303" s="47"/>
      <c r="C303" s="47"/>
      <c r="D303" s="47"/>
      <c r="E303" s="47"/>
      <c r="F303" s="48"/>
      <c r="G303" s="36" t="str">
        <f t="shared" si="1"/>
        <v/>
      </c>
      <c r="H303" s="37" t="str">
        <f t="shared" si="2"/>
        <v/>
      </c>
      <c r="I303" s="37" t="str">
        <f t="shared" si="3"/>
        <v/>
      </c>
      <c r="J303" s="37" t="str">
        <f t="shared" si="4"/>
        <v/>
      </c>
      <c r="K303" s="32" t="str">
        <f t="shared" si="5"/>
        <v/>
      </c>
      <c r="L303" s="32" t="str">
        <f t="shared" si="6"/>
        <v/>
      </c>
      <c r="M303" s="32" t="str">
        <f t="shared" si="7"/>
        <v/>
      </c>
      <c r="N303" s="44" t="str">
        <f t="shared" si="8"/>
        <v/>
      </c>
      <c r="O303" s="45" t="str">
        <f t="shared" si="9"/>
        <v/>
      </c>
      <c r="P303" s="5"/>
      <c r="Q303" s="5"/>
      <c r="R303" s="5"/>
    </row>
    <row r="304" ht="15.75" customHeight="1">
      <c r="A304" s="46"/>
      <c r="B304" s="47"/>
      <c r="C304" s="47"/>
      <c r="D304" s="47"/>
      <c r="E304" s="47"/>
      <c r="F304" s="48"/>
      <c r="G304" s="36" t="str">
        <f t="shared" si="1"/>
        <v/>
      </c>
      <c r="H304" s="37" t="str">
        <f t="shared" si="2"/>
        <v/>
      </c>
      <c r="I304" s="37" t="str">
        <f t="shared" si="3"/>
        <v/>
      </c>
      <c r="J304" s="37" t="str">
        <f t="shared" si="4"/>
        <v/>
      </c>
      <c r="K304" s="32" t="str">
        <f t="shared" si="5"/>
        <v/>
      </c>
      <c r="L304" s="32" t="str">
        <f t="shared" si="6"/>
        <v/>
      </c>
      <c r="M304" s="32" t="str">
        <f t="shared" si="7"/>
        <v/>
      </c>
      <c r="N304" s="44" t="str">
        <f t="shared" si="8"/>
        <v/>
      </c>
      <c r="O304" s="45" t="str">
        <f t="shared" si="9"/>
        <v/>
      </c>
      <c r="P304" s="5"/>
      <c r="Q304" s="5"/>
      <c r="R304" s="5"/>
    </row>
    <row r="305" ht="15.75" customHeight="1">
      <c r="A305" s="46"/>
      <c r="B305" s="47"/>
      <c r="C305" s="47"/>
      <c r="D305" s="47"/>
      <c r="E305" s="47"/>
      <c r="F305" s="48"/>
      <c r="G305" s="36" t="str">
        <f t="shared" si="1"/>
        <v/>
      </c>
      <c r="H305" s="37" t="str">
        <f t="shared" si="2"/>
        <v/>
      </c>
      <c r="I305" s="37" t="str">
        <f t="shared" si="3"/>
        <v/>
      </c>
      <c r="J305" s="37" t="str">
        <f t="shared" si="4"/>
        <v/>
      </c>
      <c r="K305" s="32" t="str">
        <f t="shared" si="5"/>
        <v/>
      </c>
      <c r="L305" s="32" t="str">
        <f t="shared" si="6"/>
        <v/>
      </c>
      <c r="M305" s="32" t="str">
        <f t="shared" si="7"/>
        <v/>
      </c>
      <c r="N305" s="44" t="str">
        <f t="shared" si="8"/>
        <v/>
      </c>
      <c r="O305" s="45" t="str">
        <f t="shared" si="9"/>
        <v/>
      </c>
      <c r="P305" s="5"/>
      <c r="Q305" s="5"/>
      <c r="R305" s="5"/>
    </row>
    <row r="306" ht="15.75" customHeight="1">
      <c r="A306" s="46"/>
      <c r="B306" s="47"/>
      <c r="C306" s="47"/>
      <c r="D306" s="47"/>
      <c r="E306" s="47"/>
      <c r="F306" s="48"/>
      <c r="G306" s="36" t="str">
        <f t="shared" si="1"/>
        <v/>
      </c>
      <c r="H306" s="37" t="str">
        <f t="shared" si="2"/>
        <v/>
      </c>
      <c r="I306" s="37" t="str">
        <f t="shared" si="3"/>
        <v/>
      </c>
      <c r="J306" s="37" t="str">
        <f t="shared" si="4"/>
        <v/>
      </c>
      <c r="K306" s="32" t="str">
        <f t="shared" si="5"/>
        <v/>
      </c>
      <c r="L306" s="32" t="str">
        <f t="shared" si="6"/>
        <v/>
      </c>
      <c r="M306" s="32" t="str">
        <f t="shared" si="7"/>
        <v/>
      </c>
      <c r="N306" s="44" t="str">
        <f t="shared" si="8"/>
        <v/>
      </c>
      <c r="O306" s="45" t="str">
        <f t="shared" si="9"/>
        <v/>
      </c>
      <c r="P306" s="5"/>
      <c r="Q306" s="5"/>
      <c r="R306" s="5"/>
    </row>
    <row r="307" ht="15.75" customHeight="1">
      <c r="A307" s="46"/>
      <c r="B307" s="47"/>
      <c r="C307" s="47"/>
      <c r="D307" s="47"/>
      <c r="E307" s="47"/>
      <c r="F307" s="48"/>
      <c r="G307" s="36" t="str">
        <f t="shared" si="1"/>
        <v/>
      </c>
      <c r="H307" s="37" t="str">
        <f t="shared" si="2"/>
        <v/>
      </c>
      <c r="I307" s="37" t="str">
        <f t="shared" si="3"/>
        <v/>
      </c>
      <c r="J307" s="37" t="str">
        <f t="shared" si="4"/>
        <v/>
      </c>
      <c r="K307" s="32" t="str">
        <f t="shared" si="5"/>
        <v/>
      </c>
      <c r="L307" s="32" t="str">
        <f t="shared" si="6"/>
        <v/>
      </c>
      <c r="M307" s="32" t="str">
        <f t="shared" si="7"/>
        <v/>
      </c>
      <c r="N307" s="44" t="str">
        <f t="shared" si="8"/>
        <v/>
      </c>
      <c r="O307" s="45" t="str">
        <f t="shared" si="9"/>
        <v/>
      </c>
      <c r="P307" s="5"/>
      <c r="Q307" s="5"/>
      <c r="R307" s="5"/>
    </row>
    <row r="308" ht="15.75" customHeight="1">
      <c r="A308" s="46"/>
      <c r="B308" s="47"/>
      <c r="C308" s="47"/>
      <c r="D308" s="47"/>
      <c r="E308" s="47"/>
      <c r="F308" s="48"/>
      <c r="G308" s="36" t="str">
        <f t="shared" si="1"/>
        <v/>
      </c>
      <c r="H308" s="37" t="str">
        <f t="shared" si="2"/>
        <v/>
      </c>
      <c r="I308" s="37" t="str">
        <f t="shared" si="3"/>
        <v/>
      </c>
      <c r="J308" s="37" t="str">
        <f t="shared" si="4"/>
        <v/>
      </c>
      <c r="K308" s="32" t="str">
        <f t="shared" si="5"/>
        <v/>
      </c>
      <c r="L308" s="32" t="str">
        <f t="shared" si="6"/>
        <v/>
      </c>
      <c r="M308" s="32" t="str">
        <f t="shared" si="7"/>
        <v/>
      </c>
      <c r="N308" s="44" t="str">
        <f t="shared" si="8"/>
        <v/>
      </c>
      <c r="O308" s="45" t="str">
        <f t="shared" si="9"/>
        <v/>
      </c>
      <c r="P308" s="5"/>
      <c r="Q308" s="5"/>
      <c r="R308" s="5"/>
    </row>
    <row r="309" ht="15.75" customHeight="1">
      <c r="A309" s="46"/>
      <c r="B309" s="47"/>
      <c r="C309" s="47"/>
      <c r="D309" s="47"/>
      <c r="E309" s="47"/>
      <c r="F309" s="48"/>
      <c r="G309" s="36" t="str">
        <f t="shared" si="1"/>
        <v/>
      </c>
      <c r="H309" s="37" t="str">
        <f t="shared" si="2"/>
        <v/>
      </c>
      <c r="I309" s="37" t="str">
        <f t="shared" si="3"/>
        <v/>
      </c>
      <c r="J309" s="37" t="str">
        <f t="shared" si="4"/>
        <v/>
      </c>
      <c r="K309" s="32" t="str">
        <f t="shared" si="5"/>
        <v/>
      </c>
      <c r="L309" s="32" t="str">
        <f t="shared" si="6"/>
        <v/>
      </c>
      <c r="M309" s="32" t="str">
        <f t="shared" si="7"/>
        <v/>
      </c>
      <c r="N309" s="44" t="str">
        <f t="shared" si="8"/>
        <v/>
      </c>
      <c r="O309" s="45" t="str">
        <f t="shared" si="9"/>
        <v/>
      </c>
      <c r="P309" s="5"/>
      <c r="Q309" s="5"/>
      <c r="R309" s="5"/>
    </row>
    <row r="310" ht="15.75" customHeight="1">
      <c r="A310" s="46"/>
      <c r="B310" s="47"/>
      <c r="C310" s="47"/>
      <c r="D310" s="47"/>
      <c r="E310" s="47"/>
      <c r="F310" s="48"/>
      <c r="G310" s="36" t="str">
        <f t="shared" si="1"/>
        <v/>
      </c>
      <c r="H310" s="37" t="str">
        <f t="shared" si="2"/>
        <v/>
      </c>
      <c r="I310" s="37" t="str">
        <f t="shared" si="3"/>
        <v/>
      </c>
      <c r="J310" s="37" t="str">
        <f t="shared" si="4"/>
        <v/>
      </c>
      <c r="K310" s="32" t="str">
        <f t="shared" si="5"/>
        <v/>
      </c>
      <c r="L310" s="32" t="str">
        <f t="shared" si="6"/>
        <v/>
      </c>
      <c r="M310" s="32" t="str">
        <f t="shared" si="7"/>
        <v/>
      </c>
      <c r="N310" s="44" t="str">
        <f t="shared" si="8"/>
        <v/>
      </c>
      <c r="O310" s="45" t="str">
        <f t="shared" si="9"/>
        <v/>
      </c>
      <c r="P310" s="5"/>
      <c r="Q310" s="5"/>
      <c r="R310" s="5"/>
    </row>
    <row r="311" ht="15.75" customHeight="1">
      <c r="A311" s="46"/>
      <c r="B311" s="47"/>
      <c r="C311" s="47"/>
      <c r="D311" s="47"/>
      <c r="E311" s="47"/>
      <c r="F311" s="48"/>
      <c r="G311" s="36" t="str">
        <f t="shared" si="1"/>
        <v/>
      </c>
      <c r="H311" s="37" t="str">
        <f t="shared" si="2"/>
        <v/>
      </c>
      <c r="I311" s="37" t="str">
        <f t="shared" si="3"/>
        <v/>
      </c>
      <c r="J311" s="37" t="str">
        <f t="shared" si="4"/>
        <v/>
      </c>
      <c r="K311" s="32" t="str">
        <f t="shared" si="5"/>
        <v/>
      </c>
      <c r="L311" s="32" t="str">
        <f t="shared" si="6"/>
        <v/>
      </c>
      <c r="M311" s="32" t="str">
        <f t="shared" si="7"/>
        <v/>
      </c>
      <c r="N311" s="44" t="str">
        <f t="shared" si="8"/>
        <v/>
      </c>
      <c r="O311" s="45" t="str">
        <f t="shared" si="9"/>
        <v/>
      </c>
      <c r="P311" s="5"/>
      <c r="Q311" s="5"/>
      <c r="R311" s="5"/>
    </row>
    <row r="312" ht="15.75" customHeight="1">
      <c r="A312" s="46"/>
      <c r="B312" s="47"/>
      <c r="C312" s="47"/>
      <c r="D312" s="47"/>
      <c r="E312" s="47"/>
      <c r="F312" s="48"/>
      <c r="G312" s="36" t="str">
        <f t="shared" si="1"/>
        <v/>
      </c>
      <c r="H312" s="37" t="str">
        <f t="shared" si="2"/>
        <v/>
      </c>
      <c r="I312" s="37" t="str">
        <f t="shared" si="3"/>
        <v/>
      </c>
      <c r="J312" s="37" t="str">
        <f t="shared" si="4"/>
        <v/>
      </c>
      <c r="K312" s="32" t="str">
        <f t="shared" si="5"/>
        <v/>
      </c>
      <c r="L312" s="32" t="str">
        <f t="shared" si="6"/>
        <v/>
      </c>
      <c r="M312" s="32" t="str">
        <f t="shared" si="7"/>
        <v/>
      </c>
      <c r="N312" s="44" t="str">
        <f t="shared" si="8"/>
        <v/>
      </c>
      <c r="O312" s="45" t="str">
        <f t="shared" si="9"/>
        <v/>
      </c>
      <c r="P312" s="5"/>
      <c r="Q312" s="5"/>
      <c r="R312" s="5"/>
    </row>
    <row r="313" ht="15.75" customHeight="1">
      <c r="A313" s="46"/>
      <c r="B313" s="47"/>
      <c r="C313" s="47"/>
      <c r="D313" s="47"/>
      <c r="E313" s="47"/>
      <c r="F313" s="48"/>
      <c r="G313" s="36" t="str">
        <f t="shared" si="1"/>
        <v/>
      </c>
      <c r="H313" s="37" t="str">
        <f t="shared" si="2"/>
        <v/>
      </c>
      <c r="I313" s="37" t="str">
        <f t="shared" si="3"/>
        <v/>
      </c>
      <c r="J313" s="37" t="str">
        <f t="shared" si="4"/>
        <v/>
      </c>
      <c r="K313" s="32" t="str">
        <f t="shared" si="5"/>
        <v/>
      </c>
      <c r="L313" s="32" t="str">
        <f t="shared" si="6"/>
        <v/>
      </c>
      <c r="M313" s="32" t="str">
        <f t="shared" si="7"/>
        <v/>
      </c>
      <c r="N313" s="44" t="str">
        <f t="shared" si="8"/>
        <v/>
      </c>
      <c r="O313" s="45" t="str">
        <f t="shared" si="9"/>
        <v/>
      </c>
      <c r="P313" s="5"/>
      <c r="Q313" s="5"/>
      <c r="R313" s="5"/>
    </row>
    <row r="314" ht="15.75" customHeight="1">
      <c r="A314" s="46"/>
      <c r="B314" s="47"/>
      <c r="C314" s="47"/>
      <c r="D314" s="47"/>
      <c r="E314" s="47"/>
      <c r="F314" s="48"/>
      <c r="G314" s="36" t="str">
        <f t="shared" si="1"/>
        <v/>
      </c>
      <c r="H314" s="37" t="str">
        <f t="shared" si="2"/>
        <v/>
      </c>
      <c r="I314" s="37" t="str">
        <f t="shared" si="3"/>
        <v/>
      </c>
      <c r="J314" s="37" t="str">
        <f t="shared" si="4"/>
        <v/>
      </c>
      <c r="K314" s="32" t="str">
        <f t="shared" si="5"/>
        <v/>
      </c>
      <c r="L314" s="32" t="str">
        <f t="shared" si="6"/>
        <v/>
      </c>
      <c r="M314" s="32" t="str">
        <f t="shared" si="7"/>
        <v/>
      </c>
      <c r="N314" s="44" t="str">
        <f t="shared" si="8"/>
        <v/>
      </c>
      <c r="O314" s="45" t="str">
        <f t="shared" si="9"/>
        <v/>
      </c>
      <c r="P314" s="5"/>
      <c r="Q314" s="5"/>
      <c r="R314" s="5"/>
    </row>
    <row r="315" ht="15.75" customHeight="1">
      <c r="A315" s="46"/>
      <c r="B315" s="47"/>
      <c r="C315" s="47"/>
      <c r="D315" s="47"/>
      <c r="E315" s="47"/>
      <c r="F315" s="48"/>
      <c r="G315" s="36" t="str">
        <f t="shared" si="1"/>
        <v/>
      </c>
      <c r="H315" s="37" t="str">
        <f t="shared" si="2"/>
        <v/>
      </c>
      <c r="I315" s="37" t="str">
        <f t="shared" si="3"/>
        <v/>
      </c>
      <c r="J315" s="37" t="str">
        <f t="shared" si="4"/>
        <v/>
      </c>
      <c r="K315" s="32" t="str">
        <f t="shared" si="5"/>
        <v/>
      </c>
      <c r="L315" s="32" t="str">
        <f t="shared" si="6"/>
        <v/>
      </c>
      <c r="M315" s="32" t="str">
        <f t="shared" si="7"/>
        <v/>
      </c>
      <c r="N315" s="44" t="str">
        <f t="shared" si="8"/>
        <v/>
      </c>
      <c r="O315" s="45" t="str">
        <f t="shared" si="9"/>
        <v/>
      </c>
      <c r="P315" s="5"/>
      <c r="Q315" s="5"/>
      <c r="R315" s="5"/>
    </row>
    <row r="316" ht="15.75" customHeight="1">
      <c r="A316" s="46"/>
      <c r="B316" s="47"/>
      <c r="C316" s="47"/>
      <c r="D316" s="47"/>
      <c r="E316" s="47"/>
      <c r="F316" s="48"/>
      <c r="G316" s="36" t="str">
        <f t="shared" si="1"/>
        <v/>
      </c>
      <c r="H316" s="37" t="str">
        <f t="shared" si="2"/>
        <v/>
      </c>
      <c r="I316" s="37" t="str">
        <f t="shared" si="3"/>
        <v/>
      </c>
      <c r="J316" s="37" t="str">
        <f t="shared" si="4"/>
        <v/>
      </c>
      <c r="K316" s="32" t="str">
        <f t="shared" si="5"/>
        <v/>
      </c>
      <c r="L316" s="32" t="str">
        <f t="shared" si="6"/>
        <v/>
      </c>
      <c r="M316" s="32" t="str">
        <f t="shared" si="7"/>
        <v/>
      </c>
      <c r="N316" s="44" t="str">
        <f t="shared" si="8"/>
        <v/>
      </c>
      <c r="O316" s="45" t="str">
        <f t="shared" si="9"/>
        <v/>
      </c>
      <c r="P316" s="5"/>
      <c r="Q316" s="5"/>
      <c r="R316" s="5"/>
    </row>
    <row r="317" ht="15.75" customHeight="1">
      <c r="A317" s="46"/>
      <c r="B317" s="47"/>
      <c r="C317" s="47"/>
      <c r="D317" s="47"/>
      <c r="E317" s="47"/>
      <c r="F317" s="48"/>
      <c r="G317" s="36" t="str">
        <f t="shared" si="1"/>
        <v/>
      </c>
      <c r="H317" s="37" t="str">
        <f t="shared" si="2"/>
        <v/>
      </c>
      <c r="I317" s="37" t="str">
        <f t="shared" si="3"/>
        <v/>
      </c>
      <c r="J317" s="37" t="str">
        <f t="shared" si="4"/>
        <v/>
      </c>
      <c r="K317" s="32" t="str">
        <f t="shared" si="5"/>
        <v/>
      </c>
      <c r="L317" s="32" t="str">
        <f t="shared" si="6"/>
        <v/>
      </c>
      <c r="M317" s="32" t="str">
        <f t="shared" si="7"/>
        <v/>
      </c>
      <c r="N317" s="44" t="str">
        <f t="shared" si="8"/>
        <v/>
      </c>
      <c r="O317" s="45" t="str">
        <f t="shared" si="9"/>
        <v/>
      </c>
      <c r="P317" s="5"/>
      <c r="Q317" s="5"/>
      <c r="R317" s="5"/>
    </row>
    <row r="318" ht="15.75" customHeight="1">
      <c r="A318" s="46"/>
      <c r="B318" s="47"/>
      <c r="C318" s="47"/>
      <c r="D318" s="47"/>
      <c r="E318" s="47"/>
      <c r="F318" s="48"/>
      <c r="G318" s="36" t="str">
        <f t="shared" si="1"/>
        <v/>
      </c>
      <c r="H318" s="37" t="str">
        <f t="shared" si="2"/>
        <v/>
      </c>
      <c r="I318" s="37" t="str">
        <f t="shared" si="3"/>
        <v/>
      </c>
      <c r="J318" s="37" t="str">
        <f t="shared" si="4"/>
        <v/>
      </c>
      <c r="K318" s="32" t="str">
        <f t="shared" si="5"/>
        <v/>
      </c>
      <c r="L318" s="32" t="str">
        <f t="shared" si="6"/>
        <v/>
      </c>
      <c r="M318" s="32" t="str">
        <f t="shared" si="7"/>
        <v/>
      </c>
      <c r="N318" s="44" t="str">
        <f t="shared" si="8"/>
        <v/>
      </c>
      <c r="O318" s="45" t="str">
        <f t="shared" si="9"/>
        <v/>
      </c>
      <c r="P318" s="5"/>
      <c r="Q318" s="5"/>
      <c r="R318" s="5"/>
    </row>
    <row r="319" ht="15.75" customHeight="1">
      <c r="A319" s="46"/>
      <c r="B319" s="47"/>
      <c r="C319" s="47"/>
      <c r="D319" s="47"/>
      <c r="E319" s="47"/>
      <c r="F319" s="48"/>
      <c r="G319" s="36" t="str">
        <f t="shared" si="1"/>
        <v/>
      </c>
      <c r="H319" s="37" t="str">
        <f t="shared" si="2"/>
        <v/>
      </c>
      <c r="I319" s="37" t="str">
        <f t="shared" si="3"/>
        <v/>
      </c>
      <c r="J319" s="37" t="str">
        <f t="shared" si="4"/>
        <v/>
      </c>
      <c r="K319" s="32" t="str">
        <f t="shared" si="5"/>
        <v/>
      </c>
      <c r="L319" s="32" t="str">
        <f t="shared" si="6"/>
        <v/>
      </c>
      <c r="M319" s="32" t="str">
        <f t="shared" si="7"/>
        <v/>
      </c>
      <c r="N319" s="44" t="str">
        <f t="shared" si="8"/>
        <v/>
      </c>
      <c r="O319" s="45" t="str">
        <f t="shared" si="9"/>
        <v/>
      </c>
      <c r="P319" s="5"/>
      <c r="Q319" s="5"/>
      <c r="R319" s="5"/>
    </row>
    <row r="320" ht="15.75" customHeight="1">
      <c r="A320" s="46"/>
      <c r="B320" s="47"/>
      <c r="C320" s="47"/>
      <c r="D320" s="47"/>
      <c r="E320" s="47"/>
      <c r="F320" s="48"/>
      <c r="G320" s="36" t="str">
        <f t="shared" si="1"/>
        <v/>
      </c>
      <c r="H320" s="37" t="str">
        <f t="shared" si="2"/>
        <v/>
      </c>
      <c r="I320" s="37" t="str">
        <f t="shared" si="3"/>
        <v/>
      </c>
      <c r="J320" s="37" t="str">
        <f t="shared" si="4"/>
        <v/>
      </c>
      <c r="K320" s="32" t="str">
        <f t="shared" si="5"/>
        <v/>
      </c>
      <c r="L320" s="32" t="str">
        <f t="shared" si="6"/>
        <v/>
      </c>
      <c r="M320" s="32" t="str">
        <f t="shared" si="7"/>
        <v/>
      </c>
      <c r="N320" s="44" t="str">
        <f t="shared" si="8"/>
        <v/>
      </c>
      <c r="O320" s="45" t="str">
        <f t="shared" si="9"/>
        <v/>
      </c>
      <c r="P320" s="5"/>
      <c r="Q320" s="5"/>
      <c r="R320" s="5"/>
    </row>
    <row r="321" ht="15.75" customHeight="1">
      <c r="A321" s="46"/>
      <c r="B321" s="47"/>
      <c r="C321" s="47"/>
      <c r="D321" s="47"/>
      <c r="E321" s="47"/>
      <c r="F321" s="48"/>
      <c r="G321" s="36" t="str">
        <f t="shared" si="1"/>
        <v/>
      </c>
      <c r="H321" s="37" t="str">
        <f t="shared" si="2"/>
        <v/>
      </c>
      <c r="I321" s="37" t="str">
        <f t="shared" si="3"/>
        <v/>
      </c>
      <c r="J321" s="37" t="str">
        <f t="shared" si="4"/>
        <v/>
      </c>
      <c r="K321" s="32" t="str">
        <f t="shared" si="5"/>
        <v/>
      </c>
      <c r="L321" s="32" t="str">
        <f t="shared" si="6"/>
        <v/>
      </c>
      <c r="M321" s="32" t="str">
        <f t="shared" si="7"/>
        <v/>
      </c>
      <c r="N321" s="44" t="str">
        <f t="shared" si="8"/>
        <v/>
      </c>
      <c r="O321" s="45" t="str">
        <f t="shared" si="9"/>
        <v/>
      </c>
      <c r="P321" s="5"/>
      <c r="Q321" s="5"/>
      <c r="R321" s="5"/>
    </row>
    <row r="322" ht="15.75" customHeight="1">
      <c r="A322" s="46"/>
      <c r="B322" s="47"/>
      <c r="C322" s="47"/>
      <c r="D322" s="47"/>
      <c r="E322" s="47"/>
      <c r="F322" s="48"/>
      <c r="G322" s="36" t="str">
        <f t="shared" si="1"/>
        <v/>
      </c>
      <c r="H322" s="37" t="str">
        <f t="shared" si="2"/>
        <v/>
      </c>
      <c r="I322" s="37" t="str">
        <f t="shared" si="3"/>
        <v/>
      </c>
      <c r="J322" s="37" t="str">
        <f t="shared" si="4"/>
        <v/>
      </c>
      <c r="K322" s="32" t="str">
        <f t="shared" si="5"/>
        <v/>
      </c>
      <c r="L322" s="32" t="str">
        <f t="shared" si="6"/>
        <v/>
      </c>
      <c r="M322" s="32" t="str">
        <f t="shared" si="7"/>
        <v/>
      </c>
      <c r="N322" s="44" t="str">
        <f t="shared" si="8"/>
        <v/>
      </c>
      <c r="O322" s="45" t="str">
        <f t="shared" si="9"/>
        <v/>
      </c>
      <c r="P322" s="5"/>
      <c r="Q322" s="5"/>
      <c r="R322" s="5"/>
    </row>
    <row r="323" ht="15.75" customHeight="1">
      <c r="A323" s="46"/>
      <c r="B323" s="47"/>
      <c r="C323" s="47"/>
      <c r="D323" s="47"/>
      <c r="E323" s="47"/>
      <c r="F323" s="48"/>
      <c r="G323" s="36" t="str">
        <f t="shared" si="1"/>
        <v/>
      </c>
      <c r="H323" s="37" t="str">
        <f t="shared" si="2"/>
        <v/>
      </c>
      <c r="I323" s="37" t="str">
        <f t="shared" si="3"/>
        <v/>
      </c>
      <c r="J323" s="37" t="str">
        <f t="shared" si="4"/>
        <v/>
      </c>
      <c r="K323" s="32" t="str">
        <f t="shared" si="5"/>
        <v/>
      </c>
      <c r="L323" s="32" t="str">
        <f t="shared" si="6"/>
        <v/>
      </c>
      <c r="M323" s="32" t="str">
        <f t="shared" si="7"/>
        <v/>
      </c>
      <c r="N323" s="44" t="str">
        <f t="shared" si="8"/>
        <v/>
      </c>
      <c r="O323" s="45" t="str">
        <f t="shared" si="9"/>
        <v/>
      </c>
      <c r="P323" s="5"/>
      <c r="Q323" s="5"/>
      <c r="R323" s="5"/>
    </row>
    <row r="324" ht="15.75" customHeight="1">
      <c r="A324" s="46"/>
      <c r="B324" s="47"/>
      <c r="C324" s="47"/>
      <c r="D324" s="47"/>
      <c r="E324" s="47"/>
      <c r="F324" s="48"/>
      <c r="G324" s="36" t="str">
        <f t="shared" si="1"/>
        <v/>
      </c>
      <c r="H324" s="37" t="str">
        <f t="shared" si="2"/>
        <v/>
      </c>
      <c r="I324" s="37" t="str">
        <f t="shared" si="3"/>
        <v/>
      </c>
      <c r="J324" s="37" t="str">
        <f t="shared" si="4"/>
        <v/>
      </c>
      <c r="K324" s="32" t="str">
        <f t="shared" si="5"/>
        <v/>
      </c>
      <c r="L324" s="32" t="str">
        <f t="shared" si="6"/>
        <v/>
      </c>
      <c r="M324" s="32" t="str">
        <f t="shared" si="7"/>
        <v/>
      </c>
      <c r="N324" s="44" t="str">
        <f t="shared" si="8"/>
        <v/>
      </c>
      <c r="O324" s="45" t="str">
        <f t="shared" si="9"/>
        <v/>
      </c>
      <c r="P324" s="5"/>
      <c r="Q324" s="5"/>
      <c r="R324" s="5"/>
    </row>
    <row r="325" ht="15.75" customHeight="1">
      <c r="A325" s="46"/>
      <c r="B325" s="47"/>
      <c r="C325" s="47"/>
      <c r="D325" s="47"/>
      <c r="E325" s="47"/>
      <c r="F325" s="48"/>
      <c r="G325" s="36" t="str">
        <f t="shared" si="1"/>
        <v/>
      </c>
      <c r="H325" s="37" t="str">
        <f t="shared" si="2"/>
        <v/>
      </c>
      <c r="I325" s="37" t="str">
        <f t="shared" si="3"/>
        <v/>
      </c>
      <c r="J325" s="37" t="str">
        <f t="shared" si="4"/>
        <v/>
      </c>
      <c r="K325" s="32" t="str">
        <f t="shared" si="5"/>
        <v/>
      </c>
      <c r="L325" s="32" t="str">
        <f t="shared" si="6"/>
        <v/>
      </c>
      <c r="M325" s="32" t="str">
        <f t="shared" si="7"/>
        <v/>
      </c>
      <c r="N325" s="44" t="str">
        <f t="shared" si="8"/>
        <v/>
      </c>
      <c r="O325" s="45" t="str">
        <f t="shared" si="9"/>
        <v/>
      </c>
      <c r="P325" s="5"/>
      <c r="Q325" s="5"/>
      <c r="R325" s="5"/>
    </row>
    <row r="326" ht="15.75" customHeight="1">
      <c r="A326" s="46"/>
      <c r="B326" s="47"/>
      <c r="C326" s="47"/>
      <c r="D326" s="47"/>
      <c r="E326" s="47"/>
      <c r="F326" s="48"/>
      <c r="G326" s="36" t="str">
        <f t="shared" si="1"/>
        <v/>
      </c>
      <c r="H326" s="37" t="str">
        <f t="shared" si="2"/>
        <v/>
      </c>
      <c r="I326" s="37" t="str">
        <f t="shared" si="3"/>
        <v/>
      </c>
      <c r="J326" s="37" t="str">
        <f t="shared" si="4"/>
        <v/>
      </c>
      <c r="K326" s="32" t="str">
        <f t="shared" si="5"/>
        <v/>
      </c>
      <c r="L326" s="32" t="str">
        <f t="shared" si="6"/>
        <v/>
      </c>
      <c r="M326" s="32" t="str">
        <f t="shared" si="7"/>
        <v/>
      </c>
      <c r="N326" s="44" t="str">
        <f t="shared" si="8"/>
        <v/>
      </c>
      <c r="O326" s="45" t="str">
        <f t="shared" si="9"/>
        <v/>
      </c>
      <c r="P326" s="5"/>
      <c r="Q326" s="5"/>
      <c r="R326" s="5"/>
    </row>
    <row r="327" ht="15.75" customHeight="1">
      <c r="A327" s="46"/>
      <c r="B327" s="47"/>
      <c r="C327" s="47"/>
      <c r="D327" s="47"/>
      <c r="E327" s="47"/>
      <c r="F327" s="48"/>
      <c r="G327" s="36" t="str">
        <f t="shared" si="1"/>
        <v/>
      </c>
      <c r="H327" s="37" t="str">
        <f t="shared" si="2"/>
        <v/>
      </c>
      <c r="I327" s="37" t="str">
        <f t="shared" si="3"/>
        <v/>
      </c>
      <c r="J327" s="37" t="str">
        <f t="shared" si="4"/>
        <v/>
      </c>
      <c r="K327" s="32" t="str">
        <f t="shared" si="5"/>
        <v/>
      </c>
      <c r="L327" s="32" t="str">
        <f t="shared" si="6"/>
        <v/>
      </c>
      <c r="M327" s="32" t="str">
        <f t="shared" si="7"/>
        <v/>
      </c>
      <c r="N327" s="44" t="str">
        <f t="shared" si="8"/>
        <v/>
      </c>
      <c r="O327" s="45" t="str">
        <f t="shared" si="9"/>
        <v/>
      </c>
      <c r="P327" s="5"/>
      <c r="Q327" s="5"/>
      <c r="R327" s="5"/>
    </row>
    <row r="328" ht="15.75" customHeight="1">
      <c r="A328" s="46"/>
      <c r="B328" s="47"/>
      <c r="C328" s="47"/>
      <c r="D328" s="47"/>
      <c r="E328" s="47"/>
      <c r="F328" s="48"/>
      <c r="G328" s="36" t="str">
        <f t="shared" si="1"/>
        <v/>
      </c>
      <c r="H328" s="37" t="str">
        <f t="shared" si="2"/>
        <v/>
      </c>
      <c r="I328" s="37" t="str">
        <f t="shared" si="3"/>
        <v/>
      </c>
      <c r="J328" s="37" t="str">
        <f t="shared" si="4"/>
        <v/>
      </c>
      <c r="K328" s="32" t="str">
        <f t="shared" si="5"/>
        <v/>
      </c>
      <c r="L328" s="32" t="str">
        <f t="shared" si="6"/>
        <v/>
      </c>
      <c r="M328" s="32" t="str">
        <f t="shared" si="7"/>
        <v/>
      </c>
      <c r="N328" s="44" t="str">
        <f t="shared" si="8"/>
        <v/>
      </c>
      <c r="O328" s="45" t="str">
        <f t="shared" si="9"/>
        <v/>
      </c>
      <c r="P328" s="5"/>
      <c r="Q328" s="5"/>
      <c r="R328" s="5"/>
    </row>
    <row r="329" ht="15.75" customHeight="1">
      <c r="A329" s="46"/>
      <c r="B329" s="47"/>
      <c r="C329" s="47"/>
      <c r="D329" s="47"/>
      <c r="E329" s="47"/>
      <c r="F329" s="48"/>
      <c r="G329" s="36" t="str">
        <f t="shared" si="1"/>
        <v/>
      </c>
      <c r="H329" s="37" t="str">
        <f t="shared" si="2"/>
        <v/>
      </c>
      <c r="I329" s="37" t="str">
        <f t="shared" si="3"/>
        <v/>
      </c>
      <c r="J329" s="37" t="str">
        <f t="shared" si="4"/>
        <v/>
      </c>
      <c r="K329" s="32" t="str">
        <f t="shared" si="5"/>
        <v/>
      </c>
      <c r="L329" s="32" t="str">
        <f t="shared" si="6"/>
        <v/>
      </c>
      <c r="M329" s="32" t="str">
        <f t="shared" si="7"/>
        <v/>
      </c>
      <c r="N329" s="44" t="str">
        <f t="shared" si="8"/>
        <v/>
      </c>
      <c r="O329" s="45" t="str">
        <f t="shared" si="9"/>
        <v/>
      </c>
      <c r="P329" s="5"/>
      <c r="Q329" s="5"/>
      <c r="R329" s="5"/>
    </row>
    <row r="330" ht="15.75" customHeight="1">
      <c r="A330" s="46"/>
      <c r="B330" s="47"/>
      <c r="C330" s="47"/>
      <c r="D330" s="47"/>
      <c r="E330" s="47"/>
      <c r="F330" s="48"/>
      <c r="G330" s="36" t="str">
        <f t="shared" si="1"/>
        <v/>
      </c>
      <c r="H330" s="37" t="str">
        <f t="shared" si="2"/>
        <v/>
      </c>
      <c r="I330" s="37" t="str">
        <f t="shared" si="3"/>
        <v/>
      </c>
      <c r="J330" s="37" t="str">
        <f t="shared" si="4"/>
        <v/>
      </c>
      <c r="K330" s="32" t="str">
        <f t="shared" si="5"/>
        <v/>
      </c>
      <c r="L330" s="32" t="str">
        <f t="shared" si="6"/>
        <v/>
      </c>
      <c r="M330" s="32" t="str">
        <f t="shared" si="7"/>
        <v/>
      </c>
      <c r="N330" s="44" t="str">
        <f t="shared" si="8"/>
        <v/>
      </c>
      <c r="O330" s="45" t="str">
        <f t="shared" si="9"/>
        <v/>
      </c>
      <c r="P330" s="5"/>
      <c r="Q330" s="5"/>
      <c r="R330" s="5"/>
    </row>
    <row r="331" ht="15.75" customHeight="1">
      <c r="A331" s="46"/>
      <c r="B331" s="47"/>
      <c r="C331" s="47"/>
      <c r="D331" s="47"/>
      <c r="E331" s="47"/>
      <c r="F331" s="48"/>
      <c r="G331" s="36" t="str">
        <f t="shared" si="1"/>
        <v/>
      </c>
      <c r="H331" s="37" t="str">
        <f t="shared" si="2"/>
        <v/>
      </c>
      <c r="I331" s="37" t="str">
        <f t="shared" si="3"/>
        <v/>
      </c>
      <c r="J331" s="37" t="str">
        <f t="shared" si="4"/>
        <v/>
      </c>
      <c r="K331" s="32" t="str">
        <f t="shared" si="5"/>
        <v/>
      </c>
      <c r="L331" s="32" t="str">
        <f t="shared" si="6"/>
        <v/>
      </c>
      <c r="M331" s="32" t="str">
        <f t="shared" si="7"/>
        <v/>
      </c>
      <c r="N331" s="44" t="str">
        <f t="shared" si="8"/>
        <v/>
      </c>
      <c r="O331" s="45" t="str">
        <f t="shared" si="9"/>
        <v/>
      </c>
      <c r="P331" s="5"/>
      <c r="Q331" s="5"/>
      <c r="R331" s="5"/>
    </row>
    <row r="332" ht="15.75" customHeight="1">
      <c r="A332" s="46"/>
      <c r="B332" s="47"/>
      <c r="C332" s="47"/>
      <c r="D332" s="47"/>
      <c r="E332" s="47"/>
      <c r="F332" s="48"/>
      <c r="G332" s="36" t="str">
        <f t="shared" si="1"/>
        <v/>
      </c>
      <c r="H332" s="37" t="str">
        <f t="shared" si="2"/>
        <v/>
      </c>
      <c r="I332" s="37" t="str">
        <f t="shared" si="3"/>
        <v/>
      </c>
      <c r="J332" s="37" t="str">
        <f t="shared" si="4"/>
        <v/>
      </c>
      <c r="K332" s="32" t="str">
        <f t="shared" si="5"/>
        <v/>
      </c>
      <c r="L332" s="32" t="str">
        <f t="shared" si="6"/>
        <v/>
      </c>
      <c r="M332" s="32" t="str">
        <f t="shared" si="7"/>
        <v/>
      </c>
      <c r="N332" s="44" t="str">
        <f t="shared" si="8"/>
        <v/>
      </c>
      <c r="O332" s="45" t="str">
        <f t="shared" si="9"/>
        <v/>
      </c>
      <c r="P332" s="5"/>
      <c r="Q332" s="5"/>
      <c r="R332" s="5"/>
    </row>
    <row r="333" ht="15.75" customHeight="1">
      <c r="A333" s="46"/>
      <c r="B333" s="47"/>
      <c r="C333" s="47"/>
      <c r="D333" s="47"/>
      <c r="E333" s="47"/>
      <c r="F333" s="48"/>
      <c r="G333" s="36" t="str">
        <f t="shared" si="1"/>
        <v/>
      </c>
      <c r="H333" s="37" t="str">
        <f t="shared" si="2"/>
        <v/>
      </c>
      <c r="I333" s="37" t="str">
        <f t="shared" si="3"/>
        <v/>
      </c>
      <c r="J333" s="37" t="str">
        <f t="shared" si="4"/>
        <v/>
      </c>
      <c r="K333" s="32" t="str">
        <f t="shared" si="5"/>
        <v/>
      </c>
      <c r="L333" s="32" t="str">
        <f t="shared" si="6"/>
        <v/>
      </c>
      <c r="M333" s="32" t="str">
        <f t="shared" si="7"/>
        <v/>
      </c>
      <c r="N333" s="44" t="str">
        <f t="shared" si="8"/>
        <v/>
      </c>
      <c r="O333" s="45" t="str">
        <f t="shared" si="9"/>
        <v/>
      </c>
      <c r="P333" s="5"/>
      <c r="Q333" s="5"/>
      <c r="R333" s="5"/>
    </row>
    <row r="334" ht="15.75" customHeight="1">
      <c r="A334" s="46"/>
      <c r="B334" s="47"/>
      <c r="C334" s="47"/>
      <c r="D334" s="47"/>
      <c r="E334" s="47"/>
      <c r="F334" s="48"/>
      <c r="G334" s="36" t="str">
        <f t="shared" si="1"/>
        <v/>
      </c>
      <c r="H334" s="37" t="str">
        <f t="shared" si="2"/>
        <v/>
      </c>
      <c r="I334" s="37" t="str">
        <f t="shared" si="3"/>
        <v/>
      </c>
      <c r="J334" s="37" t="str">
        <f t="shared" si="4"/>
        <v/>
      </c>
      <c r="K334" s="32" t="str">
        <f t="shared" si="5"/>
        <v/>
      </c>
      <c r="L334" s="32" t="str">
        <f t="shared" si="6"/>
        <v/>
      </c>
      <c r="M334" s="32" t="str">
        <f t="shared" si="7"/>
        <v/>
      </c>
      <c r="N334" s="44" t="str">
        <f t="shared" si="8"/>
        <v/>
      </c>
      <c r="O334" s="45" t="str">
        <f t="shared" si="9"/>
        <v/>
      </c>
      <c r="P334" s="5"/>
      <c r="Q334" s="5"/>
      <c r="R334" s="5"/>
    </row>
    <row r="335" ht="15.75" customHeight="1">
      <c r="A335" s="46"/>
      <c r="B335" s="47"/>
      <c r="C335" s="47"/>
      <c r="D335" s="47"/>
      <c r="E335" s="47"/>
      <c r="F335" s="48"/>
      <c r="G335" s="36" t="str">
        <f t="shared" si="1"/>
        <v/>
      </c>
      <c r="H335" s="37" t="str">
        <f t="shared" si="2"/>
        <v/>
      </c>
      <c r="I335" s="37" t="str">
        <f t="shared" si="3"/>
        <v/>
      </c>
      <c r="J335" s="37" t="str">
        <f t="shared" si="4"/>
        <v/>
      </c>
      <c r="K335" s="32" t="str">
        <f t="shared" si="5"/>
        <v/>
      </c>
      <c r="L335" s="32" t="str">
        <f t="shared" si="6"/>
        <v/>
      </c>
      <c r="M335" s="32" t="str">
        <f t="shared" si="7"/>
        <v/>
      </c>
      <c r="N335" s="44" t="str">
        <f t="shared" si="8"/>
        <v/>
      </c>
      <c r="O335" s="45" t="str">
        <f t="shared" si="9"/>
        <v/>
      </c>
      <c r="P335" s="5"/>
      <c r="Q335" s="5"/>
      <c r="R335" s="5"/>
    </row>
    <row r="336" ht="15.75" customHeight="1">
      <c r="A336" s="46"/>
      <c r="B336" s="47"/>
      <c r="C336" s="47"/>
      <c r="D336" s="47"/>
      <c r="E336" s="47"/>
      <c r="F336" s="48"/>
      <c r="G336" s="36" t="str">
        <f t="shared" si="1"/>
        <v/>
      </c>
      <c r="H336" s="37" t="str">
        <f t="shared" si="2"/>
        <v/>
      </c>
      <c r="I336" s="37" t="str">
        <f t="shared" si="3"/>
        <v/>
      </c>
      <c r="J336" s="37" t="str">
        <f t="shared" si="4"/>
        <v/>
      </c>
      <c r="K336" s="32" t="str">
        <f t="shared" si="5"/>
        <v/>
      </c>
      <c r="L336" s="32" t="str">
        <f t="shared" si="6"/>
        <v/>
      </c>
      <c r="M336" s="32" t="str">
        <f t="shared" si="7"/>
        <v/>
      </c>
      <c r="N336" s="44" t="str">
        <f t="shared" si="8"/>
        <v/>
      </c>
      <c r="O336" s="45" t="str">
        <f t="shared" si="9"/>
        <v/>
      </c>
      <c r="P336" s="5"/>
      <c r="Q336" s="5"/>
      <c r="R336" s="5"/>
    </row>
    <row r="337" ht="15.75" customHeight="1">
      <c r="A337" s="46"/>
      <c r="B337" s="47"/>
      <c r="C337" s="47"/>
      <c r="D337" s="47"/>
      <c r="E337" s="47"/>
      <c r="F337" s="48"/>
      <c r="G337" s="36" t="str">
        <f t="shared" si="1"/>
        <v/>
      </c>
      <c r="H337" s="37" t="str">
        <f t="shared" si="2"/>
        <v/>
      </c>
      <c r="I337" s="37" t="str">
        <f t="shared" si="3"/>
        <v/>
      </c>
      <c r="J337" s="37" t="str">
        <f t="shared" si="4"/>
        <v/>
      </c>
      <c r="K337" s="32" t="str">
        <f t="shared" si="5"/>
        <v/>
      </c>
      <c r="L337" s="32" t="str">
        <f t="shared" si="6"/>
        <v/>
      </c>
      <c r="M337" s="32" t="str">
        <f t="shared" si="7"/>
        <v/>
      </c>
      <c r="N337" s="44" t="str">
        <f t="shared" si="8"/>
        <v/>
      </c>
      <c r="O337" s="45" t="str">
        <f t="shared" si="9"/>
        <v/>
      </c>
      <c r="P337" s="5"/>
      <c r="Q337" s="5"/>
      <c r="R337" s="5"/>
    </row>
    <row r="338" ht="15.75" customHeight="1">
      <c r="A338" s="46"/>
      <c r="B338" s="47"/>
      <c r="C338" s="47"/>
      <c r="D338" s="47"/>
      <c r="E338" s="47"/>
      <c r="F338" s="48"/>
      <c r="G338" s="36" t="str">
        <f t="shared" si="1"/>
        <v/>
      </c>
      <c r="H338" s="37" t="str">
        <f t="shared" si="2"/>
        <v/>
      </c>
      <c r="I338" s="37" t="str">
        <f t="shared" si="3"/>
        <v/>
      </c>
      <c r="J338" s="37" t="str">
        <f t="shared" si="4"/>
        <v/>
      </c>
      <c r="K338" s="32" t="str">
        <f t="shared" si="5"/>
        <v/>
      </c>
      <c r="L338" s="32" t="str">
        <f t="shared" si="6"/>
        <v/>
      </c>
      <c r="M338" s="32" t="str">
        <f t="shared" si="7"/>
        <v/>
      </c>
      <c r="N338" s="44" t="str">
        <f t="shared" si="8"/>
        <v/>
      </c>
      <c r="O338" s="45" t="str">
        <f t="shared" si="9"/>
        <v/>
      </c>
      <c r="P338" s="5"/>
      <c r="Q338" s="5"/>
      <c r="R338" s="5"/>
    </row>
    <row r="339" ht="15.75" customHeight="1">
      <c r="A339" s="46"/>
      <c r="B339" s="47"/>
      <c r="C339" s="47"/>
      <c r="D339" s="47"/>
      <c r="E339" s="47"/>
      <c r="F339" s="48"/>
      <c r="G339" s="36" t="str">
        <f t="shared" si="1"/>
        <v/>
      </c>
      <c r="H339" s="37" t="str">
        <f t="shared" si="2"/>
        <v/>
      </c>
      <c r="I339" s="37" t="str">
        <f t="shared" si="3"/>
        <v/>
      </c>
      <c r="J339" s="37" t="str">
        <f t="shared" si="4"/>
        <v/>
      </c>
      <c r="K339" s="32" t="str">
        <f t="shared" si="5"/>
        <v/>
      </c>
      <c r="L339" s="32" t="str">
        <f t="shared" si="6"/>
        <v/>
      </c>
      <c r="M339" s="32" t="str">
        <f t="shared" si="7"/>
        <v/>
      </c>
      <c r="N339" s="44" t="str">
        <f t="shared" si="8"/>
        <v/>
      </c>
      <c r="O339" s="45" t="str">
        <f t="shared" si="9"/>
        <v/>
      </c>
      <c r="P339" s="5"/>
      <c r="Q339" s="5"/>
      <c r="R339" s="5"/>
    </row>
    <row r="340" ht="15.75" customHeight="1">
      <c r="A340" s="46"/>
      <c r="B340" s="47"/>
      <c r="C340" s="47"/>
      <c r="D340" s="47"/>
      <c r="E340" s="47"/>
      <c r="F340" s="48"/>
      <c r="G340" s="36" t="str">
        <f t="shared" si="1"/>
        <v/>
      </c>
      <c r="H340" s="37" t="str">
        <f t="shared" si="2"/>
        <v/>
      </c>
      <c r="I340" s="37" t="str">
        <f t="shared" si="3"/>
        <v/>
      </c>
      <c r="J340" s="37" t="str">
        <f t="shared" si="4"/>
        <v/>
      </c>
      <c r="K340" s="32" t="str">
        <f t="shared" si="5"/>
        <v/>
      </c>
      <c r="L340" s="32" t="str">
        <f t="shared" si="6"/>
        <v/>
      </c>
      <c r="M340" s="32" t="str">
        <f t="shared" si="7"/>
        <v/>
      </c>
      <c r="N340" s="44" t="str">
        <f t="shared" si="8"/>
        <v/>
      </c>
      <c r="O340" s="45" t="str">
        <f t="shared" si="9"/>
        <v/>
      </c>
      <c r="P340" s="5"/>
      <c r="Q340" s="5"/>
      <c r="R340" s="5"/>
    </row>
    <row r="341" ht="15.75" customHeight="1">
      <c r="A341" s="46"/>
      <c r="B341" s="47"/>
      <c r="C341" s="47"/>
      <c r="D341" s="47"/>
      <c r="E341" s="47"/>
      <c r="F341" s="48"/>
      <c r="G341" s="36" t="str">
        <f t="shared" si="1"/>
        <v/>
      </c>
      <c r="H341" s="37" t="str">
        <f t="shared" si="2"/>
        <v/>
      </c>
      <c r="I341" s="37" t="str">
        <f t="shared" si="3"/>
        <v/>
      </c>
      <c r="J341" s="37" t="str">
        <f t="shared" si="4"/>
        <v/>
      </c>
      <c r="K341" s="32" t="str">
        <f t="shared" si="5"/>
        <v/>
      </c>
      <c r="L341" s="32" t="str">
        <f t="shared" si="6"/>
        <v/>
      </c>
      <c r="M341" s="32" t="str">
        <f t="shared" si="7"/>
        <v/>
      </c>
      <c r="N341" s="44" t="str">
        <f t="shared" si="8"/>
        <v/>
      </c>
      <c r="O341" s="45" t="str">
        <f t="shared" si="9"/>
        <v/>
      </c>
      <c r="P341" s="5"/>
      <c r="Q341" s="5"/>
      <c r="R341" s="5"/>
    </row>
    <row r="342" ht="15.75" customHeight="1">
      <c r="A342" s="46"/>
      <c r="B342" s="47"/>
      <c r="C342" s="47"/>
      <c r="D342" s="47"/>
      <c r="E342" s="47"/>
      <c r="F342" s="48"/>
      <c r="G342" s="36" t="str">
        <f t="shared" si="1"/>
        <v/>
      </c>
      <c r="H342" s="37" t="str">
        <f t="shared" si="2"/>
        <v/>
      </c>
      <c r="I342" s="37" t="str">
        <f t="shared" si="3"/>
        <v/>
      </c>
      <c r="J342" s="37" t="str">
        <f t="shared" si="4"/>
        <v/>
      </c>
      <c r="K342" s="32" t="str">
        <f t="shared" si="5"/>
        <v/>
      </c>
      <c r="L342" s="32" t="str">
        <f t="shared" si="6"/>
        <v/>
      </c>
      <c r="M342" s="32" t="str">
        <f t="shared" si="7"/>
        <v/>
      </c>
      <c r="N342" s="44" t="str">
        <f t="shared" si="8"/>
        <v/>
      </c>
      <c r="O342" s="45" t="str">
        <f t="shared" si="9"/>
        <v/>
      </c>
      <c r="P342" s="5"/>
      <c r="Q342" s="5"/>
      <c r="R342" s="5"/>
    </row>
    <row r="343" ht="15.75" customHeight="1">
      <c r="A343" s="46"/>
      <c r="B343" s="47"/>
      <c r="C343" s="47"/>
      <c r="D343" s="47"/>
      <c r="E343" s="47"/>
      <c r="F343" s="48"/>
      <c r="G343" s="36" t="str">
        <f t="shared" si="1"/>
        <v/>
      </c>
      <c r="H343" s="37" t="str">
        <f t="shared" si="2"/>
        <v/>
      </c>
      <c r="I343" s="37" t="str">
        <f t="shared" si="3"/>
        <v/>
      </c>
      <c r="J343" s="37" t="str">
        <f t="shared" si="4"/>
        <v/>
      </c>
      <c r="K343" s="32" t="str">
        <f t="shared" si="5"/>
        <v/>
      </c>
      <c r="L343" s="32" t="str">
        <f t="shared" si="6"/>
        <v/>
      </c>
      <c r="M343" s="32" t="str">
        <f t="shared" si="7"/>
        <v/>
      </c>
      <c r="N343" s="44" t="str">
        <f t="shared" si="8"/>
        <v/>
      </c>
      <c r="O343" s="45" t="str">
        <f t="shared" si="9"/>
        <v/>
      </c>
      <c r="P343" s="5"/>
      <c r="Q343" s="5"/>
      <c r="R343" s="5"/>
    </row>
    <row r="344" ht="15.75" customHeight="1">
      <c r="A344" s="46"/>
      <c r="B344" s="47"/>
      <c r="C344" s="47"/>
      <c r="D344" s="47"/>
      <c r="E344" s="47"/>
      <c r="F344" s="48"/>
      <c r="G344" s="36" t="str">
        <f t="shared" si="1"/>
        <v/>
      </c>
      <c r="H344" s="37" t="str">
        <f t="shared" si="2"/>
        <v/>
      </c>
      <c r="I344" s="37" t="str">
        <f t="shared" si="3"/>
        <v/>
      </c>
      <c r="J344" s="37" t="str">
        <f t="shared" si="4"/>
        <v/>
      </c>
      <c r="K344" s="32" t="str">
        <f t="shared" si="5"/>
        <v/>
      </c>
      <c r="L344" s="32" t="str">
        <f t="shared" si="6"/>
        <v/>
      </c>
      <c r="M344" s="32" t="str">
        <f t="shared" si="7"/>
        <v/>
      </c>
      <c r="N344" s="44" t="str">
        <f t="shared" si="8"/>
        <v/>
      </c>
      <c r="O344" s="45" t="str">
        <f t="shared" si="9"/>
        <v/>
      </c>
      <c r="P344" s="5"/>
      <c r="Q344" s="5"/>
      <c r="R344" s="5"/>
    </row>
    <row r="345" ht="15.75" customHeight="1">
      <c r="A345" s="46"/>
      <c r="B345" s="47"/>
      <c r="C345" s="47"/>
      <c r="D345" s="47"/>
      <c r="E345" s="47"/>
      <c r="F345" s="48"/>
      <c r="G345" s="36" t="str">
        <f t="shared" si="1"/>
        <v/>
      </c>
      <c r="H345" s="37" t="str">
        <f t="shared" si="2"/>
        <v/>
      </c>
      <c r="I345" s="37" t="str">
        <f t="shared" si="3"/>
        <v/>
      </c>
      <c r="J345" s="37" t="str">
        <f t="shared" si="4"/>
        <v/>
      </c>
      <c r="K345" s="32" t="str">
        <f t="shared" si="5"/>
        <v/>
      </c>
      <c r="L345" s="32" t="str">
        <f t="shared" si="6"/>
        <v/>
      </c>
      <c r="M345" s="32" t="str">
        <f t="shared" si="7"/>
        <v/>
      </c>
      <c r="N345" s="44" t="str">
        <f t="shared" si="8"/>
        <v/>
      </c>
      <c r="O345" s="45" t="str">
        <f t="shared" si="9"/>
        <v/>
      </c>
      <c r="P345" s="5"/>
      <c r="Q345" s="5"/>
      <c r="R345" s="5"/>
    </row>
    <row r="346" ht="15.75" customHeight="1">
      <c r="A346" s="46"/>
      <c r="B346" s="47"/>
      <c r="C346" s="47"/>
      <c r="D346" s="47"/>
      <c r="E346" s="47"/>
      <c r="F346" s="48"/>
      <c r="G346" s="36" t="str">
        <f t="shared" si="1"/>
        <v/>
      </c>
      <c r="H346" s="37" t="str">
        <f t="shared" si="2"/>
        <v/>
      </c>
      <c r="I346" s="37" t="str">
        <f t="shared" si="3"/>
        <v/>
      </c>
      <c r="J346" s="37" t="str">
        <f t="shared" si="4"/>
        <v/>
      </c>
      <c r="K346" s="32" t="str">
        <f t="shared" si="5"/>
        <v/>
      </c>
      <c r="L346" s="32" t="str">
        <f t="shared" si="6"/>
        <v/>
      </c>
      <c r="M346" s="32" t="str">
        <f t="shared" si="7"/>
        <v/>
      </c>
      <c r="N346" s="44" t="str">
        <f t="shared" si="8"/>
        <v/>
      </c>
      <c r="O346" s="45" t="str">
        <f t="shared" si="9"/>
        <v/>
      </c>
      <c r="P346" s="5"/>
      <c r="Q346" s="5"/>
      <c r="R346" s="5"/>
    </row>
    <row r="347" ht="15.75" customHeight="1">
      <c r="A347" s="46"/>
      <c r="B347" s="47"/>
      <c r="C347" s="47"/>
      <c r="D347" s="47"/>
      <c r="E347" s="47"/>
      <c r="F347" s="48"/>
      <c r="G347" s="36" t="str">
        <f t="shared" si="1"/>
        <v/>
      </c>
      <c r="H347" s="37" t="str">
        <f t="shared" si="2"/>
        <v/>
      </c>
      <c r="I347" s="37" t="str">
        <f t="shared" si="3"/>
        <v/>
      </c>
      <c r="J347" s="37" t="str">
        <f t="shared" si="4"/>
        <v/>
      </c>
      <c r="K347" s="32" t="str">
        <f t="shared" si="5"/>
        <v/>
      </c>
      <c r="L347" s="32" t="str">
        <f t="shared" si="6"/>
        <v/>
      </c>
      <c r="M347" s="32" t="str">
        <f t="shared" si="7"/>
        <v/>
      </c>
      <c r="N347" s="44" t="str">
        <f t="shared" si="8"/>
        <v/>
      </c>
      <c r="O347" s="45" t="str">
        <f t="shared" si="9"/>
        <v/>
      </c>
      <c r="P347" s="5"/>
      <c r="Q347" s="5"/>
      <c r="R347" s="5"/>
    </row>
    <row r="348" ht="15.75" customHeight="1">
      <c r="A348" s="46"/>
      <c r="B348" s="47"/>
      <c r="C348" s="47"/>
      <c r="D348" s="47"/>
      <c r="E348" s="47"/>
      <c r="F348" s="48"/>
      <c r="G348" s="36" t="str">
        <f t="shared" si="1"/>
        <v/>
      </c>
      <c r="H348" s="37" t="str">
        <f t="shared" si="2"/>
        <v/>
      </c>
      <c r="I348" s="37" t="str">
        <f t="shared" si="3"/>
        <v/>
      </c>
      <c r="J348" s="37" t="str">
        <f t="shared" si="4"/>
        <v/>
      </c>
      <c r="K348" s="32" t="str">
        <f t="shared" si="5"/>
        <v/>
      </c>
      <c r="L348" s="32" t="str">
        <f t="shared" si="6"/>
        <v/>
      </c>
      <c r="M348" s="32" t="str">
        <f t="shared" si="7"/>
        <v/>
      </c>
      <c r="N348" s="44" t="str">
        <f t="shared" si="8"/>
        <v/>
      </c>
      <c r="O348" s="45" t="str">
        <f t="shared" si="9"/>
        <v/>
      </c>
      <c r="P348" s="5"/>
      <c r="Q348" s="5"/>
      <c r="R348" s="5"/>
    </row>
    <row r="349" ht="15.75" customHeight="1">
      <c r="A349" s="46"/>
      <c r="B349" s="47"/>
      <c r="C349" s="47"/>
      <c r="D349" s="47"/>
      <c r="E349" s="47"/>
      <c r="F349" s="48"/>
      <c r="G349" s="36" t="str">
        <f t="shared" si="1"/>
        <v/>
      </c>
      <c r="H349" s="37" t="str">
        <f t="shared" si="2"/>
        <v/>
      </c>
      <c r="I349" s="37" t="str">
        <f t="shared" si="3"/>
        <v/>
      </c>
      <c r="J349" s="37" t="str">
        <f t="shared" si="4"/>
        <v/>
      </c>
      <c r="K349" s="32" t="str">
        <f t="shared" si="5"/>
        <v/>
      </c>
      <c r="L349" s="32" t="str">
        <f t="shared" si="6"/>
        <v/>
      </c>
      <c r="M349" s="32" t="str">
        <f t="shared" si="7"/>
        <v/>
      </c>
      <c r="N349" s="44" t="str">
        <f t="shared" si="8"/>
        <v/>
      </c>
      <c r="O349" s="45" t="str">
        <f t="shared" si="9"/>
        <v/>
      </c>
      <c r="P349" s="5"/>
      <c r="Q349" s="5"/>
      <c r="R349" s="5"/>
    </row>
    <row r="350" ht="15.75" customHeight="1">
      <c r="A350" s="46"/>
      <c r="B350" s="47"/>
      <c r="C350" s="47"/>
      <c r="D350" s="47"/>
      <c r="E350" s="47"/>
      <c r="F350" s="48"/>
      <c r="G350" s="36" t="str">
        <f t="shared" si="1"/>
        <v/>
      </c>
      <c r="H350" s="37" t="str">
        <f t="shared" si="2"/>
        <v/>
      </c>
      <c r="I350" s="37" t="str">
        <f t="shared" si="3"/>
        <v/>
      </c>
      <c r="J350" s="37" t="str">
        <f t="shared" si="4"/>
        <v/>
      </c>
      <c r="K350" s="32" t="str">
        <f t="shared" si="5"/>
        <v/>
      </c>
      <c r="L350" s="32" t="str">
        <f t="shared" si="6"/>
        <v/>
      </c>
      <c r="M350" s="32" t="str">
        <f t="shared" si="7"/>
        <v/>
      </c>
      <c r="N350" s="44" t="str">
        <f t="shared" si="8"/>
        <v/>
      </c>
      <c r="O350" s="45" t="str">
        <f t="shared" si="9"/>
        <v/>
      </c>
      <c r="P350" s="5"/>
      <c r="Q350" s="5"/>
      <c r="R350" s="5"/>
    </row>
    <row r="351" ht="15.75" customHeight="1">
      <c r="A351" s="46"/>
      <c r="B351" s="47"/>
      <c r="C351" s="47"/>
      <c r="D351" s="47"/>
      <c r="E351" s="47"/>
      <c r="F351" s="48"/>
      <c r="G351" s="36" t="str">
        <f t="shared" si="1"/>
        <v/>
      </c>
      <c r="H351" s="37" t="str">
        <f t="shared" si="2"/>
        <v/>
      </c>
      <c r="I351" s="37" t="str">
        <f t="shared" si="3"/>
        <v/>
      </c>
      <c r="J351" s="37" t="str">
        <f t="shared" si="4"/>
        <v/>
      </c>
      <c r="K351" s="32" t="str">
        <f t="shared" si="5"/>
        <v/>
      </c>
      <c r="L351" s="32" t="str">
        <f t="shared" si="6"/>
        <v/>
      </c>
      <c r="M351" s="32" t="str">
        <f t="shared" si="7"/>
        <v/>
      </c>
      <c r="N351" s="44" t="str">
        <f t="shared" si="8"/>
        <v/>
      </c>
      <c r="O351" s="45" t="str">
        <f t="shared" si="9"/>
        <v/>
      </c>
      <c r="P351" s="5"/>
      <c r="Q351" s="5"/>
      <c r="R351" s="5"/>
    </row>
    <row r="352" ht="15.75" customHeight="1">
      <c r="A352" s="46"/>
      <c r="B352" s="47"/>
      <c r="C352" s="47"/>
      <c r="D352" s="47"/>
      <c r="E352" s="47"/>
      <c r="F352" s="48"/>
      <c r="G352" s="36" t="str">
        <f t="shared" si="1"/>
        <v/>
      </c>
      <c r="H352" s="37" t="str">
        <f t="shared" si="2"/>
        <v/>
      </c>
      <c r="I352" s="37" t="str">
        <f t="shared" si="3"/>
        <v/>
      </c>
      <c r="J352" s="37" t="str">
        <f t="shared" si="4"/>
        <v/>
      </c>
      <c r="K352" s="32" t="str">
        <f t="shared" si="5"/>
        <v/>
      </c>
      <c r="L352" s="32" t="str">
        <f t="shared" si="6"/>
        <v/>
      </c>
      <c r="M352" s="32" t="str">
        <f t="shared" si="7"/>
        <v/>
      </c>
      <c r="N352" s="44" t="str">
        <f t="shared" si="8"/>
        <v/>
      </c>
      <c r="O352" s="45" t="str">
        <f t="shared" si="9"/>
        <v/>
      </c>
      <c r="P352" s="5"/>
      <c r="Q352" s="5"/>
      <c r="R352" s="5"/>
    </row>
    <row r="353" ht="15.75" customHeight="1">
      <c r="A353" s="46"/>
      <c r="B353" s="47"/>
      <c r="C353" s="47"/>
      <c r="D353" s="47"/>
      <c r="E353" s="47"/>
      <c r="F353" s="48"/>
      <c r="G353" s="36" t="str">
        <f t="shared" si="1"/>
        <v/>
      </c>
      <c r="H353" s="37" t="str">
        <f t="shared" si="2"/>
        <v/>
      </c>
      <c r="I353" s="37" t="str">
        <f t="shared" si="3"/>
        <v/>
      </c>
      <c r="J353" s="37" t="str">
        <f t="shared" si="4"/>
        <v/>
      </c>
      <c r="K353" s="32" t="str">
        <f t="shared" si="5"/>
        <v/>
      </c>
      <c r="L353" s="32" t="str">
        <f t="shared" si="6"/>
        <v/>
      </c>
      <c r="M353" s="32" t="str">
        <f t="shared" si="7"/>
        <v/>
      </c>
      <c r="N353" s="44" t="str">
        <f t="shared" si="8"/>
        <v/>
      </c>
      <c r="O353" s="45" t="str">
        <f t="shared" si="9"/>
        <v/>
      </c>
      <c r="P353" s="5"/>
      <c r="Q353" s="5"/>
      <c r="R353" s="5"/>
    </row>
    <row r="354" ht="15.75" customHeight="1">
      <c r="A354" s="46"/>
      <c r="B354" s="47"/>
      <c r="C354" s="47"/>
      <c r="D354" s="47"/>
      <c r="E354" s="47"/>
      <c r="F354" s="48"/>
      <c r="G354" s="36" t="str">
        <f t="shared" si="1"/>
        <v/>
      </c>
      <c r="H354" s="37" t="str">
        <f t="shared" si="2"/>
        <v/>
      </c>
      <c r="I354" s="37" t="str">
        <f t="shared" si="3"/>
        <v/>
      </c>
      <c r="J354" s="37" t="str">
        <f t="shared" si="4"/>
        <v/>
      </c>
      <c r="K354" s="32" t="str">
        <f t="shared" si="5"/>
        <v/>
      </c>
      <c r="L354" s="32" t="str">
        <f t="shared" si="6"/>
        <v/>
      </c>
      <c r="M354" s="32" t="str">
        <f t="shared" si="7"/>
        <v/>
      </c>
      <c r="N354" s="44" t="str">
        <f t="shared" si="8"/>
        <v/>
      </c>
      <c r="O354" s="45" t="str">
        <f t="shared" si="9"/>
        <v/>
      </c>
      <c r="P354" s="5"/>
      <c r="Q354" s="5"/>
      <c r="R354" s="5"/>
    </row>
    <row r="355" ht="15.75" customHeight="1">
      <c r="A355" s="46"/>
      <c r="B355" s="47"/>
      <c r="C355" s="47"/>
      <c r="D355" s="47"/>
      <c r="E355" s="47"/>
      <c r="F355" s="48"/>
      <c r="G355" s="36" t="str">
        <f t="shared" si="1"/>
        <v/>
      </c>
      <c r="H355" s="37" t="str">
        <f t="shared" si="2"/>
        <v/>
      </c>
      <c r="I355" s="37" t="str">
        <f t="shared" si="3"/>
        <v/>
      </c>
      <c r="J355" s="37" t="str">
        <f t="shared" si="4"/>
        <v/>
      </c>
      <c r="K355" s="32" t="str">
        <f t="shared" si="5"/>
        <v/>
      </c>
      <c r="L355" s="32" t="str">
        <f t="shared" si="6"/>
        <v/>
      </c>
      <c r="M355" s="32" t="str">
        <f t="shared" si="7"/>
        <v/>
      </c>
      <c r="N355" s="44" t="str">
        <f t="shared" si="8"/>
        <v/>
      </c>
      <c r="O355" s="45" t="str">
        <f t="shared" si="9"/>
        <v/>
      </c>
      <c r="P355" s="5"/>
      <c r="Q355" s="5"/>
      <c r="R355" s="5"/>
    </row>
    <row r="356" ht="15.75" customHeight="1">
      <c r="A356" s="46"/>
      <c r="B356" s="47"/>
      <c r="C356" s="47"/>
      <c r="D356" s="47"/>
      <c r="E356" s="47"/>
      <c r="F356" s="48"/>
      <c r="G356" s="36" t="str">
        <f t="shared" si="1"/>
        <v/>
      </c>
      <c r="H356" s="37" t="str">
        <f t="shared" si="2"/>
        <v/>
      </c>
      <c r="I356" s="37" t="str">
        <f t="shared" si="3"/>
        <v/>
      </c>
      <c r="J356" s="37" t="str">
        <f t="shared" si="4"/>
        <v/>
      </c>
      <c r="K356" s="32" t="str">
        <f t="shared" si="5"/>
        <v/>
      </c>
      <c r="L356" s="32" t="str">
        <f t="shared" si="6"/>
        <v/>
      </c>
      <c r="M356" s="32" t="str">
        <f t="shared" si="7"/>
        <v/>
      </c>
      <c r="N356" s="44" t="str">
        <f t="shared" si="8"/>
        <v/>
      </c>
      <c r="O356" s="45" t="str">
        <f t="shared" si="9"/>
        <v/>
      </c>
      <c r="P356" s="5"/>
      <c r="Q356" s="5"/>
      <c r="R356" s="5"/>
    </row>
    <row r="357" ht="15.75" customHeight="1">
      <c r="A357" s="46"/>
      <c r="B357" s="47"/>
      <c r="C357" s="47"/>
      <c r="D357" s="47"/>
      <c r="E357" s="47"/>
      <c r="F357" s="48"/>
      <c r="G357" s="36" t="str">
        <f t="shared" si="1"/>
        <v/>
      </c>
      <c r="H357" s="37" t="str">
        <f t="shared" si="2"/>
        <v/>
      </c>
      <c r="I357" s="37" t="str">
        <f t="shared" si="3"/>
        <v/>
      </c>
      <c r="J357" s="37" t="str">
        <f t="shared" si="4"/>
        <v/>
      </c>
      <c r="K357" s="32" t="str">
        <f t="shared" si="5"/>
        <v/>
      </c>
      <c r="L357" s="32" t="str">
        <f t="shared" si="6"/>
        <v/>
      </c>
      <c r="M357" s="32" t="str">
        <f t="shared" si="7"/>
        <v/>
      </c>
      <c r="N357" s="44" t="str">
        <f t="shared" si="8"/>
        <v/>
      </c>
      <c r="O357" s="45" t="str">
        <f t="shared" si="9"/>
        <v/>
      </c>
      <c r="P357" s="5"/>
      <c r="Q357" s="5"/>
      <c r="R357" s="5"/>
    </row>
    <row r="358" ht="15.75" customHeight="1">
      <c r="A358" s="46"/>
      <c r="B358" s="47"/>
      <c r="C358" s="47"/>
      <c r="D358" s="47"/>
      <c r="E358" s="47"/>
      <c r="F358" s="48"/>
      <c r="G358" s="36" t="str">
        <f t="shared" si="1"/>
        <v/>
      </c>
      <c r="H358" s="37" t="str">
        <f t="shared" si="2"/>
        <v/>
      </c>
      <c r="I358" s="37" t="str">
        <f t="shared" si="3"/>
        <v/>
      </c>
      <c r="J358" s="37" t="str">
        <f t="shared" si="4"/>
        <v/>
      </c>
      <c r="K358" s="32" t="str">
        <f t="shared" si="5"/>
        <v/>
      </c>
      <c r="L358" s="32" t="str">
        <f t="shared" si="6"/>
        <v/>
      </c>
      <c r="M358" s="32" t="str">
        <f t="shared" si="7"/>
        <v/>
      </c>
      <c r="N358" s="44" t="str">
        <f t="shared" si="8"/>
        <v/>
      </c>
      <c r="O358" s="45" t="str">
        <f t="shared" si="9"/>
        <v/>
      </c>
      <c r="P358" s="5"/>
      <c r="Q358" s="5"/>
      <c r="R358" s="5"/>
    </row>
    <row r="359" ht="15.75" customHeight="1">
      <c r="A359" s="46"/>
      <c r="B359" s="47"/>
      <c r="C359" s="47"/>
      <c r="D359" s="47"/>
      <c r="E359" s="47"/>
      <c r="F359" s="48"/>
      <c r="G359" s="36" t="str">
        <f t="shared" si="1"/>
        <v/>
      </c>
      <c r="H359" s="37" t="str">
        <f t="shared" si="2"/>
        <v/>
      </c>
      <c r="I359" s="37" t="str">
        <f t="shared" si="3"/>
        <v/>
      </c>
      <c r="J359" s="37" t="str">
        <f t="shared" si="4"/>
        <v/>
      </c>
      <c r="K359" s="32" t="str">
        <f t="shared" si="5"/>
        <v/>
      </c>
      <c r="L359" s="32" t="str">
        <f t="shared" si="6"/>
        <v/>
      </c>
      <c r="M359" s="32" t="str">
        <f t="shared" si="7"/>
        <v/>
      </c>
      <c r="N359" s="44" t="str">
        <f t="shared" si="8"/>
        <v/>
      </c>
      <c r="O359" s="45" t="str">
        <f t="shared" si="9"/>
        <v/>
      </c>
      <c r="P359" s="5"/>
      <c r="Q359" s="5"/>
      <c r="R359" s="5"/>
    </row>
    <row r="360" ht="15.75" customHeight="1">
      <c r="A360" s="46"/>
      <c r="B360" s="47"/>
      <c r="C360" s="47"/>
      <c r="D360" s="47"/>
      <c r="E360" s="47"/>
      <c r="F360" s="48"/>
      <c r="G360" s="36" t="str">
        <f t="shared" si="1"/>
        <v/>
      </c>
      <c r="H360" s="37" t="str">
        <f t="shared" si="2"/>
        <v/>
      </c>
      <c r="I360" s="37" t="str">
        <f t="shared" si="3"/>
        <v/>
      </c>
      <c r="J360" s="37" t="str">
        <f t="shared" si="4"/>
        <v/>
      </c>
      <c r="K360" s="32" t="str">
        <f t="shared" si="5"/>
        <v/>
      </c>
      <c r="L360" s="32" t="str">
        <f t="shared" si="6"/>
        <v/>
      </c>
      <c r="M360" s="32" t="str">
        <f t="shared" si="7"/>
        <v/>
      </c>
      <c r="N360" s="44" t="str">
        <f t="shared" si="8"/>
        <v/>
      </c>
      <c r="O360" s="45" t="str">
        <f t="shared" si="9"/>
        <v/>
      </c>
      <c r="P360" s="5"/>
      <c r="Q360" s="5"/>
      <c r="R360" s="5"/>
    </row>
    <row r="361" ht="15.75" customHeight="1">
      <c r="A361" s="46"/>
      <c r="B361" s="47"/>
      <c r="C361" s="47"/>
      <c r="D361" s="47"/>
      <c r="E361" s="47"/>
      <c r="F361" s="48"/>
      <c r="G361" s="36" t="str">
        <f t="shared" si="1"/>
        <v/>
      </c>
      <c r="H361" s="37" t="str">
        <f t="shared" si="2"/>
        <v/>
      </c>
      <c r="I361" s="37" t="str">
        <f t="shared" si="3"/>
        <v/>
      </c>
      <c r="J361" s="37" t="str">
        <f t="shared" si="4"/>
        <v/>
      </c>
      <c r="K361" s="32" t="str">
        <f t="shared" si="5"/>
        <v/>
      </c>
      <c r="L361" s="32" t="str">
        <f t="shared" si="6"/>
        <v/>
      </c>
      <c r="M361" s="32" t="str">
        <f t="shared" si="7"/>
        <v/>
      </c>
      <c r="N361" s="44" t="str">
        <f t="shared" si="8"/>
        <v/>
      </c>
      <c r="O361" s="45" t="str">
        <f t="shared" si="9"/>
        <v/>
      </c>
      <c r="P361" s="5"/>
      <c r="Q361" s="5"/>
      <c r="R361" s="5"/>
    </row>
    <row r="362" ht="15.75" customHeight="1">
      <c r="A362" s="46"/>
      <c r="B362" s="47"/>
      <c r="C362" s="47"/>
      <c r="D362" s="47"/>
      <c r="E362" s="47"/>
      <c r="F362" s="48"/>
      <c r="G362" s="36" t="str">
        <f t="shared" si="1"/>
        <v/>
      </c>
      <c r="H362" s="37" t="str">
        <f t="shared" si="2"/>
        <v/>
      </c>
      <c r="I362" s="37" t="str">
        <f t="shared" si="3"/>
        <v/>
      </c>
      <c r="J362" s="37" t="str">
        <f t="shared" si="4"/>
        <v/>
      </c>
      <c r="K362" s="32" t="str">
        <f t="shared" si="5"/>
        <v/>
      </c>
      <c r="L362" s="32" t="str">
        <f t="shared" si="6"/>
        <v/>
      </c>
      <c r="M362" s="32" t="str">
        <f t="shared" si="7"/>
        <v/>
      </c>
      <c r="N362" s="44" t="str">
        <f t="shared" si="8"/>
        <v/>
      </c>
      <c r="O362" s="45" t="str">
        <f t="shared" si="9"/>
        <v/>
      </c>
      <c r="P362" s="5"/>
      <c r="Q362" s="5"/>
      <c r="R362" s="5"/>
    </row>
    <row r="363" ht="15.75" customHeight="1">
      <c r="A363" s="46"/>
      <c r="B363" s="47"/>
      <c r="C363" s="47"/>
      <c r="D363" s="47"/>
      <c r="E363" s="47"/>
      <c r="F363" s="48"/>
      <c r="G363" s="36" t="str">
        <f t="shared" si="1"/>
        <v/>
      </c>
      <c r="H363" s="37" t="str">
        <f t="shared" si="2"/>
        <v/>
      </c>
      <c r="I363" s="37" t="str">
        <f t="shared" si="3"/>
        <v/>
      </c>
      <c r="J363" s="37" t="str">
        <f t="shared" si="4"/>
        <v/>
      </c>
      <c r="K363" s="32" t="str">
        <f t="shared" si="5"/>
        <v/>
      </c>
      <c r="L363" s="32" t="str">
        <f t="shared" si="6"/>
        <v/>
      </c>
      <c r="M363" s="32" t="str">
        <f t="shared" si="7"/>
        <v/>
      </c>
      <c r="N363" s="44" t="str">
        <f t="shared" si="8"/>
        <v/>
      </c>
      <c r="O363" s="45" t="str">
        <f t="shared" si="9"/>
        <v/>
      </c>
      <c r="P363" s="5"/>
      <c r="Q363" s="5"/>
      <c r="R363" s="5"/>
    </row>
    <row r="364" ht="15.75" customHeight="1">
      <c r="A364" s="46"/>
      <c r="B364" s="47"/>
      <c r="C364" s="47"/>
      <c r="D364" s="47"/>
      <c r="E364" s="47"/>
      <c r="F364" s="48"/>
      <c r="G364" s="36" t="str">
        <f t="shared" si="1"/>
        <v/>
      </c>
      <c r="H364" s="37" t="str">
        <f t="shared" si="2"/>
        <v/>
      </c>
      <c r="I364" s="37" t="str">
        <f t="shared" si="3"/>
        <v/>
      </c>
      <c r="J364" s="37" t="str">
        <f t="shared" si="4"/>
        <v/>
      </c>
      <c r="K364" s="32" t="str">
        <f t="shared" si="5"/>
        <v/>
      </c>
      <c r="L364" s="32" t="str">
        <f t="shared" si="6"/>
        <v/>
      </c>
      <c r="M364" s="32" t="str">
        <f t="shared" si="7"/>
        <v/>
      </c>
      <c r="N364" s="44" t="str">
        <f t="shared" si="8"/>
        <v/>
      </c>
      <c r="O364" s="45" t="str">
        <f t="shared" si="9"/>
        <v/>
      </c>
      <c r="P364" s="5"/>
      <c r="Q364" s="5"/>
      <c r="R364" s="5"/>
    </row>
    <row r="365" ht="15.75" customHeight="1">
      <c r="A365" s="46"/>
      <c r="B365" s="47"/>
      <c r="C365" s="47"/>
      <c r="D365" s="47"/>
      <c r="E365" s="47"/>
      <c r="F365" s="48"/>
      <c r="G365" s="36" t="str">
        <f t="shared" si="1"/>
        <v/>
      </c>
      <c r="H365" s="37" t="str">
        <f t="shared" si="2"/>
        <v/>
      </c>
      <c r="I365" s="37" t="str">
        <f t="shared" si="3"/>
        <v/>
      </c>
      <c r="J365" s="37" t="str">
        <f t="shared" si="4"/>
        <v/>
      </c>
      <c r="K365" s="32" t="str">
        <f t="shared" si="5"/>
        <v/>
      </c>
      <c r="L365" s="32" t="str">
        <f t="shared" si="6"/>
        <v/>
      </c>
      <c r="M365" s="32" t="str">
        <f t="shared" si="7"/>
        <v/>
      </c>
      <c r="N365" s="44" t="str">
        <f t="shared" si="8"/>
        <v/>
      </c>
      <c r="O365" s="45" t="str">
        <f t="shared" si="9"/>
        <v/>
      </c>
      <c r="P365" s="5"/>
      <c r="Q365" s="5"/>
      <c r="R365" s="5"/>
    </row>
    <row r="366" ht="15.75" customHeight="1">
      <c r="A366" s="46"/>
      <c r="B366" s="47"/>
      <c r="C366" s="47"/>
      <c r="D366" s="47"/>
      <c r="E366" s="47"/>
      <c r="F366" s="48"/>
      <c r="G366" s="36" t="str">
        <f t="shared" si="1"/>
        <v/>
      </c>
      <c r="H366" s="37" t="str">
        <f t="shared" si="2"/>
        <v/>
      </c>
      <c r="I366" s="37" t="str">
        <f t="shared" si="3"/>
        <v/>
      </c>
      <c r="J366" s="37" t="str">
        <f t="shared" si="4"/>
        <v/>
      </c>
      <c r="K366" s="32" t="str">
        <f t="shared" si="5"/>
        <v/>
      </c>
      <c r="L366" s="32" t="str">
        <f t="shared" si="6"/>
        <v/>
      </c>
      <c r="M366" s="32" t="str">
        <f t="shared" si="7"/>
        <v/>
      </c>
      <c r="N366" s="44" t="str">
        <f t="shared" si="8"/>
        <v/>
      </c>
      <c r="O366" s="45" t="str">
        <f t="shared" si="9"/>
        <v/>
      </c>
      <c r="P366" s="5"/>
      <c r="Q366" s="5"/>
      <c r="R366" s="5"/>
    </row>
    <row r="367" ht="15.75" customHeight="1">
      <c r="A367" s="46"/>
      <c r="B367" s="47"/>
      <c r="C367" s="47"/>
      <c r="D367" s="47"/>
      <c r="E367" s="47"/>
      <c r="F367" s="48"/>
      <c r="G367" s="36" t="str">
        <f t="shared" si="1"/>
        <v/>
      </c>
      <c r="H367" s="37" t="str">
        <f t="shared" si="2"/>
        <v/>
      </c>
      <c r="I367" s="37" t="str">
        <f t="shared" si="3"/>
        <v/>
      </c>
      <c r="J367" s="37" t="str">
        <f t="shared" si="4"/>
        <v/>
      </c>
      <c r="K367" s="32" t="str">
        <f t="shared" si="5"/>
        <v/>
      </c>
      <c r="L367" s="32" t="str">
        <f t="shared" si="6"/>
        <v/>
      </c>
      <c r="M367" s="32" t="str">
        <f t="shared" si="7"/>
        <v/>
      </c>
      <c r="N367" s="44" t="str">
        <f t="shared" si="8"/>
        <v/>
      </c>
      <c r="O367" s="45" t="str">
        <f t="shared" si="9"/>
        <v/>
      </c>
      <c r="P367" s="5"/>
      <c r="Q367" s="5"/>
      <c r="R367" s="5"/>
    </row>
    <row r="368" ht="15.75" customHeight="1">
      <c r="A368" s="46"/>
      <c r="B368" s="47"/>
      <c r="C368" s="47"/>
      <c r="D368" s="47"/>
      <c r="E368" s="47"/>
      <c r="F368" s="48"/>
      <c r="G368" s="36" t="str">
        <f t="shared" si="1"/>
        <v/>
      </c>
      <c r="H368" s="37" t="str">
        <f t="shared" si="2"/>
        <v/>
      </c>
      <c r="I368" s="37" t="str">
        <f t="shared" si="3"/>
        <v/>
      </c>
      <c r="J368" s="37" t="str">
        <f t="shared" si="4"/>
        <v/>
      </c>
      <c r="K368" s="32" t="str">
        <f t="shared" si="5"/>
        <v/>
      </c>
      <c r="L368" s="32" t="str">
        <f t="shared" si="6"/>
        <v/>
      </c>
      <c r="M368" s="32" t="str">
        <f t="shared" si="7"/>
        <v/>
      </c>
      <c r="N368" s="44" t="str">
        <f t="shared" si="8"/>
        <v/>
      </c>
      <c r="O368" s="45" t="str">
        <f t="shared" si="9"/>
        <v/>
      </c>
      <c r="P368" s="5"/>
      <c r="Q368" s="5"/>
      <c r="R368" s="5"/>
    </row>
    <row r="369" ht="15.75" customHeight="1">
      <c r="A369" s="46"/>
      <c r="B369" s="47"/>
      <c r="C369" s="47"/>
      <c r="D369" s="47"/>
      <c r="E369" s="47"/>
      <c r="F369" s="48"/>
      <c r="G369" s="36" t="str">
        <f t="shared" si="1"/>
        <v/>
      </c>
      <c r="H369" s="37" t="str">
        <f t="shared" si="2"/>
        <v/>
      </c>
      <c r="I369" s="37" t="str">
        <f t="shared" si="3"/>
        <v/>
      </c>
      <c r="J369" s="37" t="str">
        <f t="shared" si="4"/>
        <v/>
      </c>
      <c r="K369" s="32" t="str">
        <f t="shared" si="5"/>
        <v/>
      </c>
      <c r="L369" s="32" t="str">
        <f t="shared" si="6"/>
        <v/>
      </c>
      <c r="M369" s="32" t="str">
        <f t="shared" si="7"/>
        <v/>
      </c>
      <c r="N369" s="44" t="str">
        <f t="shared" si="8"/>
        <v/>
      </c>
      <c r="O369" s="45" t="str">
        <f t="shared" si="9"/>
        <v/>
      </c>
      <c r="P369" s="5"/>
      <c r="Q369" s="5"/>
      <c r="R369" s="5"/>
    </row>
    <row r="370" ht="15.75" customHeight="1">
      <c r="A370" s="46"/>
      <c r="B370" s="47"/>
      <c r="C370" s="47"/>
      <c r="D370" s="47"/>
      <c r="E370" s="47"/>
      <c r="F370" s="48"/>
      <c r="G370" s="36" t="str">
        <f t="shared" si="1"/>
        <v/>
      </c>
      <c r="H370" s="37" t="str">
        <f t="shared" si="2"/>
        <v/>
      </c>
      <c r="I370" s="37" t="str">
        <f t="shared" si="3"/>
        <v/>
      </c>
      <c r="J370" s="37" t="str">
        <f t="shared" si="4"/>
        <v/>
      </c>
      <c r="K370" s="32" t="str">
        <f t="shared" si="5"/>
        <v/>
      </c>
      <c r="L370" s="32" t="str">
        <f t="shared" si="6"/>
        <v/>
      </c>
      <c r="M370" s="32" t="str">
        <f t="shared" si="7"/>
        <v/>
      </c>
      <c r="N370" s="44" t="str">
        <f t="shared" si="8"/>
        <v/>
      </c>
      <c r="O370" s="45" t="str">
        <f t="shared" si="9"/>
        <v/>
      </c>
      <c r="P370" s="5"/>
      <c r="Q370" s="5"/>
      <c r="R370" s="5"/>
    </row>
    <row r="371" ht="15.75" customHeight="1">
      <c r="A371" s="46"/>
      <c r="B371" s="47"/>
      <c r="C371" s="47"/>
      <c r="D371" s="47"/>
      <c r="E371" s="47"/>
      <c r="F371" s="48"/>
      <c r="G371" s="36" t="str">
        <f t="shared" si="1"/>
        <v/>
      </c>
      <c r="H371" s="37" t="str">
        <f t="shared" si="2"/>
        <v/>
      </c>
      <c r="I371" s="37" t="str">
        <f t="shared" si="3"/>
        <v/>
      </c>
      <c r="J371" s="37" t="str">
        <f t="shared" si="4"/>
        <v/>
      </c>
      <c r="K371" s="32" t="str">
        <f t="shared" si="5"/>
        <v/>
      </c>
      <c r="L371" s="32" t="str">
        <f t="shared" si="6"/>
        <v/>
      </c>
      <c r="M371" s="32" t="str">
        <f t="shared" si="7"/>
        <v/>
      </c>
      <c r="N371" s="44" t="str">
        <f t="shared" si="8"/>
        <v/>
      </c>
      <c r="O371" s="45" t="str">
        <f t="shared" si="9"/>
        <v/>
      </c>
      <c r="P371" s="5"/>
      <c r="Q371" s="5"/>
      <c r="R371" s="5"/>
    </row>
    <row r="372" ht="15.75" customHeight="1">
      <c r="A372" s="46"/>
      <c r="B372" s="47"/>
      <c r="C372" s="47"/>
      <c r="D372" s="47"/>
      <c r="E372" s="47"/>
      <c r="F372" s="48"/>
      <c r="G372" s="36" t="str">
        <f t="shared" si="1"/>
        <v/>
      </c>
      <c r="H372" s="37" t="str">
        <f t="shared" si="2"/>
        <v/>
      </c>
      <c r="I372" s="37" t="str">
        <f t="shared" si="3"/>
        <v/>
      </c>
      <c r="J372" s="37" t="str">
        <f t="shared" si="4"/>
        <v/>
      </c>
      <c r="K372" s="32" t="str">
        <f t="shared" si="5"/>
        <v/>
      </c>
      <c r="L372" s="32" t="str">
        <f t="shared" si="6"/>
        <v/>
      </c>
      <c r="M372" s="32" t="str">
        <f t="shared" si="7"/>
        <v/>
      </c>
      <c r="N372" s="44" t="str">
        <f t="shared" si="8"/>
        <v/>
      </c>
      <c r="O372" s="45" t="str">
        <f t="shared" si="9"/>
        <v/>
      </c>
      <c r="P372" s="5"/>
      <c r="Q372" s="5"/>
      <c r="R372" s="5"/>
    </row>
    <row r="373" ht="15.75" customHeight="1">
      <c r="A373" s="46"/>
      <c r="B373" s="47"/>
      <c r="C373" s="47"/>
      <c r="D373" s="47"/>
      <c r="E373" s="47"/>
      <c r="F373" s="48"/>
      <c r="G373" s="36" t="str">
        <f t="shared" si="1"/>
        <v/>
      </c>
      <c r="H373" s="37" t="str">
        <f t="shared" si="2"/>
        <v/>
      </c>
      <c r="I373" s="37" t="str">
        <f t="shared" si="3"/>
        <v/>
      </c>
      <c r="J373" s="37" t="str">
        <f t="shared" si="4"/>
        <v/>
      </c>
      <c r="K373" s="32" t="str">
        <f t="shared" si="5"/>
        <v/>
      </c>
      <c r="L373" s="32" t="str">
        <f t="shared" si="6"/>
        <v/>
      </c>
      <c r="M373" s="32" t="str">
        <f t="shared" si="7"/>
        <v/>
      </c>
      <c r="N373" s="44" t="str">
        <f t="shared" si="8"/>
        <v/>
      </c>
      <c r="O373" s="45" t="str">
        <f t="shared" si="9"/>
        <v/>
      </c>
      <c r="P373" s="5"/>
      <c r="Q373" s="5"/>
      <c r="R373" s="5"/>
    </row>
    <row r="374" ht="15.75" customHeight="1">
      <c r="A374" s="46"/>
      <c r="B374" s="47"/>
      <c r="C374" s="47"/>
      <c r="D374" s="47"/>
      <c r="E374" s="47"/>
      <c r="F374" s="48"/>
      <c r="G374" s="36" t="str">
        <f t="shared" si="1"/>
        <v/>
      </c>
      <c r="H374" s="37" t="str">
        <f t="shared" si="2"/>
        <v/>
      </c>
      <c r="I374" s="37" t="str">
        <f t="shared" si="3"/>
        <v/>
      </c>
      <c r="J374" s="37" t="str">
        <f t="shared" si="4"/>
        <v/>
      </c>
      <c r="K374" s="32" t="str">
        <f t="shared" si="5"/>
        <v/>
      </c>
      <c r="L374" s="32" t="str">
        <f t="shared" si="6"/>
        <v/>
      </c>
      <c r="M374" s="32" t="str">
        <f t="shared" si="7"/>
        <v/>
      </c>
      <c r="N374" s="44" t="str">
        <f t="shared" si="8"/>
        <v/>
      </c>
      <c r="O374" s="45" t="str">
        <f t="shared" si="9"/>
        <v/>
      </c>
      <c r="P374" s="5"/>
      <c r="Q374" s="5"/>
      <c r="R374" s="5"/>
    </row>
    <row r="375" ht="15.75" customHeight="1">
      <c r="A375" s="46"/>
      <c r="B375" s="47"/>
      <c r="C375" s="47"/>
      <c r="D375" s="47"/>
      <c r="E375" s="47"/>
      <c r="F375" s="48"/>
      <c r="G375" s="36" t="str">
        <f t="shared" si="1"/>
        <v/>
      </c>
      <c r="H375" s="37" t="str">
        <f t="shared" si="2"/>
        <v/>
      </c>
      <c r="I375" s="37" t="str">
        <f t="shared" si="3"/>
        <v/>
      </c>
      <c r="J375" s="37" t="str">
        <f t="shared" si="4"/>
        <v/>
      </c>
      <c r="K375" s="32" t="str">
        <f t="shared" si="5"/>
        <v/>
      </c>
      <c r="L375" s="32" t="str">
        <f t="shared" si="6"/>
        <v/>
      </c>
      <c r="M375" s="32" t="str">
        <f t="shared" si="7"/>
        <v/>
      </c>
      <c r="N375" s="44" t="str">
        <f t="shared" si="8"/>
        <v/>
      </c>
      <c r="O375" s="45" t="str">
        <f t="shared" si="9"/>
        <v/>
      </c>
      <c r="P375" s="5"/>
      <c r="Q375" s="5"/>
      <c r="R375" s="5"/>
    </row>
    <row r="376" ht="15.75" customHeight="1">
      <c r="A376" s="46"/>
      <c r="B376" s="47"/>
      <c r="C376" s="47"/>
      <c r="D376" s="47"/>
      <c r="E376" s="47"/>
      <c r="F376" s="48"/>
      <c r="G376" s="36" t="str">
        <f t="shared" si="1"/>
        <v/>
      </c>
      <c r="H376" s="37" t="str">
        <f t="shared" si="2"/>
        <v/>
      </c>
      <c r="I376" s="37" t="str">
        <f t="shared" si="3"/>
        <v/>
      </c>
      <c r="J376" s="37" t="str">
        <f t="shared" si="4"/>
        <v/>
      </c>
      <c r="K376" s="32" t="str">
        <f t="shared" si="5"/>
        <v/>
      </c>
      <c r="L376" s="32" t="str">
        <f t="shared" si="6"/>
        <v/>
      </c>
      <c r="M376" s="32" t="str">
        <f t="shared" si="7"/>
        <v/>
      </c>
      <c r="N376" s="44" t="str">
        <f t="shared" si="8"/>
        <v/>
      </c>
      <c r="O376" s="45" t="str">
        <f t="shared" si="9"/>
        <v/>
      </c>
      <c r="P376" s="5"/>
      <c r="Q376" s="5"/>
      <c r="R376" s="5"/>
    </row>
    <row r="377" ht="15.75" customHeight="1">
      <c r="A377" s="46"/>
      <c r="B377" s="47"/>
      <c r="C377" s="47"/>
      <c r="D377" s="47"/>
      <c r="E377" s="47"/>
      <c r="F377" s="48"/>
      <c r="G377" s="36" t="str">
        <f t="shared" si="1"/>
        <v/>
      </c>
      <c r="H377" s="37" t="str">
        <f t="shared" si="2"/>
        <v/>
      </c>
      <c r="I377" s="37" t="str">
        <f t="shared" si="3"/>
        <v/>
      </c>
      <c r="J377" s="37" t="str">
        <f t="shared" si="4"/>
        <v/>
      </c>
      <c r="K377" s="32" t="str">
        <f t="shared" si="5"/>
        <v/>
      </c>
      <c r="L377" s="32" t="str">
        <f t="shared" si="6"/>
        <v/>
      </c>
      <c r="M377" s="32" t="str">
        <f t="shared" si="7"/>
        <v/>
      </c>
      <c r="N377" s="44" t="str">
        <f t="shared" si="8"/>
        <v/>
      </c>
      <c r="O377" s="45" t="str">
        <f t="shared" si="9"/>
        <v/>
      </c>
      <c r="P377" s="5"/>
      <c r="Q377" s="5"/>
      <c r="R377" s="5"/>
    </row>
    <row r="378" ht="15.75" customHeight="1">
      <c r="A378" s="46"/>
      <c r="B378" s="47"/>
      <c r="C378" s="47"/>
      <c r="D378" s="47"/>
      <c r="E378" s="47"/>
      <c r="F378" s="48"/>
      <c r="G378" s="36" t="str">
        <f t="shared" si="1"/>
        <v/>
      </c>
      <c r="H378" s="37" t="str">
        <f t="shared" si="2"/>
        <v/>
      </c>
      <c r="I378" s="37" t="str">
        <f t="shared" si="3"/>
        <v/>
      </c>
      <c r="J378" s="37" t="str">
        <f t="shared" si="4"/>
        <v/>
      </c>
      <c r="K378" s="32" t="str">
        <f t="shared" si="5"/>
        <v/>
      </c>
      <c r="L378" s="32" t="str">
        <f t="shared" si="6"/>
        <v/>
      </c>
      <c r="M378" s="32" t="str">
        <f t="shared" si="7"/>
        <v/>
      </c>
      <c r="N378" s="44" t="str">
        <f t="shared" si="8"/>
        <v/>
      </c>
      <c r="O378" s="45" t="str">
        <f t="shared" si="9"/>
        <v/>
      </c>
      <c r="P378" s="5"/>
      <c r="Q378" s="5"/>
      <c r="R378" s="5"/>
    </row>
    <row r="379" ht="15.75" customHeight="1">
      <c r="A379" s="46"/>
      <c r="B379" s="47"/>
      <c r="C379" s="47"/>
      <c r="D379" s="47"/>
      <c r="E379" s="47"/>
      <c r="F379" s="48"/>
      <c r="G379" s="36" t="str">
        <f t="shared" si="1"/>
        <v/>
      </c>
      <c r="H379" s="37" t="str">
        <f t="shared" si="2"/>
        <v/>
      </c>
      <c r="I379" s="37" t="str">
        <f t="shared" si="3"/>
        <v/>
      </c>
      <c r="J379" s="37" t="str">
        <f t="shared" si="4"/>
        <v/>
      </c>
      <c r="K379" s="32" t="str">
        <f t="shared" si="5"/>
        <v/>
      </c>
      <c r="L379" s="32" t="str">
        <f t="shared" si="6"/>
        <v/>
      </c>
      <c r="M379" s="32" t="str">
        <f t="shared" si="7"/>
        <v/>
      </c>
      <c r="N379" s="44" t="str">
        <f t="shared" si="8"/>
        <v/>
      </c>
      <c r="O379" s="45" t="str">
        <f t="shared" si="9"/>
        <v/>
      </c>
      <c r="P379" s="5"/>
      <c r="Q379" s="5"/>
      <c r="R379" s="5"/>
    </row>
    <row r="380" ht="15.75" customHeight="1">
      <c r="A380" s="46"/>
      <c r="B380" s="47"/>
      <c r="C380" s="47"/>
      <c r="D380" s="47"/>
      <c r="E380" s="47"/>
      <c r="F380" s="48"/>
      <c r="G380" s="36" t="str">
        <f t="shared" si="1"/>
        <v/>
      </c>
      <c r="H380" s="37" t="str">
        <f t="shared" si="2"/>
        <v/>
      </c>
      <c r="I380" s="37" t="str">
        <f t="shared" si="3"/>
        <v/>
      </c>
      <c r="J380" s="37" t="str">
        <f t="shared" si="4"/>
        <v/>
      </c>
      <c r="K380" s="32" t="str">
        <f t="shared" si="5"/>
        <v/>
      </c>
      <c r="L380" s="32" t="str">
        <f t="shared" si="6"/>
        <v/>
      </c>
      <c r="M380" s="32" t="str">
        <f t="shared" si="7"/>
        <v/>
      </c>
      <c r="N380" s="44" t="str">
        <f t="shared" si="8"/>
        <v/>
      </c>
      <c r="O380" s="45" t="str">
        <f t="shared" si="9"/>
        <v/>
      </c>
      <c r="P380" s="5"/>
      <c r="Q380" s="5"/>
      <c r="R380" s="5"/>
    </row>
    <row r="381" ht="15.75" customHeight="1">
      <c r="A381" s="46"/>
      <c r="B381" s="47"/>
      <c r="C381" s="47"/>
      <c r="D381" s="47"/>
      <c r="E381" s="47"/>
      <c r="F381" s="48"/>
      <c r="G381" s="36" t="str">
        <f t="shared" si="1"/>
        <v/>
      </c>
      <c r="H381" s="37" t="str">
        <f t="shared" si="2"/>
        <v/>
      </c>
      <c r="I381" s="37" t="str">
        <f t="shared" si="3"/>
        <v/>
      </c>
      <c r="J381" s="37" t="str">
        <f t="shared" si="4"/>
        <v/>
      </c>
      <c r="K381" s="32" t="str">
        <f t="shared" si="5"/>
        <v/>
      </c>
      <c r="L381" s="32" t="str">
        <f t="shared" si="6"/>
        <v/>
      </c>
      <c r="M381" s="32" t="str">
        <f t="shared" si="7"/>
        <v/>
      </c>
      <c r="N381" s="44" t="str">
        <f t="shared" si="8"/>
        <v/>
      </c>
      <c r="O381" s="45" t="str">
        <f t="shared" si="9"/>
        <v/>
      </c>
      <c r="P381" s="5"/>
      <c r="Q381" s="5"/>
      <c r="R381" s="5"/>
    </row>
    <row r="382" ht="15.75" customHeight="1">
      <c r="A382" s="46"/>
      <c r="B382" s="47"/>
      <c r="C382" s="47"/>
      <c r="D382" s="47"/>
      <c r="E382" s="47"/>
      <c r="F382" s="48"/>
      <c r="G382" s="36" t="str">
        <f t="shared" si="1"/>
        <v/>
      </c>
      <c r="H382" s="37" t="str">
        <f t="shared" si="2"/>
        <v/>
      </c>
      <c r="I382" s="37" t="str">
        <f t="shared" si="3"/>
        <v/>
      </c>
      <c r="J382" s="37" t="str">
        <f t="shared" si="4"/>
        <v/>
      </c>
      <c r="K382" s="32" t="str">
        <f t="shared" si="5"/>
        <v/>
      </c>
      <c r="L382" s="32" t="str">
        <f t="shared" si="6"/>
        <v/>
      </c>
      <c r="M382" s="32" t="str">
        <f t="shared" si="7"/>
        <v/>
      </c>
      <c r="N382" s="44" t="str">
        <f t="shared" si="8"/>
        <v/>
      </c>
      <c r="O382" s="45" t="str">
        <f t="shared" si="9"/>
        <v/>
      </c>
      <c r="P382" s="5"/>
      <c r="Q382" s="5"/>
      <c r="R382" s="5"/>
    </row>
    <row r="383" ht="15.75" customHeight="1">
      <c r="A383" s="46"/>
      <c r="B383" s="47"/>
      <c r="C383" s="47"/>
      <c r="D383" s="47"/>
      <c r="E383" s="47"/>
      <c r="F383" s="48"/>
      <c r="G383" s="36" t="str">
        <f t="shared" si="1"/>
        <v/>
      </c>
      <c r="H383" s="37" t="str">
        <f t="shared" si="2"/>
        <v/>
      </c>
      <c r="I383" s="37" t="str">
        <f t="shared" si="3"/>
        <v/>
      </c>
      <c r="J383" s="37" t="str">
        <f t="shared" si="4"/>
        <v/>
      </c>
      <c r="K383" s="32" t="str">
        <f t="shared" si="5"/>
        <v/>
      </c>
      <c r="L383" s="32" t="str">
        <f t="shared" si="6"/>
        <v/>
      </c>
      <c r="M383" s="32" t="str">
        <f t="shared" si="7"/>
        <v/>
      </c>
      <c r="N383" s="44" t="str">
        <f t="shared" si="8"/>
        <v/>
      </c>
      <c r="O383" s="45" t="str">
        <f t="shared" si="9"/>
        <v/>
      </c>
      <c r="P383" s="5"/>
      <c r="Q383" s="5"/>
      <c r="R383" s="5"/>
    </row>
    <row r="384" ht="15.75" customHeight="1">
      <c r="A384" s="46"/>
      <c r="B384" s="47"/>
      <c r="C384" s="47"/>
      <c r="D384" s="47"/>
      <c r="E384" s="47"/>
      <c r="F384" s="48"/>
      <c r="G384" s="36" t="str">
        <f t="shared" si="1"/>
        <v/>
      </c>
      <c r="H384" s="37" t="str">
        <f t="shared" si="2"/>
        <v/>
      </c>
      <c r="I384" s="37" t="str">
        <f t="shared" si="3"/>
        <v/>
      </c>
      <c r="J384" s="37" t="str">
        <f t="shared" si="4"/>
        <v/>
      </c>
      <c r="K384" s="32" t="str">
        <f t="shared" si="5"/>
        <v/>
      </c>
      <c r="L384" s="32" t="str">
        <f t="shared" si="6"/>
        <v/>
      </c>
      <c r="M384" s="32" t="str">
        <f t="shared" si="7"/>
        <v/>
      </c>
      <c r="N384" s="44" t="str">
        <f t="shared" si="8"/>
        <v/>
      </c>
      <c r="O384" s="45" t="str">
        <f t="shared" si="9"/>
        <v/>
      </c>
      <c r="P384" s="5"/>
      <c r="Q384" s="5"/>
      <c r="R384" s="5"/>
    </row>
    <row r="385" ht="15.75" customHeight="1">
      <c r="A385" s="46"/>
      <c r="B385" s="47"/>
      <c r="C385" s="47"/>
      <c r="D385" s="47"/>
      <c r="E385" s="47"/>
      <c r="F385" s="48"/>
      <c r="G385" s="36" t="str">
        <f t="shared" si="1"/>
        <v/>
      </c>
      <c r="H385" s="37" t="str">
        <f t="shared" si="2"/>
        <v/>
      </c>
      <c r="I385" s="37" t="str">
        <f t="shared" si="3"/>
        <v/>
      </c>
      <c r="J385" s="37" t="str">
        <f t="shared" si="4"/>
        <v/>
      </c>
      <c r="K385" s="32" t="str">
        <f t="shared" si="5"/>
        <v/>
      </c>
      <c r="L385" s="32" t="str">
        <f t="shared" si="6"/>
        <v/>
      </c>
      <c r="M385" s="32" t="str">
        <f t="shared" si="7"/>
        <v/>
      </c>
      <c r="N385" s="44" t="str">
        <f t="shared" si="8"/>
        <v/>
      </c>
      <c r="O385" s="45" t="str">
        <f t="shared" si="9"/>
        <v/>
      </c>
      <c r="P385" s="5"/>
      <c r="Q385" s="5"/>
      <c r="R385" s="5"/>
    </row>
    <row r="386" ht="15.75" customHeight="1">
      <c r="A386" s="46"/>
      <c r="B386" s="47"/>
      <c r="C386" s="47"/>
      <c r="D386" s="47"/>
      <c r="E386" s="47"/>
      <c r="F386" s="48"/>
      <c r="G386" s="36" t="str">
        <f t="shared" si="1"/>
        <v/>
      </c>
      <c r="H386" s="37" t="str">
        <f t="shared" si="2"/>
        <v/>
      </c>
      <c r="I386" s="37" t="str">
        <f t="shared" si="3"/>
        <v/>
      </c>
      <c r="J386" s="37" t="str">
        <f t="shared" si="4"/>
        <v/>
      </c>
      <c r="K386" s="32" t="str">
        <f t="shared" si="5"/>
        <v/>
      </c>
      <c r="L386" s="32" t="str">
        <f t="shared" si="6"/>
        <v/>
      </c>
      <c r="M386" s="32" t="str">
        <f t="shared" si="7"/>
        <v/>
      </c>
      <c r="N386" s="44" t="str">
        <f t="shared" si="8"/>
        <v/>
      </c>
      <c r="O386" s="45" t="str">
        <f t="shared" si="9"/>
        <v/>
      </c>
      <c r="P386" s="5"/>
      <c r="Q386" s="5"/>
      <c r="R386" s="5"/>
    </row>
    <row r="387" ht="15.75" customHeight="1">
      <c r="A387" s="46"/>
      <c r="B387" s="47"/>
      <c r="C387" s="47"/>
      <c r="D387" s="47"/>
      <c r="E387" s="47"/>
      <c r="F387" s="48"/>
      <c r="G387" s="36" t="str">
        <f t="shared" si="1"/>
        <v/>
      </c>
      <c r="H387" s="37" t="str">
        <f t="shared" si="2"/>
        <v/>
      </c>
      <c r="I387" s="37" t="str">
        <f t="shared" si="3"/>
        <v/>
      </c>
      <c r="J387" s="37" t="str">
        <f t="shared" si="4"/>
        <v/>
      </c>
      <c r="K387" s="32" t="str">
        <f t="shared" si="5"/>
        <v/>
      </c>
      <c r="L387" s="32" t="str">
        <f t="shared" si="6"/>
        <v/>
      </c>
      <c r="M387" s="32" t="str">
        <f t="shared" si="7"/>
        <v/>
      </c>
      <c r="N387" s="44" t="str">
        <f t="shared" si="8"/>
        <v/>
      </c>
      <c r="O387" s="45" t="str">
        <f t="shared" si="9"/>
        <v/>
      </c>
      <c r="P387" s="5"/>
      <c r="Q387" s="5"/>
      <c r="R387" s="5"/>
    </row>
    <row r="388" ht="15.75" customHeight="1">
      <c r="A388" s="46"/>
      <c r="B388" s="47"/>
      <c r="C388" s="47"/>
      <c r="D388" s="47"/>
      <c r="E388" s="47"/>
      <c r="F388" s="48"/>
      <c r="G388" s="36" t="str">
        <f t="shared" si="1"/>
        <v/>
      </c>
      <c r="H388" s="37" t="str">
        <f t="shared" si="2"/>
        <v/>
      </c>
      <c r="I388" s="37" t="str">
        <f t="shared" si="3"/>
        <v/>
      </c>
      <c r="J388" s="37" t="str">
        <f t="shared" si="4"/>
        <v/>
      </c>
      <c r="K388" s="32" t="str">
        <f t="shared" si="5"/>
        <v/>
      </c>
      <c r="L388" s="32" t="str">
        <f t="shared" si="6"/>
        <v/>
      </c>
      <c r="M388" s="32" t="str">
        <f t="shared" si="7"/>
        <v/>
      </c>
      <c r="N388" s="44" t="str">
        <f t="shared" si="8"/>
        <v/>
      </c>
      <c r="O388" s="45" t="str">
        <f t="shared" si="9"/>
        <v/>
      </c>
      <c r="P388" s="5"/>
      <c r="Q388" s="5"/>
      <c r="R388" s="5"/>
    </row>
    <row r="389" ht="15.75" customHeight="1">
      <c r="A389" s="46"/>
      <c r="B389" s="47"/>
      <c r="C389" s="47"/>
      <c r="D389" s="47"/>
      <c r="E389" s="47"/>
      <c r="F389" s="48"/>
      <c r="G389" s="36" t="str">
        <f t="shared" si="1"/>
        <v/>
      </c>
      <c r="H389" s="37" t="str">
        <f t="shared" si="2"/>
        <v/>
      </c>
      <c r="I389" s="37" t="str">
        <f t="shared" si="3"/>
        <v/>
      </c>
      <c r="J389" s="37" t="str">
        <f t="shared" si="4"/>
        <v/>
      </c>
      <c r="K389" s="32" t="str">
        <f t="shared" si="5"/>
        <v/>
      </c>
      <c r="L389" s="32" t="str">
        <f t="shared" si="6"/>
        <v/>
      </c>
      <c r="M389" s="32" t="str">
        <f t="shared" si="7"/>
        <v/>
      </c>
      <c r="N389" s="44" t="str">
        <f t="shared" si="8"/>
        <v/>
      </c>
      <c r="O389" s="45" t="str">
        <f t="shared" si="9"/>
        <v/>
      </c>
      <c r="P389" s="5"/>
      <c r="Q389" s="5"/>
      <c r="R389" s="5"/>
    </row>
    <row r="390" ht="15.75" customHeight="1">
      <c r="A390" s="46"/>
      <c r="B390" s="47"/>
      <c r="C390" s="47"/>
      <c r="D390" s="47"/>
      <c r="E390" s="47"/>
      <c r="F390" s="48"/>
      <c r="G390" s="36" t="str">
        <f t="shared" si="1"/>
        <v/>
      </c>
      <c r="H390" s="37" t="str">
        <f t="shared" si="2"/>
        <v/>
      </c>
      <c r="I390" s="37" t="str">
        <f t="shared" si="3"/>
        <v/>
      </c>
      <c r="J390" s="37" t="str">
        <f t="shared" si="4"/>
        <v/>
      </c>
      <c r="K390" s="32" t="str">
        <f t="shared" si="5"/>
        <v/>
      </c>
      <c r="L390" s="32" t="str">
        <f t="shared" si="6"/>
        <v/>
      </c>
      <c r="M390" s="32" t="str">
        <f t="shared" si="7"/>
        <v/>
      </c>
      <c r="N390" s="44" t="str">
        <f t="shared" si="8"/>
        <v/>
      </c>
      <c r="O390" s="45" t="str">
        <f t="shared" si="9"/>
        <v/>
      </c>
      <c r="P390" s="5"/>
      <c r="Q390" s="5"/>
      <c r="R390" s="5"/>
    </row>
    <row r="391" ht="15.75" customHeight="1">
      <c r="A391" s="46"/>
      <c r="B391" s="47"/>
      <c r="C391" s="47"/>
      <c r="D391" s="47"/>
      <c r="E391" s="47"/>
      <c r="F391" s="48"/>
      <c r="G391" s="36" t="str">
        <f t="shared" si="1"/>
        <v/>
      </c>
      <c r="H391" s="37" t="str">
        <f t="shared" si="2"/>
        <v/>
      </c>
      <c r="I391" s="37" t="str">
        <f t="shared" si="3"/>
        <v/>
      </c>
      <c r="J391" s="37" t="str">
        <f t="shared" si="4"/>
        <v/>
      </c>
      <c r="K391" s="32" t="str">
        <f t="shared" si="5"/>
        <v/>
      </c>
      <c r="L391" s="32" t="str">
        <f t="shared" si="6"/>
        <v/>
      </c>
      <c r="M391" s="32" t="str">
        <f t="shared" si="7"/>
        <v/>
      </c>
      <c r="N391" s="44" t="str">
        <f t="shared" si="8"/>
        <v/>
      </c>
      <c r="O391" s="45" t="str">
        <f t="shared" si="9"/>
        <v/>
      </c>
      <c r="P391" s="5"/>
      <c r="Q391" s="5"/>
      <c r="R391" s="5"/>
    </row>
    <row r="392" ht="15.75" customHeight="1">
      <c r="A392" s="46"/>
      <c r="B392" s="47"/>
      <c r="C392" s="47"/>
      <c r="D392" s="47"/>
      <c r="E392" s="47"/>
      <c r="F392" s="48"/>
      <c r="G392" s="36" t="str">
        <f t="shared" si="1"/>
        <v/>
      </c>
      <c r="H392" s="37" t="str">
        <f t="shared" si="2"/>
        <v/>
      </c>
      <c r="I392" s="37" t="str">
        <f t="shared" si="3"/>
        <v/>
      </c>
      <c r="J392" s="37" t="str">
        <f t="shared" si="4"/>
        <v/>
      </c>
      <c r="K392" s="32" t="str">
        <f t="shared" si="5"/>
        <v/>
      </c>
      <c r="L392" s="32" t="str">
        <f t="shared" si="6"/>
        <v/>
      </c>
      <c r="M392" s="32" t="str">
        <f t="shared" si="7"/>
        <v/>
      </c>
      <c r="N392" s="44" t="str">
        <f t="shared" si="8"/>
        <v/>
      </c>
      <c r="O392" s="45" t="str">
        <f t="shared" si="9"/>
        <v/>
      </c>
      <c r="P392" s="5"/>
      <c r="Q392" s="5"/>
      <c r="R392" s="5"/>
    </row>
    <row r="393" ht="15.75" customHeight="1">
      <c r="A393" s="46"/>
      <c r="B393" s="47"/>
      <c r="C393" s="47"/>
      <c r="D393" s="47"/>
      <c r="E393" s="47"/>
      <c r="F393" s="48"/>
      <c r="G393" s="36" t="str">
        <f t="shared" si="1"/>
        <v/>
      </c>
      <c r="H393" s="37" t="str">
        <f t="shared" si="2"/>
        <v/>
      </c>
      <c r="I393" s="37" t="str">
        <f t="shared" si="3"/>
        <v/>
      </c>
      <c r="J393" s="37" t="str">
        <f t="shared" si="4"/>
        <v/>
      </c>
      <c r="K393" s="32" t="str">
        <f t="shared" si="5"/>
        <v/>
      </c>
      <c r="L393" s="32" t="str">
        <f t="shared" si="6"/>
        <v/>
      </c>
      <c r="M393" s="32" t="str">
        <f t="shared" si="7"/>
        <v/>
      </c>
      <c r="N393" s="44" t="str">
        <f t="shared" si="8"/>
        <v/>
      </c>
      <c r="O393" s="45" t="str">
        <f t="shared" si="9"/>
        <v/>
      </c>
      <c r="P393" s="5"/>
      <c r="Q393" s="5"/>
      <c r="R393" s="5"/>
    </row>
    <row r="394" ht="15.75" customHeight="1">
      <c r="A394" s="46"/>
      <c r="B394" s="47"/>
      <c r="C394" s="47"/>
      <c r="D394" s="47"/>
      <c r="E394" s="47"/>
      <c r="F394" s="48"/>
      <c r="G394" s="36" t="str">
        <f t="shared" si="1"/>
        <v/>
      </c>
      <c r="H394" s="37" t="str">
        <f t="shared" si="2"/>
        <v/>
      </c>
      <c r="I394" s="37" t="str">
        <f t="shared" si="3"/>
        <v/>
      </c>
      <c r="J394" s="37" t="str">
        <f t="shared" si="4"/>
        <v/>
      </c>
      <c r="K394" s="32" t="str">
        <f t="shared" si="5"/>
        <v/>
      </c>
      <c r="L394" s="32" t="str">
        <f t="shared" si="6"/>
        <v/>
      </c>
      <c r="M394" s="32" t="str">
        <f t="shared" si="7"/>
        <v/>
      </c>
      <c r="N394" s="44" t="str">
        <f t="shared" si="8"/>
        <v/>
      </c>
      <c r="O394" s="45" t="str">
        <f t="shared" si="9"/>
        <v/>
      </c>
      <c r="P394" s="5"/>
      <c r="Q394" s="5"/>
      <c r="R394" s="5"/>
    </row>
    <row r="395" ht="15.75" customHeight="1">
      <c r="A395" s="46"/>
      <c r="B395" s="47"/>
      <c r="C395" s="47"/>
      <c r="D395" s="47"/>
      <c r="E395" s="47"/>
      <c r="F395" s="48"/>
      <c r="G395" s="36" t="str">
        <f t="shared" si="1"/>
        <v/>
      </c>
      <c r="H395" s="37" t="str">
        <f t="shared" si="2"/>
        <v/>
      </c>
      <c r="I395" s="37" t="str">
        <f t="shared" si="3"/>
        <v/>
      </c>
      <c r="J395" s="37" t="str">
        <f t="shared" si="4"/>
        <v/>
      </c>
      <c r="K395" s="32" t="str">
        <f t="shared" si="5"/>
        <v/>
      </c>
      <c r="L395" s="32" t="str">
        <f t="shared" si="6"/>
        <v/>
      </c>
      <c r="M395" s="32" t="str">
        <f t="shared" si="7"/>
        <v/>
      </c>
      <c r="N395" s="44" t="str">
        <f t="shared" si="8"/>
        <v/>
      </c>
      <c r="O395" s="45" t="str">
        <f t="shared" si="9"/>
        <v/>
      </c>
      <c r="P395" s="5"/>
      <c r="Q395" s="5"/>
      <c r="R395" s="5"/>
    </row>
    <row r="396" ht="15.75" customHeight="1">
      <c r="A396" s="46"/>
      <c r="B396" s="47"/>
      <c r="C396" s="47"/>
      <c r="D396" s="47"/>
      <c r="E396" s="47"/>
      <c r="F396" s="48"/>
      <c r="G396" s="36" t="str">
        <f t="shared" si="1"/>
        <v/>
      </c>
      <c r="H396" s="37" t="str">
        <f t="shared" si="2"/>
        <v/>
      </c>
      <c r="I396" s="37" t="str">
        <f t="shared" si="3"/>
        <v/>
      </c>
      <c r="J396" s="37" t="str">
        <f t="shared" si="4"/>
        <v/>
      </c>
      <c r="K396" s="32" t="str">
        <f t="shared" si="5"/>
        <v/>
      </c>
      <c r="L396" s="32" t="str">
        <f t="shared" si="6"/>
        <v/>
      </c>
      <c r="M396" s="32" t="str">
        <f t="shared" si="7"/>
        <v/>
      </c>
      <c r="N396" s="44" t="str">
        <f t="shared" si="8"/>
        <v/>
      </c>
      <c r="O396" s="45" t="str">
        <f t="shared" si="9"/>
        <v/>
      </c>
      <c r="P396" s="5"/>
      <c r="Q396" s="5"/>
      <c r="R396" s="5"/>
    </row>
    <row r="397" ht="15.75" customHeight="1">
      <c r="A397" s="46"/>
      <c r="B397" s="47"/>
      <c r="C397" s="47"/>
      <c r="D397" s="47"/>
      <c r="E397" s="47"/>
      <c r="F397" s="48"/>
      <c r="G397" s="36" t="str">
        <f t="shared" si="1"/>
        <v/>
      </c>
      <c r="H397" s="37" t="str">
        <f t="shared" si="2"/>
        <v/>
      </c>
      <c r="I397" s="37" t="str">
        <f t="shared" si="3"/>
        <v/>
      </c>
      <c r="J397" s="37" t="str">
        <f t="shared" si="4"/>
        <v/>
      </c>
      <c r="K397" s="32" t="str">
        <f t="shared" si="5"/>
        <v/>
      </c>
      <c r="L397" s="32" t="str">
        <f t="shared" si="6"/>
        <v/>
      </c>
      <c r="M397" s="32" t="str">
        <f t="shared" si="7"/>
        <v/>
      </c>
      <c r="N397" s="44" t="str">
        <f t="shared" si="8"/>
        <v/>
      </c>
      <c r="O397" s="45" t="str">
        <f t="shared" si="9"/>
        <v/>
      </c>
      <c r="P397" s="5"/>
      <c r="Q397" s="5"/>
      <c r="R397" s="5"/>
    </row>
    <row r="398" ht="15.75" customHeight="1">
      <c r="A398" s="46"/>
      <c r="B398" s="47"/>
      <c r="C398" s="47"/>
      <c r="D398" s="47"/>
      <c r="E398" s="47"/>
      <c r="F398" s="48"/>
      <c r="G398" s="36" t="str">
        <f t="shared" si="1"/>
        <v/>
      </c>
      <c r="H398" s="37" t="str">
        <f t="shared" si="2"/>
        <v/>
      </c>
      <c r="I398" s="37" t="str">
        <f t="shared" si="3"/>
        <v/>
      </c>
      <c r="J398" s="37" t="str">
        <f t="shared" si="4"/>
        <v/>
      </c>
      <c r="K398" s="32" t="str">
        <f t="shared" si="5"/>
        <v/>
      </c>
      <c r="L398" s="32" t="str">
        <f t="shared" si="6"/>
        <v/>
      </c>
      <c r="M398" s="32" t="str">
        <f t="shared" si="7"/>
        <v/>
      </c>
      <c r="N398" s="44" t="str">
        <f t="shared" si="8"/>
        <v/>
      </c>
      <c r="O398" s="45" t="str">
        <f t="shared" si="9"/>
        <v/>
      </c>
      <c r="P398" s="5"/>
      <c r="Q398" s="5"/>
      <c r="R398" s="5"/>
    </row>
    <row r="399" ht="15.75" customHeight="1">
      <c r="A399" s="46"/>
      <c r="B399" s="47"/>
      <c r="C399" s="47"/>
      <c r="D399" s="47"/>
      <c r="E399" s="47"/>
      <c r="F399" s="48"/>
      <c r="G399" s="36" t="str">
        <f t="shared" si="1"/>
        <v/>
      </c>
      <c r="H399" s="37" t="str">
        <f t="shared" si="2"/>
        <v/>
      </c>
      <c r="I399" s="37" t="str">
        <f t="shared" si="3"/>
        <v/>
      </c>
      <c r="J399" s="37" t="str">
        <f t="shared" si="4"/>
        <v/>
      </c>
      <c r="K399" s="32" t="str">
        <f t="shared" si="5"/>
        <v/>
      </c>
      <c r="L399" s="32" t="str">
        <f t="shared" si="6"/>
        <v/>
      </c>
      <c r="M399" s="32" t="str">
        <f t="shared" si="7"/>
        <v/>
      </c>
      <c r="N399" s="44" t="str">
        <f t="shared" si="8"/>
        <v/>
      </c>
      <c r="O399" s="45" t="str">
        <f t="shared" si="9"/>
        <v/>
      </c>
      <c r="P399" s="5"/>
      <c r="Q399" s="5"/>
      <c r="R399" s="5"/>
    </row>
    <row r="400" ht="15.75" customHeight="1">
      <c r="A400" s="46"/>
      <c r="B400" s="47"/>
      <c r="C400" s="47"/>
      <c r="D400" s="47"/>
      <c r="E400" s="47"/>
      <c r="F400" s="48"/>
      <c r="G400" s="36" t="str">
        <f t="shared" si="1"/>
        <v/>
      </c>
      <c r="H400" s="37" t="str">
        <f t="shared" si="2"/>
        <v/>
      </c>
      <c r="I400" s="37" t="str">
        <f t="shared" si="3"/>
        <v/>
      </c>
      <c r="J400" s="37" t="str">
        <f t="shared" si="4"/>
        <v/>
      </c>
      <c r="K400" s="32" t="str">
        <f t="shared" si="5"/>
        <v/>
      </c>
      <c r="L400" s="32" t="str">
        <f t="shared" si="6"/>
        <v/>
      </c>
      <c r="M400" s="32" t="str">
        <f t="shared" si="7"/>
        <v/>
      </c>
      <c r="N400" s="44" t="str">
        <f t="shared" si="8"/>
        <v/>
      </c>
      <c r="O400" s="45" t="str">
        <f t="shared" si="9"/>
        <v/>
      </c>
      <c r="P400" s="5"/>
      <c r="Q400" s="5"/>
      <c r="R400" s="5"/>
    </row>
    <row r="401" ht="15.75" customHeight="1">
      <c r="A401" s="46"/>
      <c r="B401" s="47"/>
      <c r="C401" s="47"/>
      <c r="D401" s="47"/>
      <c r="E401" s="47"/>
      <c r="F401" s="48"/>
      <c r="G401" s="36" t="str">
        <f t="shared" si="1"/>
        <v/>
      </c>
      <c r="H401" s="37" t="str">
        <f t="shared" si="2"/>
        <v/>
      </c>
      <c r="I401" s="37" t="str">
        <f t="shared" si="3"/>
        <v/>
      </c>
      <c r="J401" s="37" t="str">
        <f t="shared" si="4"/>
        <v/>
      </c>
      <c r="K401" s="32" t="str">
        <f t="shared" si="5"/>
        <v/>
      </c>
      <c r="L401" s="32" t="str">
        <f t="shared" si="6"/>
        <v/>
      </c>
      <c r="M401" s="32" t="str">
        <f t="shared" si="7"/>
        <v/>
      </c>
      <c r="N401" s="44" t="str">
        <f t="shared" si="8"/>
        <v/>
      </c>
      <c r="O401" s="45" t="str">
        <f t="shared" si="9"/>
        <v/>
      </c>
      <c r="P401" s="5"/>
      <c r="Q401" s="5"/>
      <c r="R401" s="5"/>
    </row>
    <row r="402" ht="15.75" customHeight="1">
      <c r="A402" s="46"/>
      <c r="B402" s="47"/>
      <c r="C402" s="47"/>
      <c r="D402" s="47"/>
      <c r="E402" s="47"/>
      <c r="F402" s="48"/>
      <c r="G402" s="36" t="str">
        <f t="shared" si="1"/>
        <v/>
      </c>
      <c r="H402" s="37" t="str">
        <f t="shared" si="2"/>
        <v/>
      </c>
      <c r="I402" s="37" t="str">
        <f t="shared" si="3"/>
        <v/>
      </c>
      <c r="J402" s="37" t="str">
        <f t="shared" si="4"/>
        <v/>
      </c>
      <c r="K402" s="32" t="str">
        <f t="shared" si="5"/>
        <v/>
      </c>
      <c r="L402" s="32" t="str">
        <f t="shared" si="6"/>
        <v/>
      </c>
      <c r="M402" s="32" t="str">
        <f t="shared" si="7"/>
        <v/>
      </c>
      <c r="N402" s="44" t="str">
        <f t="shared" si="8"/>
        <v/>
      </c>
      <c r="O402" s="45" t="str">
        <f t="shared" si="9"/>
        <v/>
      </c>
      <c r="P402" s="5"/>
      <c r="Q402" s="5"/>
      <c r="R402" s="5"/>
    </row>
    <row r="403" ht="15.75" customHeight="1">
      <c r="A403" s="46"/>
      <c r="B403" s="47"/>
      <c r="C403" s="47"/>
      <c r="D403" s="47"/>
      <c r="E403" s="47"/>
      <c r="F403" s="48"/>
      <c r="G403" s="36" t="str">
        <f t="shared" si="1"/>
        <v/>
      </c>
      <c r="H403" s="37" t="str">
        <f t="shared" si="2"/>
        <v/>
      </c>
      <c r="I403" s="37" t="str">
        <f t="shared" si="3"/>
        <v/>
      </c>
      <c r="J403" s="37" t="str">
        <f t="shared" si="4"/>
        <v/>
      </c>
      <c r="K403" s="32" t="str">
        <f t="shared" si="5"/>
        <v/>
      </c>
      <c r="L403" s="32" t="str">
        <f t="shared" si="6"/>
        <v/>
      </c>
      <c r="M403" s="32" t="str">
        <f t="shared" si="7"/>
        <v/>
      </c>
      <c r="N403" s="44" t="str">
        <f t="shared" si="8"/>
        <v/>
      </c>
      <c r="O403" s="45" t="str">
        <f t="shared" si="9"/>
        <v/>
      </c>
      <c r="P403" s="5"/>
      <c r="Q403" s="5"/>
      <c r="R403" s="5"/>
    </row>
    <row r="404" ht="15.75" customHeight="1">
      <c r="A404" s="46"/>
      <c r="B404" s="47"/>
      <c r="C404" s="47"/>
      <c r="D404" s="47"/>
      <c r="E404" s="47"/>
      <c r="F404" s="48"/>
      <c r="G404" s="36" t="str">
        <f t="shared" si="1"/>
        <v/>
      </c>
      <c r="H404" s="37" t="str">
        <f t="shared" si="2"/>
        <v/>
      </c>
      <c r="I404" s="37" t="str">
        <f t="shared" si="3"/>
        <v/>
      </c>
      <c r="J404" s="37" t="str">
        <f t="shared" si="4"/>
        <v/>
      </c>
      <c r="K404" s="32" t="str">
        <f t="shared" si="5"/>
        <v/>
      </c>
      <c r="L404" s="32" t="str">
        <f t="shared" si="6"/>
        <v/>
      </c>
      <c r="M404" s="32" t="str">
        <f t="shared" si="7"/>
        <v/>
      </c>
      <c r="N404" s="44" t="str">
        <f t="shared" si="8"/>
        <v/>
      </c>
      <c r="O404" s="45" t="str">
        <f t="shared" si="9"/>
        <v/>
      </c>
      <c r="P404" s="5"/>
      <c r="Q404" s="5"/>
      <c r="R404" s="5"/>
    </row>
    <row r="405" ht="15.75" customHeight="1">
      <c r="A405" s="46"/>
      <c r="B405" s="47"/>
      <c r="C405" s="47"/>
      <c r="D405" s="47"/>
      <c r="E405" s="47"/>
      <c r="F405" s="48"/>
      <c r="G405" s="36" t="str">
        <f t="shared" si="1"/>
        <v/>
      </c>
      <c r="H405" s="37" t="str">
        <f t="shared" si="2"/>
        <v/>
      </c>
      <c r="I405" s="37" t="str">
        <f t="shared" si="3"/>
        <v/>
      </c>
      <c r="J405" s="37" t="str">
        <f t="shared" si="4"/>
        <v/>
      </c>
      <c r="K405" s="32" t="str">
        <f t="shared" si="5"/>
        <v/>
      </c>
      <c r="L405" s="32" t="str">
        <f t="shared" si="6"/>
        <v/>
      </c>
      <c r="M405" s="32" t="str">
        <f t="shared" si="7"/>
        <v/>
      </c>
      <c r="N405" s="44" t="str">
        <f t="shared" si="8"/>
        <v/>
      </c>
      <c r="O405" s="45" t="str">
        <f t="shared" si="9"/>
        <v/>
      </c>
      <c r="P405" s="5"/>
      <c r="Q405" s="5"/>
      <c r="R405" s="5"/>
    </row>
    <row r="406" ht="15.75" customHeight="1">
      <c r="A406" s="46"/>
      <c r="B406" s="47"/>
      <c r="C406" s="47"/>
      <c r="D406" s="47"/>
      <c r="E406" s="47"/>
      <c r="F406" s="48"/>
      <c r="G406" s="36" t="str">
        <f t="shared" si="1"/>
        <v/>
      </c>
      <c r="H406" s="37" t="str">
        <f t="shared" si="2"/>
        <v/>
      </c>
      <c r="I406" s="37" t="str">
        <f t="shared" si="3"/>
        <v/>
      </c>
      <c r="J406" s="37" t="str">
        <f t="shared" si="4"/>
        <v/>
      </c>
      <c r="K406" s="32" t="str">
        <f t="shared" si="5"/>
        <v/>
      </c>
      <c r="L406" s="32" t="str">
        <f t="shared" si="6"/>
        <v/>
      </c>
      <c r="M406" s="32" t="str">
        <f t="shared" si="7"/>
        <v/>
      </c>
      <c r="N406" s="44" t="str">
        <f t="shared" si="8"/>
        <v/>
      </c>
      <c r="O406" s="45" t="str">
        <f t="shared" si="9"/>
        <v/>
      </c>
      <c r="P406" s="5"/>
      <c r="Q406" s="5"/>
      <c r="R406" s="5"/>
    </row>
    <row r="407" ht="15.75" customHeight="1">
      <c r="A407" s="46"/>
      <c r="B407" s="47"/>
      <c r="C407" s="47"/>
      <c r="D407" s="47"/>
      <c r="E407" s="47"/>
      <c r="F407" s="48"/>
      <c r="G407" s="36" t="str">
        <f t="shared" si="1"/>
        <v/>
      </c>
      <c r="H407" s="37" t="str">
        <f t="shared" si="2"/>
        <v/>
      </c>
      <c r="I407" s="37" t="str">
        <f t="shared" si="3"/>
        <v/>
      </c>
      <c r="J407" s="37" t="str">
        <f t="shared" si="4"/>
        <v/>
      </c>
      <c r="K407" s="32" t="str">
        <f t="shared" si="5"/>
        <v/>
      </c>
      <c r="L407" s="32" t="str">
        <f t="shared" si="6"/>
        <v/>
      </c>
      <c r="M407" s="32" t="str">
        <f t="shared" si="7"/>
        <v/>
      </c>
      <c r="N407" s="44" t="str">
        <f t="shared" si="8"/>
        <v/>
      </c>
      <c r="O407" s="45" t="str">
        <f t="shared" si="9"/>
        <v/>
      </c>
      <c r="P407" s="5"/>
      <c r="Q407" s="5"/>
      <c r="R407" s="5"/>
    </row>
    <row r="408" ht="15.75" customHeight="1">
      <c r="A408" s="46"/>
      <c r="B408" s="47"/>
      <c r="C408" s="47"/>
      <c r="D408" s="47"/>
      <c r="E408" s="47"/>
      <c r="F408" s="48"/>
      <c r="G408" s="36" t="str">
        <f t="shared" si="1"/>
        <v/>
      </c>
      <c r="H408" s="37" t="str">
        <f t="shared" si="2"/>
        <v/>
      </c>
      <c r="I408" s="37" t="str">
        <f t="shared" si="3"/>
        <v/>
      </c>
      <c r="J408" s="37" t="str">
        <f t="shared" si="4"/>
        <v/>
      </c>
      <c r="K408" s="32" t="str">
        <f t="shared" si="5"/>
        <v/>
      </c>
      <c r="L408" s="32" t="str">
        <f t="shared" si="6"/>
        <v/>
      </c>
      <c r="M408" s="32" t="str">
        <f t="shared" si="7"/>
        <v/>
      </c>
      <c r="N408" s="44" t="str">
        <f t="shared" si="8"/>
        <v/>
      </c>
      <c r="O408" s="45" t="str">
        <f t="shared" si="9"/>
        <v/>
      </c>
      <c r="P408" s="5"/>
      <c r="Q408" s="5"/>
      <c r="R408" s="5"/>
    </row>
    <row r="409" ht="15.75" customHeight="1">
      <c r="A409" s="46"/>
      <c r="B409" s="47"/>
      <c r="C409" s="47"/>
      <c r="D409" s="47"/>
      <c r="E409" s="47"/>
      <c r="F409" s="48"/>
      <c r="G409" s="36" t="str">
        <f t="shared" si="1"/>
        <v/>
      </c>
      <c r="H409" s="37" t="str">
        <f t="shared" si="2"/>
        <v/>
      </c>
      <c r="I409" s="37" t="str">
        <f t="shared" si="3"/>
        <v/>
      </c>
      <c r="J409" s="37" t="str">
        <f t="shared" si="4"/>
        <v/>
      </c>
      <c r="K409" s="32" t="str">
        <f t="shared" si="5"/>
        <v/>
      </c>
      <c r="L409" s="32" t="str">
        <f t="shared" si="6"/>
        <v/>
      </c>
      <c r="M409" s="32" t="str">
        <f t="shared" si="7"/>
        <v/>
      </c>
      <c r="N409" s="44" t="str">
        <f t="shared" si="8"/>
        <v/>
      </c>
      <c r="O409" s="45" t="str">
        <f t="shared" si="9"/>
        <v/>
      </c>
      <c r="P409" s="5"/>
      <c r="Q409" s="5"/>
      <c r="R409" s="5"/>
    </row>
    <row r="410" ht="15.75" customHeight="1">
      <c r="A410" s="46"/>
      <c r="B410" s="47"/>
      <c r="C410" s="47"/>
      <c r="D410" s="47"/>
      <c r="E410" s="47"/>
      <c r="F410" s="48"/>
      <c r="G410" s="36" t="str">
        <f t="shared" si="1"/>
        <v/>
      </c>
      <c r="H410" s="37" t="str">
        <f t="shared" si="2"/>
        <v/>
      </c>
      <c r="I410" s="37" t="str">
        <f t="shared" si="3"/>
        <v/>
      </c>
      <c r="J410" s="37" t="str">
        <f t="shared" si="4"/>
        <v/>
      </c>
      <c r="K410" s="32" t="str">
        <f t="shared" si="5"/>
        <v/>
      </c>
      <c r="L410" s="32" t="str">
        <f t="shared" si="6"/>
        <v/>
      </c>
      <c r="M410" s="32" t="str">
        <f t="shared" si="7"/>
        <v/>
      </c>
      <c r="N410" s="44" t="str">
        <f t="shared" si="8"/>
        <v/>
      </c>
      <c r="O410" s="45" t="str">
        <f t="shared" si="9"/>
        <v/>
      </c>
      <c r="P410" s="5"/>
      <c r="Q410" s="5"/>
      <c r="R410" s="5"/>
    </row>
    <row r="411" ht="15.75" customHeight="1">
      <c r="A411" s="46"/>
      <c r="B411" s="47"/>
      <c r="C411" s="47"/>
      <c r="D411" s="47"/>
      <c r="E411" s="47"/>
      <c r="F411" s="48"/>
      <c r="G411" s="36" t="str">
        <f t="shared" si="1"/>
        <v/>
      </c>
      <c r="H411" s="37" t="str">
        <f t="shared" si="2"/>
        <v/>
      </c>
      <c r="I411" s="37" t="str">
        <f t="shared" si="3"/>
        <v/>
      </c>
      <c r="J411" s="37" t="str">
        <f t="shared" si="4"/>
        <v/>
      </c>
      <c r="K411" s="32" t="str">
        <f t="shared" si="5"/>
        <v/>
      </c>
      <c r="L411" s="32" t="str">
        <f t="shared" si="6"/>
        <v/>
      </c>
      <c r="M411" s="32" t="str">
        <f t="shared" si="7"/>
        <v/>
      </c>
      <c r="N411" s="44" t="str">
        <f t="shared" si="8"/>
        <v/>
      </c>
      <c r="O411" s="45" t="str">
        <f t="shared" si="9"/>
        <v/>
      </c>
      <c r="P411" s="5"/>
      <c r="Q411" s="5"/>
      <c r="R411" s="5"/>
    </row>
    <row r="412" ht="15.75" customHeight="1">
      <c r="A412" s="46"/>
      <c r="B412" s="47"/>
      <c r="C412" s="47"/>
      <c r="D412" s="47"/>
      <c r="E412" s="47"/>
      <c r="F412" s="48"/>
      <c r="G412" s="36" t="str">
        <f t="shared" si="1"/>
        <v/>
      </c>
      <c r="H412" s="37" t="str">
        <f t="shared" si="2"/>
        <v/>
      </c>
      <c r="I412" s="37" t="str">
        <f t="shared" si="3"/>
        <v/>
      </c>
      <c r="J412" s="37" t="str">
        <f t="shared" si="4"/>
        <v/>
      </c>
      <c r="K412" s="32" t="str">
        <f t="shared" si="5"/>
        <v/>
      </c>
      <c r="L412" s="32" t="str">
        <f t="shared" si="6"/>
        <v/>
      </c>
      <c r="M412" s="32" t="str">
        <f t="shared" si="7"/>
        <v/>
      </c>
      <c r="N412" s="44" t="str">
        <f t="shared" si="8"/>
        <v/>
      </c>
      <c r="O412" s="45" t="str">
        <f t="shared" si="9"/>
        <v/>
      </c>
      <c r="P412" s="5"/>
      <c r="Q412" s="5"/>
      <c r="R412" s="5"/>
    </row>
    <row r="413" ht="15.75" customHeight="1">
      <c r="A413" s="46"/>
      <c r="B413" s="47"/>
      <c r="C413" s="47"/>
      <c r="D413" s="47"/>
      <c r="E413" s="47"/>
      <c r="F413" s="48"/>
      <c r="G413" s="36" t="str">
        <f t="shared" si="1"/>
        <v/>
      </c>
      <c r="H413" s="37" t="str">
        <f t="shared" si="2"/>
        <v/>
      </c>
      <c r="I413" s="37" t="str">
        <f t="shared" si="3"/>
        <v/>
      </c>
      <c r="J413" s="37" t="str">
        <f t="shared" si="4"/>
        <v/>
      </c>
      <c r="K413" s="32" t="str">
        <f t="shared" si="5"/>
        <v/>
      </c>
      <c r="L413" s="32" t="str">
        <f t="shared" si="6"/>
        <v/>
      </c>
      <c r="M413" s="32" t="str">
        <f t="shared" si="7"/>
        <v/>
      </c>
      <c r="N413" s="44" t="str">
        <f t="shared" si="8"/>
        <v/>
      </c>
      <c r="O413" s="45" t="str">
        <f t="shared" si="9"/>
        <v/>
      </c>
      <c r="P413" s="5"/>
      <c r="Q413" s="5"/>
      <c r="R413" s="5"/>
    </row>
    <row r="414" ht="15.75" customHeight="1">
      <c r="A414" s="46"/>
      <c r="B414" s="47"/>
      <c r="C414" s="47"/>
      <c r="D414" s="47"/>
      <c r="E414" s="47"/>
      <c r="F414" s="48"/>
      <c r="G414" s="36" t="str">
        <f t="shared" si="1"/>
        <v/>
      </c>
      <c r="H414" s="37" t="str">
        <f t="shared" si="2"/>
        <v/>
      </c>
      <c r="I414" s="37" t="str">
        <f t="shared" si="3"/>
        <v/>
      </c>
      <c r="J414" s="37" t="str">
        <f t="shared" si="4"/>
        <v/>
      </c>
      <c r="K414" s="32" t="str">
        <f t="shared" si="5"/>
        <v/>
      </c>
      <c r="L414" s="32" t="str">
        <f t="shared" si="6"/>
        <v/>
      </c>
      <c r="M414" s="32" t="str">
        <f t="shared" si="7"/>
        <v/>
      </c>
      <c r="N414" s="44" t="str">
        <f t="shared" si="8"/>
        <v/>
      </c>
      <c r="O414" s="45" t="str">
        <f t="shared" si="9"/>
        <v/>
      </c>
      <c r="P414" s="5"/>
      <c r="Q414" s="5"/>
      <c r="R414" s="5"/>
    </row>
    <row r="415" ht="15.75" customHeight="1">
      <c r="A415" s="46"/>
      <c r="B415" s="47"/>
      <c r="C415" s="47"/>
      <c r="D415" s="47"/>
      <c r="E415" s="47"/>
      <c r="F415" s="48"/>
      <c r="G415" s="36" t="str">
        <f t="shared" si="1"/>
        <v/>
      </c>
      <c r="H415" s="37" t="str">
        <f t="shared" si="2"/>
        <v/>
      </c>
      <c r="I415" s="37" t="str">
        <f t="shared" si="3"/>
        <v/>
      </c>
      <c r="J415" s="37" t="str">
        <f t="shared" si="4"/>
        <v/>
      </c>
      <c r="K415" s="32" t="str">
        <f t="shared" si="5"/>
        <v/>
      </c>
      <c r="L415" s="32" t="str">
        <f t="shared" si="6"/>
        <v/>
      </c>
      <c r="M415" s="32" t="str">
        <f t="shared" si="7"/>
        <v/>
      </c>
      <c r="N415" s="44" t="str">
        <f t="shared" si="8"/>
        <v/>
      </c>
      <c r="O415" s="45" t="str">
        <f t="shared" si="9"/>
        <v/>
      </c>
      <c r="P415" s="5"/>
      <c r="Q415" s="5"/>
      <c r="R415" s="5"/>
    </row>
    <row r="416" ht="15.75" customHeight="1">
      <c r="A416" s="46"/>
      <c r="B416" s="47"/>
      <c r="C416" s="47"/>
      <c r="D416" s="47"/>
      <c r="E416" s="47"/>
      <c r="F416" s="48"/>
      <c r="G416" s="36" t="str">
        <f t="shared" si="1"/>
        <v/>
      </c>
      <c r="H416" s="37" t="str">
        <f t="shared" si="2"/>
        <v/>
      </c>
      <c r="I416" s="37" t="str">
        <f t="shared" si="3"/>
        <v/>
      </c>
      <c r="J416" s="37" t="str">
        <f t="shared" si="4"/>
        <v/>
      </c>
      <c r="K416" s="32" t="str">
        <f t="shared" si="5"/>
        <v/>
      </c>
      <c r="L416" s="32" t="str">
        <f t="shared" si="6"/>
        <v/>
      </c>
      <c r="M416" s="32" t="str">
        <f t="shared" si="7"/>
        <v/>
      </c>
      <c r="N416" s="44" t="str">
        <f t="shared" si="8"/>
        <v/>
      </c>
      <c r="O416" s="45" t="str">
        <f t="shared" si="9"/>
        <v/>
      </c>
      <c r="P416" s="5"/>
      <c r="Q416" s="5"/>
      <c r="R416" s="5"/>
    </row>
    <row r="417" ht="15.75" customHeight="1">
      <c r="A417" s="46"/>
      <c r="B417" s="47"/>
      <c r="C417" s="47"/>
      <c r="D417" s="47"/>
      <c r="E417" s="47"/>
      <c r="F417" s="48"/>
      <c r="G417" s="36" t="str">
        <f t="shared" si="1"/>
        <v/>
      </c>
      <c r="H417" s="37" t="str">
        <f t="shared" si="2"/>
        <v/>
      </c>
      <c r="I417" s="37" t="str">
        <f t="shared" si="3"/>
        <v/>
      </c>
      <c r="J417" s="37" t="str">
        <f t="shared" si="4"/>
        <v/>
      </c>
      <c r="K417" s="32" t="str">
        <f t="shared" si="5"/>
        <v/>
      </c>
      <c r="L417" s="32" t="str">
        <f t="shared" si="6"/>
        <v/>
      </c>
      <c r="M417" s="32" t="str">
        <f t="shared" si="7"/>
        <v/>
      </c>
      <c r="N417" s="44" t="str">
        <f t="shared" si="8"/>
        <v/>
      </c>
      <c r="O417" s="45" t="str">
        <f t="shared" si="9"/>
        <v/>
      </c>
      <c r="P417" s="5"/>
      <c r="Q417" s="5"/>
      <c r="R417" s="5"/>
    </row>
    <row r="418" ht="15.75" customHeight="1">
      <c r="A418" s="46"/>
      <c r="B418" s="47"/>
      <c r="C418" s="47"/>
      <c r="D418" s="47"/>
      <c r="E418" s="47"/>
      <c r="F418" s="48"/>
      <c r="G418" s="36" t="str">
        <f t="shared" si="1"/>
        <v/>
      </c>
      <c r="H418" s="37" t="str">
        <f t="shared" si="2"/>
        <v/>
      </c>
      <c r="I418" s="37" t="str">
        <f t="shared" si="3"/>
        <v/>
      </c>
      <c r="J418" s="37" t="str">
        <f t="shared" si="4"/>
        <v/>
      </c>
      <c r="K418" s="32" t="str">
        <f t="shared" si="5"/>
        <v/>
      </c>
      <c r="L418" s="32" t="str">
        <f t="shared" si="6"/>
        <v/>
      </c>
      <c r="M418" s="32" t="str">
        <f t="shared" si="7"/>
        <v/>
      </c>
      <c r="N418" s="44" t="str">
        <f t="shared" si="8"/>
        <v/>
      </c>
      <c r="O418" s="45" t="str">
        <f t="shared" si="9"/>
        <v/>
      </c>
      <c r="P418" s="5"/>
      <c r="Q418" s="5"/>
      <c r="R418" s="5"/>
    </row>
    <row r="419" ht="15.75" customHeight="1">
      <c r="A419" s="46"/>
      <c r="B419" s="47"/>
      <c r="C419" s="47"/>
      <c r="D419" s="47"/>
      <c r="E419" s="47"/>
      <c r="F419" s="48"/>
      <c r="G419" s="36" t="str">
        <f t="shared" si="1"/>
        <v/>
      </c>
      <c r="H419" s="37" t="str">
        <f t="shared" si="2"/>
        <v/>
      </c>
      <c r="I419" s="37" t="str">
        <f t="shared" si="3"/>
        <v/>
      </c>
      <c r="J419" s="37" t="str">
        <f t="shared" si="4"/>
        <v/>
      </c>
      <c r="K419" s="32" t="str">
        <f t="shared" si="5"/>
        <v/>
      </c>
      <c r="L419" s="32" t="str">
        <f t="shared" si="6"/>
        <v/>
      </c>
      <c r="M419" s="32" t="str">
        <f t="shared" si="7"/>
        <v/>
      </c>
      <c r="N419" s="44" t="str">
        <f t="shared" si="8"/>
        <v/>
      </c>
      <c r="O419" s="45" t="str">
        <f t="shared" si="9"/>
        <v/>
      </c>
      <c r="P419" s="5"/>
      <c r="Q419" s="5"/>
      <c r="R419" s="5"/>
    </row>
    <row r="420" ht="15.75" customHeight="1">
      <c r="A420" s="46"/>
      <c r="B420" s="47"/>
      <c r="C420" s="47"/>
      <c r="D420" s="47"/>
      <c r="E420" s="47"/>
      <c r="F420" s="48"/>
      <c r="G420" s="36" t="str">
        <f t="shared" si="1"/>
        <v/>
      </c>
      <c r="H420" s="37" t="str">
        <f t="shared" si="2"/>
        <v/>
      </c>
      <c r="I420" s="37" t="str">
        <f t="shared" si="3"/>
        <v/>
      </c>
      <c r="J420" s="37" t="str">
        <f t="shared" si="4"/>
        <v/>
      </c>
      <c r="K420" s="32" t="str">
        <f t="shared" si="5"/>
        <v/>
      </c>
      <c r="L420" s="32" t="str">
        <f t="shared" si="6"/>
        <v/>
      </c>
      <c r="M420" s="32" t="str">
        <f t="shared" si="7"/>
        <v/>
      </c>
      <c r="N420" s="44" t="str">
        <f t="shared" si="8"/>
        <v/>
      </c>
      <c r="O420" s="45" t="str">
        <f t="shared" si="9"/>
        <v/>
      </c>
      <c r="P420" s="5"/>
      <c r="Q420" s="5"/>
      <c r="R420" s="5"/>
    </row>
    <row r="421" ht="15.75" customHeight="1">
      <c r="A421" s="46"/>
      <c r="B421" s="47"/>
      <c r="C421" s="47"/>
      <c r="D421" s="47"/>
      <c r="E421" s="47"/>
      <c r="F421" s="48"/>
      <c r="G421" s="36" t="str">
        <f t="shared" si="1"/>
        <v/>
      </c>
      <c r="H421" s="37" t="str">
        <f t="shared" si="2"/>
        <v/>
      </c>
      <c r="I421" s="37" t="str">
        <f t="shared" si="3"/>
        <v/>
      </c>
      <c r="J421" s="37" t="str">
        <f t="shared" si="4"/>
        <v/>
      </c>
      <c r="K421" s="32" t="str">
        <f t="shared" si="5"/>
        <v/>
      </c>
      <c r="L421" s="32" t="str">
        <f t="shared" si="6"/>
        <v/>
      </c>
      <c r="M421" s="32" t="str">
        <f t="shared" si="7"/>
        <v/>
      </c>
      <c r="N421" s="44" t="str">
        <f t="shared" si="8"/>
        <v/>
      </c>
      <c r="O421" s="45" t="str">
        <f t="shared" si="9"/>
        <v/>
      </c>
      <c r="P421" s="5"/>
      <c r="Q421" s="5"/>
      <c r="R421" s="5"/>
    </row>
    <row r="422" ht="15.75" customHeight="1">
      <c r="A422" s="46"/>
      <c r="B422" s="47"/>
      <c r="C422" s="47"/>
      <c r="D422" s="47"/>
      <c r="E422" s="47"/>
      <c r="F422" s="48"/>
      <c r="G422" s="36" t="str">
        <f t="shared" si="1"/>
        <v/>
      </c>
      <c r="H422" s="37" t="str">
        <f t="shared" si="2"/>
        <v/>
      </c>
      <c r="I422" s="37" t="str">
        <f t="shared" si="3"/>
        <v/>
      </c>
      <c r="J422" s="37" t="str">
        <f t="shared" si="4"/>
        <v/>
      </c>
      <c r="K422" s="32" t="str">
        <f t="shared" si="5"/>
        <v/>
      </c>
      <c r="L422" s="32" t="str">
        <f t="shared" si="6"/>
        <v/>
      </c>
      <c r="M422" s="32" t="str">
        <f t="shared" si="7"/>
        <v/>
      </c>
      <c r="N422" s="44" t="str">
        <f t="shared" si="8"/>
        <v/>
      </c>
      <c r="O422" s="45" t="str">
        <f t="shared" si="9"/>
        <v/>
      </c>
      <c r="P422" s="5"/>
      <c r="Q422" s="5"/>
      <c r="R422" s="5"/>
    </row>
    <row r="423" ht="15.75" customHeight="1">
      <c r="A423" s="46"/>
      <c r="B423" s="47"/>
      <c r="C423" s="47"/>
      <c r="D423" s="47"/>
      <c r="E423" s="47"/>
      <c r="F423" s="48"/>
      <c r="G423" s="36" t="str">
        <f t="shared" si="1"/>
        <v/>
      </c>
      <c r="H423" s="37" t="str">
        <f t="shared" si="2"/>
        <v/>
      </c>
      <c r="I423" s="37" t="str">
        <f t="shared" si="3"/>
        <v/>
      </c>
      <c r="J423" s="37" t="str">
        <f t="shared" si="4"/>
        <v/>
      </c>
      <c r="K423" s="32" t="str">
        <f t="shared" si="5"/>
        <v/>
      </c>
      <c r="L423" s="32" t="str">
        <f t="shared" si="6"/>
        <v/>
      </c>
      <c r="M423" s="32" t="str">
        <f t="shared" si="7"/>
        <v/>
      </c>
      <c r="N423" s="44" t="str">
        <f t="shared" si="8"/>
        <v/>
      </c>
      <c r="O423" s="45" t="str">
        <f t="shared" si="9"/>
        <v/>
      </c>
      <c r="P423" s="5"/>
      <c r="Q423" s="5"/>
      <c r="R423" s="5"/>
    </row>
    <row r="424" ht="15.75" customHeight="1">
      <c r="A424" s="46"/>
      <c r="B424" s="47"/>
      <c r="C424" s="47"/>
      <c r="D424" s="47"/>
      <c r="E424" s="47"/>
      <c r="F424" s="48"/>
      <c r="G424" s="36" t="str">
        <f t="shared" si="1"/>
        <v/>
      </c>
      <c r="H424" s="37" t="str">
        <f t="shared" si="2"/>
        <v/>
      </c>
      <c r="I424" s="37" t="str">
        <f t="shared" si="3"/>
        <v/>
      </c>
      <c r="J424" s="37" t="str">
        <f t="shared" si="4"/>
        <v/>
      </c>
      <c r="K424" s="32" t="str">
        <f t="shared" si="5"/>
        <v/>
      </c>
      <c r="L424" s="32" t="str">
        <f t="shared" si="6"/>
        <v/>
      </c>
      <c r="M424" s="32" t="str">
        <f t="shared" si="7"/>
        <v/>
      </c>
      <c r="N424" s="44" t="str">
        <f t="shared" si="8"/>
        <v/>
      </c>
      <c r="O424" s="45" t="str">
        <f t="shared" si="9"/>
        <v/>
      </c>
      <c r="P424" s="5"/>
      <c r="Q424" s="5"/>
      <c r="R424" s="5"/>
    </row>
    <row r="425" ht="15.75" customHeight="1">
      <c r="A425" s="46"/>
      <c r="B425" s="47"/>
      <c r="C425" s="47"/>
      <c r="D425" s="47"/>
      <c r="E425" s="47"/>
      <c r="F425" s="48"/>
      <c r="G425" s="36" t="str">
        <f t="shared" si="1"/>
        <v/>
      </c>
      <c r="H425" s="37" t="str">
        <f t="shared" si="2"/>
        <v/>
      </c>
      <c r="I425" s="37" t="str">
        <f t="shared" si="3"/>
        <v/>
      </c>
      <c r="J425" s="37" t="str">
        <f t="shared" si="4"/>
        <v/>
      </c>
      <c r="K425" s="32" t="str">
        <f t="shared" si="5"/>
        <v/>
      </c>
      <c r="L425" s="32" t="str">
        <f t="shared" si="6"/>
        <v/>
      </c>
      <c r="M425" s="32" t="str">
        <f t="shared" si="7"/>
        <v/>
      </c>
      <c r="N425" s="44" t="str">
        <f t="shared" si="8"/>
        <v/>
      </c>
      <c r="O425" s="45" t="str">
        <f t="shared" si="9"/>
        <v/>
      </c>
      <c r="P425" s="5"/>
      <c r="Q425" s="5"/>
      <c r="R425" s="5"/>
    </row>
    <row r="426" ht="15.75" customHeight="1">
      <c r="A426" s="46"/>
      <c r="B426" s="47"/>
      <c r="C426" s="47"/>
      <c r="D426" s="47"/>
      <c r="E426" s="47"/>
      <c r="F426" s="48"/>
      <c r="G426" s="36" t="str">
        <f t="shared" si="1"/>
        <v/>
      </c>
      <c r="H426" s="37" t="str">
        <f t="shared" si="2"/>
        <v/>
      </c>
      <c r="I426" s="37" t="str">
        <f t="shared" si="3"/>
        <v/>
      </c>
      <c r="J426" s="37" t="str">
        <f t="shared" si="4"/>
        <v/>
      </c>
      <c r="K426" s="32" t="str">
        <f t="shared" si="5"/>
        <v/>
      </c>
      <c r="L426" s="32" t="str">
        <f t="shared" si="6"/>
        <v/>
      </c>
      <c r="M426" s="32" t="str">
        <f t="shared" si="7"/>
        <v/>
      </c>
      <c r="N426" s="44" t="str">
        <f t="shared" si="8"/>
        <v/>
      </c>
      <c r="O426" s="45" t="str">
        <f t="shared" si="9"/>
        <v/>
      </c>
      <c r="P426" s="5"/>
      <c r="Q426" s="5"/>
      <c r="R426" s="5"/>
    </row>
    <row r="427" ht="15.75" customHeight="1">
      <c r="A427" s="46"/>
      <c r="B427" s="47"/>
      <c r="C427" s="47"/>
      <c r="D427" s="47"/>
      <c r="E427" s="47"/>
      <c r="F427" s="48"/>
      <c r="G427" s="36" t="str">
        <f t="shared" si="1"/>
        <v/>
      </c>
      <c r="H427" s="37" t="str">
        <f t="shared" si="2"/>
        <v/>
      </c>
      <c r="I427" s="37" t="str">
        <f t="shared" si="3"/>
        <v/>
      </c>
      <c r="J427" s="37" t="str">
        <f t="shared" si="4"/>
        <v/>
      </c>
      <c r="K427" s="32" t="str">
        <f t="shared" si="5"/>
        <v/>
      </c>
      <c r="L427" s="32" t="str">
        <f t="shared" si="6"/>
        <v/>
      </c>
      <c r="M427" s="32" t="str">
        <f t="shared" si="7"/>
        <v/>
      </c>
      <c r="N427" s="44" t="str">
        <f t="shared" si="8"/>
        <v/>
      </c>
      <c r="O427" s="45" t="str">
        <f t="shared" si="9"/>
        <v/>
      </c>
      <c r="P427" s="5"/>
      <c r="Q427" s="5"/>
      <c r="R427" s="5"/>
    </row>
    <row r="428" ht="15.75" customHeight="1">
      <c r="A428" s="46"/>
      <c r="B428" s="47"/>
      <c r="C428" s="47"/>
      <c r="D428" s="47"/>
      <c r="E428" s="47"/>
      <c r="F428" s="48"/>
      <c r="G428" s="36" t="str">
        <f t="shared" si="1"/>
        <v/>
      </c>
      <c r="H428" s="37" t="str">
        <f t="shared" si="2"/>
        <v/>
      </c>
      <c r="I428" s="37" t="str">
        <f t="shared" si="3"/>
        <v/>
      </c>
      <c r="J428" s="37" t="str">
        <f t="shared" si="4"/>
        <v/>
      </c>
      <c r="K428" s="32" t="str">
        <f t="shared" si="5"/>
        <v/>
      </c>
      <c r="L428" s="32" t="str">
        <f t="shared" si="6"/>
        <v/>
      </c>
      <c r="M428" s="32" t="str">
        <f t="shared" si="7"/>
        <v/>
      </c>
      <c r="N428" s="44" t="str">
        <f t="shared" si="8"/>
        <v/>
      </c>
      <c r="O428" s="45" t="str">
        <f t="shared" si="9"/>
        <v/>
      </c>
      <c r="P428" s="5"/>
      <c r="Q428" s="5"/>
      <c r="R428" s="5"/>
    </row>
    <row r="429" ht="15.75" customHeight="1">
      <c r="A429" s="46"/>
      <c r="B429" s="47"/>
      <c r="C429" s="47"/>
      <c r="D429" s="47"/>
      <c r="E429" s="47"/>
      <c r="F429" s="48"/>
      <c r="G429" s="36" t="str">
        <f t="shared" si="1"/>
        <v/>
      </c>
      <c r="H429" s="37" t="str">
        <f t="shared" si="2"/>
        <v/>
      </c>
      <c r="I429" s="37" t="str">
        <f t="shared" si="3"/>
        <v/>
      </c>
      <c r="J429" s="37" t="str">
        <f t="shared" si="4"/>
        <v/>
      </c>
      <c r="K429" s="32" t="str">
        <f t="shared" si="5"/>
        <v/>
      </c>
      <c r="L429" s="32" t="str">
        <f t="shared" si="6"/>
        <v/>
      </c>
      <c r="M429" s="32" t="str">
        <f t="shared" si="7"/>
        <v/>
      </c>
      <c r="N429" s="44" t="str">
        <f t="shared" si="8"/>
        <v/>
      </c>
      <c r="O429" s="45" t="str">
        <f t="shared" si="9"/>
        <v/>
      </c>
      <c r="P429" s="5"/>
      <c r="Q429" s="5"/>
      <c r="R429" s="5"/>
    </row>
    <row r="430" ht="15.75" customHeight="1">
      <c r="A430" s="46"/>
      <c r="B430" s="47"/>
      <c r="C430" s="47"/>
      <c r="D430" s="47"/>
      <c r="E430" s="47"/>
      <c r="F430" s="48"/>
      <c r="G430" s="36" t="str">
        <f t="shared" si="1"/>
        <v/>
      </c>
      <c r="H430" s="37" t="str">
        <f t="shared" si="2"/>
        <v/>
      </c>
      <c r="I430" s="37" t="str">
        <f t="shared" si="3"/>
        <v/>
      </c>
      <c r="J430" s="37" t="str">
        <f t="shared" si="4"/>
        <v/>
      </c>
      <c r="K430" s="32" t="str">
        <f t="shared" si="5"/>
        <v/>
      </c>
      <c r="L430" s="32" t="str">
        <f t="shared" si="6"/>
        <v/>
      </c>
      <c r="M430" s="32" t="str">
        <f t="shared" si="7"/>
        <v/>
      </c>
      <c r="N430" s="44" t="str">
        <f t="shared" si="8"/>
        <v/>
      </c>
      <c r="O430" s="45" t="str">
        <f t="shared" si="9"/>
        <v/>
      </c>
      <c r="P430" s="5"/>
      <c r="Q430" s="5"/>
      <c r="R430" s="5"/>
    </row>
    <row r="431" ht="15.75" customHeight="1">
      <c r="A431" s="46"/>
      <c r="B431" s="47"/>
      <c r="C431" s="47"/>
      <c r="D431" s="47"/>
      <c r="E431" s="47"/>
      <c r="F431" s="48"/>
      <c r="G431" s="36" t="str">
        <f t="shared" si="1"/>
        <v/>
      </c>
      <c r="H431" s="37" t="str">
        <f t="shared" si="2"/>
        <v/>
      </c>
      <c r="I431" s="37" t="str">
        <f t="shared" si="3"/>
        <v/>
      </c>
      <c r="J431" s="37" t="str">
        <f t="shared" si="4"/>
        <v/>
      </c>
      <c r="K431" s="32" t="str">
        <f t="shared" si="5"/>
        <v/>
      </c>
      <c r="L431" s="32" t="str">
        <f t="shared" si="6"/>
        <v/>
      </c>
      <c r="M431" s="32" t="str">
        <f t="shared" si="7"/>
        <v/>
      </c>
      <c r="N431" s="44" t="str">
        <f t="shared" si="8"/>
        <v/>
      </c>
      <c r="O431" s="45" t="str">
        <f t="shared" si="9"/>
        <v/>
      </c>
      <c r="P431" s="5"/>
      <c r="Q431" s="5"/>
      <c r="R431" s="5"/>
    </row>
    <row r="432" ht="15.75" customHeight="1">
      <c r="A432" s="46"/>
      <c r="B432" s="47"/>
      <c r="C432" s="47"/>
      <c r="D432" s="47"/>
      <c r="E432" s="47"/>
      <c r="F432" s="48"/>
      <c r="G432" s="36" t="str">
        <f t="shared" si="1"/>
        <v/>
      </c>
      <c r="H432" s="37" t="str">
        <f t="shared" si="2"/>
        <v/>
      </c>
      <c r="I432" s="37" t="str">
        <f t="shared" si="3"/>
        <v/>
      </c>
      <c r="J432" s="37" t="str">
        <f t="shared" si="4"/>
        <v/>
      </c>
      <c r="K432" s="32" t="str">
        <f t="shared" si="5"/>
        <v/>
      </c>
      <c r="L432" s="32" t="str">
        <f t="shared" si="6"/>
        <v/>
      </c>
      <c r="M432" s="32" t="str">
        <f t="shared" si="7"/>
        <v/>
      </c>
      <c r="N432" s="44" t="str">
        <f t="shared" si="8"/>
        <v/>
      </c>
      <c r="O432" s="45" t="str">
        <f t="shared" si="9"/>
        <v/>
      </c>
      <c r="P432" s="5"/>
      <c r="Q432" s="5"/>
      <c r="R432" s="5"/>
    </row>
    <row r="433" ht="15.75" customHeight="1">
      <c r="A433" s="46"/>
      <c r="B433" s="47"/>
      <c r="C433" s="47"/>
      <c r="D433" s="47"/>
      <c r="E433" s="47"/>
      <c r="F433" s="48"/>
      <c r="G433" s="36" t="str">
        <f t="shared" si="1"/>
        <v/>
      </c>
      <c r="H433" s="37" t="str">
        <f t="shared" si="2"/>
        <v/>
      </c>
      <c r="I433" s="37" t="str">
        <f t="shared" si="3"/>
        <v/>
      </c>
      <c r="J433" s="37" t="str">
        <f t="shared" si="4"/>
        <v/>
      </c>
      <c r="K433" s="32" t="str">
        <f t="shared" si="5"/>
        <v/>
      </c>
      <c r="L433" s="32" t="str">
        <f t="shared" si="6"/>
        <v/>
      </c>
      <c r="M433" s="32" t="str">
        <f t="shared" si="7"/>
        <v/>
      </c>
      <c r="N433" s="44" t="str">
        <f t="shared" si="8"/>
        <v/>
      </c>
      <c r="O433" s="45" t="str">
        <f t="shared" si="9"/>
        <v/>
      </c>
      <c r="P433" s="5"/>
      <c r="Q433" s="5"/>
      <c r="R433" s="5"/>
    </row>
    <row r="434" ht="15.75" customHeight="1">
      <c r="A434" s="46"/>
      <c r="B434" s="47"/>
      <c r="C434" s="47"/>
      <c r="D434" s="47"/>
      <c r="E434" s="47"/>
      <c r="F434" s="48"/>
      <c r="G434" s="36" t="str">
        <f t="shared" si="1"/>
        <v/>
      </c>
      <c r="H434" s="37" t="str">
        <f t="shared" si="2"/>
        <v/>
      </c>
      <c r="I434" s="37" t="str">
        <f t="shared" si="3"/>
        <v/>
      </c>
      <c r="J434" s="37" t="str">
        <f t="shared" si="4"/>
        <v/>
      </c>
      <c r="K434" s="32" t="str">
        <f t="shared" si="5"/>
        <v/>
      </c>
      <c r="L434" s="32" t="str">
        <f t="shared" si="6"/>
        <v/>
      </c>
      <c r="M434" s="32" t="str">
        <f t="shared" si="7"/>
        <v/>
      </c>
      <c r="N434" s="44" t="str">
        <f t="shared" si="8"/>
        <v/>
      </c>
      <c r="O434" s="45" t="str">
        <f t="shared" si="9"/>
        <v/>
      </c>
      <c r="P434" s="5"/>
      <c r="Q434" s="5"/>
      <c r="R434" s="5"/>
    </row>
    <row r="435" ht="15.75" customHeight="1">
      <c r="A435" s="46"/>
      <c r="B435" s="47"/>
      <c r="C435" s="47"/>
      <c r="D435" s="47"/>
      <c r="E435" s="47"/>
      <c r="F435" s="48"/>
      <c r="G435" s="36" t="str">
        <f t="shared" si="1"/>
        <v/>
      </c>
      <c r="H435" s="37" t="str">
        <f t="shared" si="2"/>
        <v/>
      </c>
      <c r="I435" s="37" t="str">
        <f t="shared" si="3"/>
        <v/>
      </c>
      <c r="J435" s="37" t="str">
        <f t="shared" si="4"/>
        <v/>
      </c>
      <c r="K435" s="32" t="str">
        <f t="shared" si="5"/>
        <v/>
      </c>
      <c r="L435" s="32" t="str">
        <f t="shared" si="6"/>
        <v/>
      </c>
      <c r="M435" s="32" t="str">
        <f t="shared" si="7"/>
        <v/>
      </c>
      <c r="N435" s="44" t="str">
        <f t="shared" si="8"/>
        <v/>
      </c>
      <c r="O435" s="45" t="str">
        <f t="shared" si="9"/>
        <v/>
      </c>
      <c r="P435" s="5"/>
      <c r="Q435" s="5"/>
      <c r="R435" s="5"/>
    </row>
    <row r="436" ht="15.75" customHeight="1">
      <c r="A436" s="46"/>
      <c r="B436" s="47"/>
      <c r="C436" s="47"/>
      <c r="D436" s="47"/>
      <c r="E436" s="47"/>
      <c r="F436" s="48"/>
      <c r="G436" s="36" t="str">
        <f t="shared" si="1"/>
        <v/>
      </c>
      <c r="H436" s="37" t="str">
        <f t="shared" si="2"/>
        <v/>
      </c>
      <c r="I436" s="37" t="str">
        <f t="shared" si="3"/>
        <v/>
      </c>
      <c r="J436" s="37" t="str">
        <f t="shared" si="4"/>
        <v/>
      </c>
      <c r="K436" s="32" t="str">
        <f t="shared" si="5"/>
        <v/>
      </c>
      <c r="L436" s="32" t="str">
        <f t="shared" si="6"/>
        <v/>
      </c>
      <c r="M436" s="32" t="str">
        <f t="shared" si="7"/>
        <v/>
      </c>
      <c r="N436" s="44" t="str">
        <f t="shared" si="8"/>
        <v/>
      </c>
      <c r="O436" s="45" t="str">
        <f t="shared" si="9"/>
        <v/>
      </c>
      <c r="P436" s="5"/>
      <c r="Q436" s="5"/>
      <c r="R436" s="5"/>
    </row>
    <row r="437" ht="15.75" customHeight="1">
      <c r="A437" s="46"/>
      <c r="B437" s="47"/>
      <c r="C437" s="47"/>
      <c r="D437" s="47"/>
      <c r="E437" s="47"/>
      <c r="F437" s="48"/>
      <c r="G437" s="36" t="str">
        <f t="shared" si="1"/>
        <v/>
      </c>
      <c r="H437" s="37" t="str">
        <f t="shared" si="2"/>
        <v/>
      </c>
      <c r="I437" s="37" t="str">
        <f t="shared" si="3"/>
        <v/>
      </c>
      <c r="J437" s="37" t="str">
        <f t="shared" si="4"/>
        <v/>
      </c>
      <c r="K437" s="32" t="str">
        <f t="shared" si="5"/>
        <v/>
      </c>
      <c r="L437" s="32" t="str">
        <f t="shared" si="6"/>
        <v/>
      </c>
      <c r="M437" s="32" t="str">
        <f t="shared" si="7"/>
        <v/>
      </c>
      <c r="N437" s="44" t="str">
        <f t="shared" si="8"/>
        <v/>
      </c>
      <c r="O437" s="45" t="str">
        <f t="shared" si="9"/>
        <v/>
      </c>
      <c r="P437" s="5"/>
      <c r="Q437" s="5"/>
      <c r="R437" s="5"/>
    </row>
    <row r="438" ht="15.75" customHeight="1">
      <c r="A438" s="46"/>
      <c r="B438" s="47"/>
      <c r="C438" s="47"/>
      <c r="D438" s="47"/>
      <c r="E438" s="47"/>
      <c r="F438" s="48"/>
      <c r="G438" s="36" t="str">
        <f t="shared" si="1"/>
        <v/>
      </c>
      <c r="H438" s="37" t="str">
        <f t="shared" si="2"/>
        <v/>
      </c>
      <c r="I438" s="37" t="str">
        <f t="shared" si="3"/>
        <v/>
      </c>
      <c r="J438" s="37" t="str">
        <f t="shared" si="4"/>
        <v/>
      </c>
      <c r="K438" s="32" t="str">
        <f t="shared" si="5"/>
        <v/>
      </c>
      <c r="L438" s="32" t="str">
        <f t="shared" si="6"/>
        <v/>
      </c>
      <c r="M438" s="32" t="str">
        <f t="shared" si="7"/>
        <v/>
      </c>
      <c r="N438" s="44" t="str">
        <f t="shared" si="8"/>
        <v/>
      </c>
      <c r="O438" s="45" t="str">
        <f t="shared" si="9"/>
        <v/>
      </c>
      <c r="P438" s="5"/>
      <c r="Q438" s="5"/>
      <c r="R438" s="5"/>
    </row>
    <row r="439" ht="15.75" customHeight="1">
      <c r="A439" s="46"/>
      <c r="B439" s="47"/>
      <c r="C439" s="47"/>
      <c r="D439" s="47"/>
      <c r="E439" s="47"/>
      <c r="F439" s="48"/>
      <c r="G439" s="36" t="str">
        <f t="shared" si="1"/>
        <v/>
      </c>
      <c r="H439" s="37" t="str">
        <f t="shared" si="2"/>
        <v/>
      </c>
      <c r="I439" s="37" t="str">
        <f t="shared" si="3"/>
        <v/>
      </c>
      <c r="J439" s="37" t="str">
        <f t="shared" si="4"/>
        <v/>
      </c>
      <c r="K439" s="32" t="str">
        <f t="shared" si="5"/>
        <v/>
      </c>
      <c r="L439" s="32" t="str">
        <f t="shared" si="6"/>
        <v/>
      </c>
      <c r="M439" s="32" t="str">
        <f t="shared" si="7"/>
        <v/>
      </c>
      <c r="N439" s="44" t="str">
        <f t="shared" si="8"/>
        <v/>
      </c>
      <c r="O439" s="45" t="str">
        <f t="shared" si="9"/>
        <v/>
      </c>
      <c r="P439" s="5"/>
      <c r="Q439" s="5"/>
      <c r="R439" s="5"/>
    </row>
    <row r="440" ht="15.75" customHeight="1">
      <c r="A440" s="46"/>
      <c r="B440" s="47"/>
      <c r="C440" s="47"/>
      <c r="D440" s="47"/>
      <c r="E440" s="47"/>
      <c r="F440" s="48"/>
      <c r="G440" s="36" t="str">
        <f t="shared" si="1"/>
        <v/>
      </c>
      <c r="H440" s="37" t="str">
        <f t="shared" si="2"/>
        <v/>
      </c>
      <c r="I440" s="37" t="str">
        <f t="shared" si="3"/>
        <v/>
      </c>
      <c r="J440" s="37" t="str">
        <f t="shared" si="4"/>
        <v/>
      </c>
      <c r="K440" s="32" t="str">
        <f t="shared" si="5"/>
        <v/>
      </c>
      <c r="L440" s="32" t="str">
        <f t="shared" si="6"/>
        <v/>
      </c>
      <c r="M440" s="32" t="str">
        <f t="shared" si="7"/>
        <v/>
      </c>
      <c r="N440" s="44" t="str">
        <f t="shared" si="8"/>
        <v/>
      </c>
      <c r="O440" s="45" t="str">
        <f t="shared" si="9"/>
        <v/>
      </c>
      <c r="P440" s="5"/>
      <c r="Q440" s="5"/>
      <c r="R440" s="5"/>
    </row>
    <row r="441" ht="15.75" customHeight="1">
      <c r="A441" s="46"/>
      <c r="B441" s="47"/>
      <c r="C441" s="47"/>
      <c r="D441" s="47"/>
      <c r="E441" s="47"/>
      <c r="F441" s="48"/>
      <c r="G441" s="36" t="str">
        <f t="shared" si="1"/>
        <v/>
      </c>
      <c r="H441" s="37" t="str">
        <f t="shared" si="2"/>
        <v/>
      </c>
      <c r="I441" s="37" t="str">
        <f t="shared" si="3"/>
        <v/>
      </c>
      <c r="J441" s="37" t="str">
        <f t="shared" si="4"/>
        <v/>
      </c>
      <c r="K441" s="32" t="str">
        <f t="shared" si="5"/>
        <v/>
      </c>
      <c r="L441" s="32" t="str">
        <f t="shared" si="6"/>
        <v/>
      </c>
      <c r="M441" s="32" t="str">
        <f t="shared" si="7"/>
        <v/>
      </c>
      <c r="N441" s="44" t="str">
        <f t="shared" si="8"/>
        <v/>
      </c>
      <c r="O441" s="45" t="str">
        <f t="shared" si="9"/>
        <v/>
      </c>
      <c r="P441" s="5"/>
      <c r="Q441" s="5"/>
      <c r="R441" s="5"/>
    </row>
    <row r="442" ht="15.75" customHeight="1">
      <c r="A442" s="46"/>
      <c r="B442" s="47"/>
      <c r="C442" s="47"/>
      <c r="D442" s="47"/>
      <c r="E442" s="47"/>
      <c r="F442" s="48"/>
      <c r="G442" s="36" t="str">
        <f t="shared" si="1"/>
        <v/>
      </c>
      <c r="H442" s="37" t="str">
        <f t="shared" si="2"/>
        <v/>
      </c>
      <c r="I442" s="37" t="str">
        <f t="shared" si="3"/>
        <v/>
      </c>
      <c r="J442" s="37" t="str">
        <f t="shared" si="4"/>
        <v/>
      </c>
      <c r="K442" s="32" t="str">
        <f t="shared" si="5"/>
        <v/>
      </c>
      <c r="L442" s="32" t="str">
        <f t="shared" si="6"/>
        <v/>
      </c>
      <c r="M442" s="32" t="str">
        <f t="shared" si="7"/>
        <v/>
      </c>
      <c r="N442" s="44" t="str">
        <f t="shared" si="8"/>
        <v/>
      </c>
      <c r="O442" s="45" t="str">
        <f t="shared" si="9"/>
        <v/>
      </c>
      <c r="P442" s="5"/>
      <c r="Q442" s="5"/>
      <c r="R442" s="5"/>
    </row>
    <row r="443" ht="15.75" customHeight="1">
      <c r="A443" s="46"/>
      <c r="B443" s="47"/>
      <c r="C443" s="47"/>
      <c r="D443" s="47"/>
      <c r="E443" s="47"/>
      <c r="F443" s="48"/>
      <c r="G443" s="36" t="str">
        <f t="shared" si="1"/>
        <v/>
      </c>
      <c r="H443" s="37" t="str">
        <f t="shared" si="2"/>
        <v/>
      </c>
      <c r="I443" s="37" t="str">
        <f t="shared" si="3"/>
        <v/>
      </c>
      <c r="J443" s="37" t="str">
        <f t="shared" si="4"/>
        <v/>
      </c>
      <c r="K443" s="32" t="str">
        <f t="shared" si="5"/>
        <v/>
      </c>
      <c r="L443" s="32" t="str">
        <f t="shared" si="6"/>
        <v/>
      </c>
      <c r="M443" s="32" t="str">
        <f t="shared" si="7"/>
        <v/>
      </c>
      <c r="N443" s="44" t="str">
        <f t="shared" si="8"/>
        <v/>
      </c>
      <c r="O443" s="45" t="str">
        <f t="shared" si="9"/>
        <v/>
      </c>
      <c r="P443" s="5"/>
      <c r="Q443" s="5"/>
      <c r="R443" s="5"/>
    </row>
    <row r="444" ht="15.75" customHeight="1">
      <c r="A444" s="46"/>
      <c r="B444" s="47"/>
      <c r="C444" s="47"/>
      <c r="D444" s="47"/>
      <c r="E444" s="47"/>
      <c r="F444" s="48"/>
      <c r="G444" s="36" t="str">
        <f t="shared" si="1"/>
        <v/>
      </c>
      <c r="H444" s="37" t="str">
        <f t="shared" si="2"/>
        <v/>
      </c>
      <c r="I444" s="37" t="str">
        <f t="shared" si="3"/>
        <v/>
      </c>
      <c r="J444" s="37" t="str">
        <f t="shared" si="4"/>
        <v/>
      </c>
      <c r="K444" s="32" t="str">
        <f t="shared" si="5"/>
        <v/>
      </c>
      <c r="L444" s="32" t="str">
        <f t="shared" si="6"/>
        <v/>
      </c>
      <c r="M444" s="32" t="str">
        <f t="shared" si="7"/>
        <v/>
      </c>
      <c r="N444" s="44" t="str">
        <f t="shared" si="8"/>
        <v/>
      </c>
      <c r="O444" s="45" t="str">
        <f t="shared" si="9"/>
        <v/>
      </c>
      <c r="P444" s="5"/>
      <c r="Q444" s="5"/>
      <c r="R444" s="5"/>
    </row>
    <row r="445" ht="15.75" customHeight="1">
      <c r="A445" s="46"/>
      <c r="B445" s="47"/>
      <c r="C445" s="47"/>
      <c r="D445" s="47"/>
      <c r="E445" s="47"/>
      <c r="F445" s="48"/>
      <c r="G445" s="36" t="str">
        <f t="shared" si="1"/>
        <v/>
      </c>
      <c r="H445" s="37" t="str">
        <f t="shared" si="2"/>
        <v/>
      </c>
      <c r="I445" s="37" t="str">
        <f t="shared" si="3"/>
        <v/>
      </c>
      <c r="J445" s="37" t="str">
        <f t="shared" si="4"/>
        <v/>
      </c>
      <c r="K445" s="32" t="str">
        <f t="shared" si="5"/>
        <v/>
      </c>
      <c r="L445" s="32" t="str">
        <f t="shared" si="6"/>
        <v/>
      </c>
      <c r="M445" s="32" t="str">
        <f t="shared" si="7"/>
        <v/>
      </c>
      <c r="N445" s="44" t="str">
        <f t="shared" si="8"/>
        <v/>
      </c>
      <c r="O445" s="45" t="str">
        <f t="shared" si="9"/>
        <v/>
      </c>
      <c r="P445" s="5"/>
      <c r="Q445" s="5"/>
      <c r="R445" s="5"/>
    </row>
    <row r="446" ht="15.75" customHeight="1">
      <c r="A446" s="46"/>
      <c r="B446" s="47"/>
      <c r="C446" s="47"/>
      <c r="D446" s="47"/>
      <c r="E446" s="47"/>
      <c r="F446" s="48"/>
      <c r="G446" s="36" t="str">
        <f t="shared" si="1"/>
        <v/>
      </c>
      <c r="H446" s="37" t="str">
        <f t="shared" si="2"/>
        <v/>
      </c>
      <c r="I446" s="37" t="str">
        <f t="shared" si="3"/>
        <v/>
      </c>
      <c r="J446" s="37" t="str">
        <f t="shared" si="4"/>
        <v/>
      </c>
      <c r="K446" s="32" t="str">
        <f t="shared" si="5"/>
        <v/>
      </c>
      <c r="L446" s="32" t="str">
        <f t="shared" si="6"/>
        <v/>
      </c>
      <c r="M446" s="32" t="str">
        <f t="shared" si="7"/>
        <v/>
      </c>
      <c r="N446" s="44" t="str">
        <f t="shared" si="8"/>
        <v/>
      </c>
      <c r="O446" s="45" t="str">
        <f t="shared" si="9"/>
        <v/>
      </c>
      <c r="P446" s="5"/>
      <c r="Q446" s="5"/>
      <c r="R446" s="5"/>
    </row>
    <row r="447" ht="15.75" customHeight="1">
      <c r="A447" s="46"/>
      <c r="B447" s="47"/>
      <c r="C447" s="47"/>
      <c r="D447" s="47"/>
      <c r="E447" s="47"/>
      <c r="F447" s="48"/>
      <c r="G447" s="36" t="str">
        <f t="shared" si="1"/>
        <v/>
      </c>
      <c r="H447" s="37" t="str">
        <f t="shared" si="2"/>
        <v/>
      </c>
      <c r="I447" s="37" t="str">
        <f t="shared" si="3"/>
        <v/>
      </c>
      <c r="J447" s="37" t="str">
        <f t="shared" si="4"/>
        <v/>
      </c>
      <c r="K447" s="32" t="str">
        <f t="shared" si="5"/>
        <v/>
      </c>
      <c r="L447" s="32" t="str">
        <f t="shared" si="6"/>
        <v/>
      </c>
      <c r="M447" s="32" t="str">
        <f t="shared" si="7"/>
        <v/>
      </c>
      <c r="N447" s="44" t="str">
        <f t="shared" si="8"/>
        <v/>
      </c>
      <c r="O447" s="45" t="str">
        <f t="shared" si="9"/>
        <v/>
      </c>
      <c r="P447" s="5"/>
      <c r="Q447" s="5"/>
      <c r="R447" s="5"/>
    </row>
    <row r="448" ht="15.75" customHeight="1">
      <c r="A448" s="46"/>
      <c r="B448" s="47"/>
      <c r="C448" s="47"/>
      <c r="D448" s="47"/>
      <c r="E448" s="47"/>
      <c r="F448" s="48"/>
      <c r="G448" s="36" t="str">
        <f t="shared" si="1"/>
        <v/>
      </c>
      <c r="H448" s="37" t="str">
        <f t="shared" si="2"/>
        <v/>
      </c>
      <c r="I448" s="37" t="str">
        <f t="shared" si="3"/>
        <v/>
      </c>
      <c r="J448" s="37" t="str">
        <f t="shared" si="4"/>
        <v/>
      </c>
      <c r="K448" s="32" t="str">
        <f t="shared" si="5"/>
        <v/>
      </c>
      <c r="L448" s="32" t="str">
        <f t="shared" si="6"/>
        <v/>
      </c>
      <c r="M448" s="32" t="str">
        <f t="shared" si="7"/>
        <v/>
      </c>
      <c r="N448" s="44" t="str">
        <f t="shared" si="8"/>
        <v/>
      </c>
      <c r="O448" s="45" t="str">
        <f t="shared" si="9"/>
        <v/>
      </c>
      <c r="P448" s="5"/>
      <c r="Q448" s="5"/>
      <c r="R448" s="5"/>
    </row>
    <row r="449" ht="15.75" customHeight="1">
      <c r="A449" s="46"/>
      <c r="B449" s="47"/>
      <c r="C449" s="47"/>
      <c r="D449" s="47"/>
      <c r="E449" s="47"/>
      <c r="F449" s="48"/>
      <c r="G449" s="36" t="str">
        <f t="shared" si="1"/>
        <v/>
      </c>
      <c r="H449" s="37" t="str">
        <f t="shared" si="2"/>
        <v/>
      </c>
      <c r="I449" s="37" t="str">
        <f t="shared" si="3"/>
        <v/>
      </c>
      <c r="J449" s="37" t="str">
        <f t="shared" si="4"/>
        <v/>
      </c>
      <c r="K449" s="32" t="str">
        <f t="shared" si="5"/>
        <v/>
      </c>
      <c r="L449" s="32" t="str">
        <f t="shared" si="6"/>
        <v/>
      </c>
      <c r="M449" s="32" t="str">
        <f t="shared" si="7"/>
        <v/>
      </c>
      <c r="N449" s="44" t="str">
        <f t="shared" si="8"/>
        <v/>
      </c>
      <c r="O449" s="45" t="str">
        <f t="shared" si="9"/>
        <v/>
      </c>
      <c r="P449" s="5"/>
      <c r="Q449" s="5"/>
      <c r="R449" s="5"/>
    </row>
    <row r="450" ht="15.75" customHeight="1">
      <c r="A450" s="46"/>
      <c r="B450" s="47"/>
      <c r="C450" s="47"/>
      <c r="D450" s="47"/>
      <c r="E450" s="47"/>
      <c r="F450" s="48"/>
      <c r="G450" s="36" t="str">
        <f t="shared" si="1"/>
        <v/>
      </c>
      <c r="H450" s="37" t="str">
        <f t="shared" si="2"/>
        <v/>
      </c>
      <c r="I450" s="37" t="str">
        <f t="shared" si="3"/>
        <v/>
      </c>
      <c r="J450" s="37" t="str">
        <f t="shared" si="4"/>
        <v/>
      </c>
      <c r="K450" s="32" t="str">
        <f t="shared" si="5"/>
        <v/>
      </c>
      <c r="L450" s="32" t="str">
        <f t="shared" si="6"/>
        <v/>
      </c>
      <c r="M450" s="32" t="str">
        <f t="shared" si="7"/>
        <v/>
      </c>
      <c r="N450" s="44" t="str">
        <f t="shared" si="8"/>
        <v/>
      </c>
      <c r="O450" s="45" t="str">
        <f t="shared" si="9"/>
        <v/>
      </c>
      <c r="P450" s="5"/>
      <c r="Q450" s="5"/>
      <c r="R450" s="5"/>
    </row>
    <row r="451" ht="15.75" customHeight="1">
      <c r="A451" s="46"/>
      <c r="B451" s="47"/>
      <c r="C451" s="47"/>
      <c r="D451" s="47"/>
      <c r="E451" s="47"/>
      <c r="F451" s="48"/>
      <c r="G451" s="36" t="str">
        <f t="shared" si="1"/>
        <v/>
      </c>
      <c r="H451" s="37" t="str">
        <f t="shared" si="2"/>
        <v/>
      </c>
      <c r="I451" s="37" t="str">
        <f t="shared" si="3"/>
        <v/>
      </c>
      <c r="J451" s="37" t="str">
        <f t="shared" si="4"/>
        <v/>
      </c>
      <c r="K451" s="32" t="str">
        <f t="shared" si="5"/>
        <v/>
      </c>
      <c r="L451" s="32" t="str">
        <f t="shared" si="6"/>
        <v/>
      </c>
      <c r="M451" s="32" t="str">
        <f t="shared" si="7"/>
        <v/>
      </c>
      <c r="N451" s="44" t="str">
        <f t="shared" si="8"/>
        <v/>
      </c>
      <c r="O451" s="45" t="str">
        <f t="shared" si="9"/>
        <v/>
      </c>
      <c r="P451" s="5"/>
      <c r="Q451" s="5"/>
      <c r="R451" s="5"/>
    </row>
    <row r="452" ht="15.75" customHeight="1">
      <c r="A452" s="46"/>
      <c r="B452" s="47"/>
      <c r="C452" s="47"/>
      <c r="D452" s="47"/>
      <c r="E452" s="47"/>
      <c r="F452" s="48"/>
      <c r="G452" s="36" t="str">
        <f t="shared" si="1"/>
        <v/>
      </c>
      <c r="H452" s="37" t="str">
        <f t="shared" si="2"/>
        <v/>
      </c>
      <c r="I452" s="37" t="str">
        <f t="shared" si="3"/>
        <v/>
      </c>
      <c r="J452" s="37" t="str">
        <f t="shared" si="4"/>
        <v/>
      </c>
      <c r="K452" s="32" t="str">
        <f t="shared" si="5"/>
        <v/>
      </c>
      <c r="L452" s="32" t="str">
        <f t="shared" si="6"/>
        <v/>
      </c>
      <c r="M452" s="32" t="str">
        <f t="shared" si="7"/>
        <v/>
      </c>
      <c r="N452" s="44" t="str">
        <f t="shared" si="8"/>
        <v/>
      </c>
      <c r="O452" s="45" t="str">
        <f t="shared" si="9"/>
        <v/>
      </c>
      <c r="P452" s="5"/>
      <c r="Q452" s="5"/>
      <c r="R452" s="5"/>
    </row>
    <row r="453" ht="15.75" customHeight="1">
      <c r="A453" s="46"/>
      <c r="B453" s="47"/>
      <c r="C453" s="47"/>
      <c r="D453" s="47"/>
      <c r="E453" s="47"/>
      <c r="F453" s="48"/>
      <c r="G453" s="36" t="str">
        <f t="shared" si="1"/>
        <v/>
      </c>
      <c r="H453" s="37" t="str">
        <f t="shared" si="2"/>
        <v/>
      </c>
      <c r="I453" s="37" t="str">
        <f t="shared" si="3"/>
        <v/>
      </c>
      <c r="J453" s="37" t="str">
        <f t="shared" si="4"/>
        <v/>
      </c>
      <c r="K453" s="32" t="str">
        <f t="shared" si="5"/>
        <v/>
      </c>
      <c r="L453" s="32" t="str">
        <f t="shared" si="6"/>
        <v/>
      </c>
      <c r="M453" s="32" t="str">
        <f t="shared" si="7"/>
        <v/>
      </c>
      <c r="N453" s="44" t="str">
        <f t="shared" si="8"/>
        <v/>
      </c>
      <c r="O453" s="45" t="str">
        <f t="shared" si="9"/>
        <v/>
      </c>
      <c r="P453" s="5"/>
      <c r="Q453" s="5"/>
      <c r="R453" s="5"/>
    </row>
    <row r="454" ht="15.75" customHeight="1">
      <c r="A454" s="46"/>
      <c r="B454" s="47"/>
      <c r="C454" s="47"/>
      <c r="D454" s="47"/>
      <c r="E454" s="47"/>
      <c r="F454" s="48"/>
      <c r="G454" s="36" t="str">
        <f t="shared" si="1"/>
        <v/>
      </c>
      <c r="H454" s="37" t="str">
        <f t="shared" si="2"/>
        <v/>
      </c>
      <c r="I454" s="37" t="str">
        <f t="shared" si="3"/>
        <v/>
      </c>
      <c r="J454" s="37" t="str">
        <f t="shared" si="4"/>
        <v/>
      </c>
      <c r="K454" s="32" t="str">
        <f t="shared" si="5"/>
        <v/>
      </c>
      <c r="L454" s="32" t="str">
        <f t="shared" si="6"/>
        <v/>
      </c>
      <c r="M454" s="32" t="str">
        <f t="shared" si="7"/>
        <v/>
      </c>
      <c r="N454" s="44" t="str">
        <f t="shared" si="8"/>
        <v/>
      </c>
      <c r="O454" s="45" t="str">
        <f t="shared" si="9"/>
        <v/>
      </c>
      <c r="P454" s="5"/>
      <c r="Q454" s="5"/>
      <c r="R454" s="5"/>
    </row>
    <row r="455" ht="15.75" customHeight="1">
      <c r="A455" s="46"/>
      <c r="B455" s="47"/>
      <c r="C455" s="47"/>
      <c r="D455" s="47"/>
      <c r="E455" s="47"/>
      <c r="F455" s="48"/>
      <c r="G455" s="36" t="str">
        <f t="shared" si="1"/>
        <v/>
      </c>
      <c r="H455" s="37" t="str">
        <f t="shared" si="2"/>
        <v/>
      </c>
      <c r="I455" s="37" t="str">
        <f t="shared" si="3"/>
        <v/>
      </c>
      <c r="J455" s="37" t="str">
        <f t="shared" si="4"/>
        <v/>
      </c>
      <c r="K455" s="32" t="str">
        <f t="shared" si="5"/>
        <v/>
      </c>
      <c r="L455" s="32" t="str">
        <f t="shared" si="6"/>
        <v/>
      </c>
      <c r="M455" s="32" t="str">
        <f t="shared" si="7"/>
        <v/>
      </c>
      <c r="N455" s="44" t="str">
        <f t="shared" si="8"/>
        <v/>
      </c>
      <c r="O455" s="45" t="str">
        <f t="shared" si="9"/>
        <v/>
      </c>
      <c r="P455" s="5"/>
      <c r="Q455" s="5"/>
      <c r="R455" s="5"/>
    </row>
    <row r="456" ht="15.75" customHeight="1">
      <c r="A456" s="46"/>
      <c r="B456" s="47"/>
      <c r="C456" s="47"/>
      <c r="D456" s="47"/>
      <c r="E456" s="47"/>
      <c r="F456" s="48"/>
      <c r="G456" s="36" t="str">
        <f t="shared" si="1"/>
        <v/>
      </c>
      <c r="H456" s="37" t="str">
        <f t="shared" si="2"/>
        <v/>
      </c>
      <c r="I456" s="37" t="str">
        <f t="shared" si="3"/>
        <v/>
      </c>
      <c r="J456" s="37" t="str">
        <f t="shared" si="4"/>
        <v/>
      </c>
      <c r="K456" s="32" t="str">
        <f t="shared" si="5"/>
        <v/>
      </c>
      <c r="L456" s="32" t="str">
        <f t="shared" si="6"/>
        <v/>
      </c>
      <c r="M456" s="32" t="str">
        <f t="shared" si="7"/>
        <v/>
      </c>
      <c r="N456" s="44" t="str">
        <f t="shared" si="8"/>
        <v/>
      </c>
      <c r="O456" s="45" t="str">
        <f t="shared" si="9"/>
        <v/>
      </c>
      <c r="P456" s="5"/>
      <c r="Q456" s="5"/>
      <c r="R456" s="5"/>
    </row>
    <row r="457" ht="15.75" customHeight="1">
      <c r="A457" s="46"/>
      <c r="B457" s="47"/>
      <c r="C457" s="47"/>
      <c r="D457" s="47"/>
      <c r="E457" s="47"/>
      <c r="F457" s="48"/>
      <c r="G457" s="36" t="str">
        <f t="shared" si="1"/>
        <v/>
      </c>
      <c r="H457" s="37" t="str">
        <f t="shared" si="2"/>
        <v/>
      </c>
      <c r="I457" s="37" t="str">
        <f t="shared" si="3"/>
        <v/>
      </c>
      <c r="J457" s="37" t="str">
        <f t="shared" si="4"/>
        <v/>
      </c>
      <c r="K457" s="32" t="str">
        <f t="shared" si="5"/>
        <v/>
      </c>
      <c r="L457" s="32" t="str">
        <f t="shared" si="6"/>
        <v/>
      </c>
      <c r="M457" s="32" t="str">
        <f t="shared" si="7"/>
        <v/>
      </c>
      <c r="N457" s="44" t="str">
        <f t="shared" si="8"/>
        <v/>
      </c>
      <c r="O457" s="45" t="str">
        <f t="shared" si="9"/>
        <v/>
      </c>
      <c r="P457" s="5"/>
      <c r="Q457" s="5"/>
      <c r="R457" s="5"/>
    </row>
    <row r="458" ht="15.75" customHeight="1">
      <c r="A458" s="46"/>
      <c r="B458" s="47"/>
      <c r="C458" s="47"/>
      <c r="D458" s="47"/>
      <c r="E458" s="47"/>
      <c r="F458" s="48"/>
      <c r="G458" s="36" t="str">
        <f t="shared" si="1"/>
        <v/>
      </c>
      <c r="H458" s="37" t="str">
        <f t="shared" si="2"/>
        <v/>
      </c>
      <c r="I458" s="37" t="str">
        <f t="shared" si="3"/>
        <v/>
      </c>
      <c r="J458" s="37" t="str">
        <f t="shared" si="4"/>
        <v/>
      </c>
      <c r="K458" s="32" t="str">
        <f t="shared" si="5"/>
        <v/>
      </c>
      <c r="L458" s="32" t="str">
        <f t="shared" si="6"/>
        <v/>
      </c>
      <c r="M458" s="32" t="str">
        <f t="shared" si="7"/>
        <v/>
      </c>
      <c r="N458" s="44" t="str">
        <f t="shared" si="8"/>
        <v/>
      </c>
      <c r="O458" s="45" t="str">
        <f t="shared" si="9"/>
        <v/>
      </c>
      <c r="P458" s="5"/>
      <c r="Q458" s="5"/>
      <c r="R458" s="5"/>
    </row>
    <row r="459" ht="15.75" customHeight="1">
      <c r="A459" s="46"/>
      <c r="B459" s="47"/>
      <c r="C459" s="47"/>
      <c r="D459" s="47"/>
      <c r="E459" s="47"/>
      <c r="F459" s="48"/>
      <c r="G459" s="36" t="str">
        <f t="shared" si="1"/>
        <v/>
      </c>
      <c r="H459" s="37" t="str">
        <f t="shared" si="2"/>
        <v/>
      </c>
      <c r="I459" s="37" t="str">
        <f t="shared" si="3"/>
        <v/>
      </c>
      <c r="J459" s="37" t="str">
        <f t="shared" si="4"/>
        <v/>
      </c>
      <c r="K459" s="32" t="str">
        <f t="shared" si="5"/>
        <v/>
      </c>
      <c r="L459" s="32" t="str">
        <f t="shared" si="6"/>
        <v/>
      </c>
      <c r="M459" s="32" t="str">
        <f t="shared" si="7"/>
        <v/>
      </c>
      <c r="N459" s="44" t="str">
        <f t="shared" si="8"/>
        <v/>
      </c>
      <c r="O459" s="45" t="str">
        <f t="shared" si="9"/>
        <v/>
      </c>
      <c r="P459" s="5"/>
      <c r="Q459" s="5"/>
      <c r="R459" s="5"/>
    </row>
    <row r="460" ht="15.75" customHeight="1">
      <c r="A460" s="46"/>
      <c r="B460" s="47"/>
      <c r="C460" s="47"/>
      <c r="D460" s="47"/>
      <c r="E460" s="47"/>
      <c r="F460" s="48"/>
      <c r="G460" s="36" t="str">
        <f t="shared" si="1"/>
        <v/>
      </c>
      <c r="H460" s="37" t="str">
        <f t="shared" si="2"/>
        <v/>
      </c>
      <c r="I460" s="37" t="str">
        <f t="shared" si="3"/>
        <v/>
      </c>
      <c r="J460" s="37" t="str">
        <f t="shared" si="4"/>
        <v/>
      </c>
      <c r="K460" s="32" t="str">
        <f t="shared" si="5"/>
        <v/>
      </c>
      <c r="L460" s="32" t="str">
        <f t="shared" si="6"/>
        <v/>
      </c>
      <c r="M460" s="32" t="str">
        <f t="shared" si="7"/>
        <v/>
      </c>
      <c r="N460" s="44" t="str">
        <f t="shared" si="8"/>
        <v/>
      </c>
      <c r="O460" s="45" t="str">
        <f t="shared" si="9"/>
        <v/>
      </c>
      <c r="P460" s="5"/>
      <c r="Q460" s="5"/>
      <c r="R460" s="5"/>
    </row>
    <row r="461" ht="15.75" customHeight="1">
      <c r="A461" s="46"/>
      <c r="B461" s="47"/>
      <c r="C461" s="47"/>
      <c r="D461" s="47"/>
      <c r="E461" s="47"/>
      <c r="F461" s="48"/>
      <c r="G461" s="36" t="str">
        <f t="shared" si="1"/>
        <v/>
      </c>
      <c r="H461" s="37" t="str">
        <f t="shared" si="2"/>
        <v/>
      </c>
      <c r="I461" s="37" t="str">
        <f t="shared" si="3"/>
        <v/>
      </c>
      <c r="J461" s="37" t="str">
        <f t="shared" si="4"/>
        <v/>
      </c>
      <c r="K461" s="32" t="str">
        <f t="shared" si="5"/>
        <v/>
      </c>
      <c r="L461" s="32" t="str">
        <f t="shared" si="6"/>
        <v/>
      </c>
      <c r="M461" s="32" t="str">
        <f t="shared" si="7"/>
        <v/>
      </c>
      <c r="N461" s="44" t="str">
        <f t="shared" si="8"/>
        <v/>
      </c>
      <c r="O461" s="45" t="str">
        <f t="shared" si="9"/>
        <v/>
      </c>
      <c r="P461" s="5"/>
      <c r="Q461" s="5"/>
      <c r="R461" s="5"/>
    </row>
    <row r="462" ht="15.75" customHeight="1">
      <c r="A462" s="46"/>
      <c r="B462" s="47"/>
      <c r="C462" s="47"/>
      <c r="D462" s="47"/>
      <c r="E462" s="47"/>
      <c r="F462" s="48"/>
      <c r="G462" s="36" t="str">
        <f t="shared" si="1"/>
        <v/>
      </c>
      <c r="H462" s="37" t="str">
        <f t="shared" si="2"/>
        <v/>
      </c>
      <c r="I462" s="37" t="str">
        <f t="shared" si="3"/>
        <v/>
      </c>
      <c r="J462" s="37" t="str">
        <f t="shared" si="4"/>
        <v/>
      </c>
      <c r="K462" s="32" t="str">
        <f t="shared" si="5"/>
        <v/>
      </c>
      <c r="L462" s="32" t="str">
        <f t="shared" si="6"/>
        <v/>
      </c>
      <c r="M462" s="32" t="str">
        <f t="shared" si="7"/>
        <v/>
      </c>
      <c r="N462" s="44" t="str">
        <f t="shared" si="8"/>
        <v/>
      </c>
      <c r="O462" s="45" t="str">
        <f t="shared" si="9"/>
        <v/>
      </c>
      <c r="P462" s="5"/>
      <c r="Q462" s="5"/>
      <c r="R462" s="5"/>
    </row>
    <row r="463" ht="15.75" customHeight="1">
      <c r="A463" s="46"/>
      <c r="B463" s="47"/>
      <c r="C463" s="47"/>
      <c r="D463" s="47"/>
      <c r="E463" s="47"/>
      <c r="F463" s="48"/>
      <c r="G463" s="36" t="str">
        <f t="shared" si="1"/>
        <v/>
      </c>
      <c r="H463" s="37" t="str">
        <f t="shared" si="2"/>
        <v/>
      </c>
      <c r="I463" s="37" t="str">
        <f t="shared" si="3"/>
        <v/>
      </c>
      <c r="J463" s="37" t="str">
        <f t="shared" si="4"/>
        <v/>
      </c>
      <c r="K463" s="32" t="str">
        <f t="shared" si="5"/>
        <v/>
      </c>
      <c r="L463" s="32" t="str">
        <f t="shared" si="6"/>
        <v/>
      </c>
      <c r="M463" s="32" t="str">
        <f t="shared" si="7"/>
        <v/>
      </c>
      <c r="N463" s="44" t="str">
        <f t="shared" si="8"/>
        <v/>
      </c>
      <c r="O463" s="45" t="str">
        <f t="shared" si="9"/>
        <v/>
      </c>
      <c r="P463" s="5"/>
      <c r="Q463" s="5"/>
      <c r="R463" s="5"/>
    </row>
    <row r="464" ht="15.75" customHeight="1">
      <c r="A464" s="46"/>
      <c r="B464" s="47"/>
      <c r="C464" s="47"/>
      <c r="D464" s="47"/>
      <c r="E464" s="47"/>
      <c r="F464" s="48"/>
      <c r="G464" s="36" t="str">
        <f t="shared" si="1"/>
        <v/>
      </c>
      <c r="H464" s="37" t="str">
        <f t="shared" si="2"/>
        <v/>
      </c>
      <c r="I464" s="37" t="str">
        <f t="shared" si="3"/>
        <v/>
      </c>
      <c r="J464" s="37" t="str">
        <f t="shared" si="4"/>
        <v/>
      </c>
      <c r="K464" s="32" t="str">
        <f t="shared" si="5"/>
        <v/>
      </c>
      <c r="L464" s="32" t="str">
        <f t="shared" si="6"/>
        <v/>
      </c>
      <c r="M464" s="32" t="str">
        <f t="shared" si="7"/>
        <v/>
      </c>
      <c r="N464" s="44" t="str">
        <f t="shared" si="8"/>
        <v/>
      </c>
      <c r="O464" s="45" t="str">
        <f t="shared" si="9"/>
        <v/>
      </c>
      <c r="P464" s="5"/>
      <c r="Q464" s="5"/>
      <c r="R464" s="5"/>
    </row>
    <row r="465" ht="15.75" customHeight="1">
      <c r="A465" s="46"/>
      <c r="B465" s="47"/>
      <c r="C465" s="47"/>
      <c r="D465" s="47"/>
      <c r="E465" s="47"/>
      <c r="F465" s="48"/>
      <c r="G465" s="36" t="str">
        <f t="shared" si="1"/>
        <v/>
      </c>
      <c r="H465" s="37" t="str">
        <f t="shared" si="2"/>
        <v/>
      </c>
      <c r="I465" s="37" t="str">
        <f t="shared" si="3"/>
        <v/>
      </c>
      <c r="J465" s="37" t="str">
        <f t="shared" si="4"/>
        <v/>
      </c>
      <c r="K465" s="32" t="str">
        <f t="shared" si="5"/>
        <v/>
      </c>
      <c r="L465" s="32" t="str">
        <f t="shared" si="6"/>
        <v/>
      </c>
      <c r="M465" s="32" t="str">
        <f t="shared" si="7"/>
        <v/>
      </c>
      <c r="N465" s="44" t="str">
        <f t="shared" si="8"/>
        <v/>
      </c>
      <c r="O465" s="45" t="str">
        <f t="shared" si="9"/>
        <v/>
      </c>
      <c r="P465" s="5"/>
      <c r="Q465" s="5"/>
      <c r="R465" s="5"/>
    </row>
    <row r="466" ht="15.75" customHeight="1">
      <c r="A466" s="46"/>
      <c r="B466" s="47"/>
      <c r="C466" s="47"/>
      <c r="D466" s="47"/>
      <c r="E466" s="47"/>
      <c r="F466" s="48"/>
      <c r="G466" s="36" t="str">
        <f t="shared" si="1"/>
        <v/>
      </c>
      <c r="H466" s="37" t="str">
        <f t="shared" si="2"/>
        <v/>
      </c>
      <c r="I466" s="37" t="str">
        <f t="shared" si="3"/>
        <v/>
      </c>
      <c r="J466" s="37" t="str">
        <f t="shared" si="4"/>
        <v/>
      </c>
      <c r="K466" s="32" t="str">
        <f t="shared" si="5"/>
        <v/>
      </c>
      <c r="L466" s="32" t="str">
        <f t="shared" si="6"/>
        <v/>
      </c>
      <c r="M466" s="32" t="str">
        <f t="shared" si="7"/>
        <v/>
      </c>
      <c r="N466" s="44" t="str">
        <f t="shared" si="8"/>
        <v/>
      </c>
      <c r="O466" s="45" t="str">
        <f t="shared" si="9"/>
        <v/>
      </c>
      <c r="P466" s="5"/>
      <c r="Q466" s="5"/>
      <c r="R466" s="5"/>
    </row>
    <row r="467" ht="15.75" customHeight="1">
      <c r="A467" s="46"/>
      <c r="B467" s="47"/>
      <c r="C467" s="47"/>
      <c r="D467" s="47"/>
      <c r="E467" s="47"/>
      <c r="F467" s="48"/>
      <c r="G467" s="36" t="str">
        <f t="shared" si="1"/>
        <v/>
      </c>
      <c r="H467" s="37" t="str">
        <f t="shared" si="2"/>
        <v/>
      </c>
      <c r="I467" s="37" t="str">
        <f t="shared" si="3"/>
        <v/>
      </c>
      <c r="J467" s="37" t="str">
        <f t="shared" si="4"/>
        <v/>
      </c>
      <c r="K467" s="32" t="str">
        <f t="shared" si="5"/>
        <v/>
      </c>
      <c r="L467" s="32" t="str">
        <f t="shared" si="6"/>
        <v/>
      </c>
      <c r="M467" s="32" t="str">
        <f t="shared" si="7"/>
        <v/>
      </c>
      <c r="N467" s="44" t="str">
        <f t="shared" si="8"/>
        <v/>
      </c>
      <c r="O467" s="45" t="str">
        <f t="shared" si="9"/>
        <v/>
      </c>
      <c r="P467" s="5"/>
      <c r="Q467" s="5"/>
      <c r="R467" s="5"/>
    </row>
    <row r="468" ht="15.75" customHeight="1">
      <c r="A468" s="46"/>
      <c r="B468" s="47"/>
      <c r="C468" s="47"/>
      <c r="D468" s="47"/>
      <c r="E468" s="47"/>
      <c r="F468" s="48"/>
      <c r="G468" s="36" t="str">
        <f t="shared" si="1"/>
        <v/>
      </c>
      <c r="H468" s="37" t="str">
        <f t="shared" si="2"/>
        <v/>
      </c>
      <c r="I468" s="37" t="str">
        <f t="shared" si="3"/>
        <v/>
      </c>
      <c r="J468" s="37" t="str">
        <f t="shared" si="4"/>
        <v/>
      </c>
      <c r="K468" s="32" t="str">
        <f t="shared" si="5"/>
        <v/>
      </c>
      <c r="L468" s="32" t="str">
        <f t="shared" si="6"/>
        <v/>
      </c>
      <c r="M468" s="32" t="str">
        <f t="shared" si="7"/>
        <v/>
      </c>
      <c r="N468" s="44" t="str">
        <f t="shared" si="8"/>
        <v/>
      </c>
      <c r="O468" s="45" t="str">
        <f t="shared" si="9"/>
        <v/>
      </c>
      <c r="P468" s="5"/>
      <c r="Q468" s="5"/>
      <c r="R468" s="5"/>
    </row>
    <row r="469" ht="15.75" customHeight="1">
      <c r="A469" s="46"/>
      <c r="B469" s="47"/>
      <c r="C469" s="47"/>
      <c r="D469" s="47"/>
      <c r="E469" s="47"/>
      <c r="F469" s="48"/>
      <c r="G469" s="36" t="str">
        <f t="shared" si="1"/>
        <v/>
      </c>
      <c r="H469" s="37" t="str">
        <f t="shared" si="2"/>
        <v/>
      </c>
      <c r="I469" s="37" t="str">
        <f t="shared" si="3"/>
        <v/>
      </c>
      <c r="J469" s="37" t="str">
        <f t="shared" si="4"/>
        <v/>
      </c>
      <c r="K469" s="32" t="str">
        <f t="shared" si="5"/>
        <v/>
      </c>
      <c r="L469" s="32" t="str">
        <f t="shared" si="6"/>
        <v/>
      </c>
      <c r="M469" s="32" t="str">
        <f t="shared" si="7"/>
        <v/>
      </c>
      <c r="N469" s="44" t="str">
        <f t="shared" si="8"/>
        <v/>
      </c>
      <c r="O469" s="45" t="str">
        <f t="shared" si="9"/>
        <v/>
      </c>
      <c r="P469" s="5"/>
      <c r="Q469" s="5"/>
      <c r="R469" s="5"/>
    </row>
    <row r="470" ht="15.75" customHeight="1">
      <c r="A470" s="46"/>
      <c r="B470" s="47"/>
      <c r="C470" s="47"/>
      <c r="D470" s="47"/>
      <c r="E470" s="47"/>
      <c r="F470" s="48"/>
      <c r="G470" s="36" t="str">
        <f t="shared" si="1"/>
        <v/>
      </c>
      <c r="H470" s="37" t="str">
        <f t="shared" si="2"/>
        <v/>
      </c>
      <c r="I470" s="37" t="str">
        <f t="shared" si="3"/>
        <v/>
      </c>
      <c r="J470" s="37" t="str">
        <f t="shared" si="4"/>
        <v/>
      </c>
      <c r="K470" s="32" t="str">
        <f t="shared" si="5"/>
        <v/>
      </c>
      <c r="L470" s="32" t="str">
        <f t="shared" si="6"/>
        <v/>
      </c>
      <c r="M470" s="32" t="str">
        <f t="shared" si="7"/>
        <v/>
      </c>
      <c r="N470" s="44" t="str">
        <f t="shared" si="8"/>
        <v/>
      </c>
      <c r="O470" s="45" t="str">
        <f t="shared" si="9"/>
        <v/>
      </c>
      <c r="P470" s="5"/>
      <c r="Q470" s="5"/>
      <c r="R470" s="5"/>
    </row>
    <row r="471" ht="15.75" customHeight="1">
      <c r="A471" s="46"/>
      <c r="B471" s="47"/>
      <c r="C471" s="47"/>
      <c r="D471" s="47"/>
      <c r="E471" s="47"/>
      <c r="F471" s="48"/>
      <c r="G471" s="36" t="str">
        <f t="shared" si="1"/>
        <v/>
      </c>
      <c r="H471" s="37" t="str">
        <f t="shared" si="2"/>
        <v/>
      </c>
      <c r="I471" s="37" t="str">
        <f t="shared" si="3"/>
        <v/>
      </c>
      <c r="J471" s="37" t="str">
        <f t="shared" si="4"/>
        <v/>
      </c>
      <c r="K471" s="32" t="str">
        <f t="shared" si="5"/>
        <v/>
      </c>
      <c r="L471" s="32" t="str">
        <f t="shared" si="6"/>
        <v/>
      </c>
      <c r="M471" s="32" t="str">
        <f t="shared" si="7"/>
        <v/>
      </c>
      <c r="N471" s="44" t="str">
        <f t="shared" si="8"/>
        <v/>
      </c>
      <c r="O471" s="45" t="str">
        <f t="shared" si="9"/>
        <v/>
      </c>
      <c r="P471" s="5"/>
      <c r="Q471" s="5"/>
      <c r="R471" s="5"/>
    </row>
    <row r="472" ht="15.75" customHeight="1">
      <c r="A472" s="46"/>
      <c r="B472" s="47"/>
      <c r="C472" s="47"/>
      <c r="D472" s="47"/>
      <c r="E472" s="47"/>
      <c r="F472" s="48"/>
      <c r="G472" s="36" t="str">
        <f t="shared" si="1"/>
        <v/>
      </c>
      <c r="H472" s="37" t="str">
        <f t="shared" si="2"/>
        <v/>
      </c>
      <c r="I472" s="37" t="str">
        <f t="shared" si="3"/>
        <v/>
      </c>
      <c r="J472" s="37" t="str">
        <f t="shared" si="4"/>
        <v/>
      </c>
      <c r="K472" s="32" t="str">
        <f t="shared" si="5"/>
        <v/>
      </c>
      <c r="L472" s="32" t="str">
        <f t="shared" si="6"/>
        <v/>
      </c>
      <c r="M472" s="32" t="str">
        <f t="shared" si="7"/>
        <v/>
      </c>
      <c r="N472" s="44" t="str">
        <f t="shared" si="8"/>
        <v/>
      </c>
      <c r="O472" s="45" t="str">
        <f t="shared" si="9"/>
        <v/>
      </c>
      <c r="P472" s="5"/>
      <c r="Q472" s="5"/>
      <c r="R472" s="5"/>
    </row>
    <row r="473" ht="15.75" customHeight="1">
      <c r="A473" s="46"/>
      <c r="B473" s="47"/>
      <c r="C473" s="47"/>
      <c r="D473" s="47"/>
      <c r="E473" s="47"/>
      <c r="F473" s="48"/>
      <c r="G473" s="36" t="str">
        <f t="shared" si="1"/>
        <v/>
      </c>
      <c r="H473" s="37" t="str">
        <f t="shared" si="2"/>
        <v/>
      </c>
      <c r="I473" s="37" t="str">
        <f t="shared" si="3"/>
        <v/>
      </c>
      <c r="J473" s="37" t="str">
        <f t="shared" si="4"/>
        <v/>
      </c>
      <c r="K473" s="32" t="str">
        <f t="shared" si="5"/>
        <v/>
      </c>
      <c r="L473" s="32" t="str">
        <f t="shared" si="6"/>
        <v/>
      </c>
      <c r="M473" s="32" t="str">
        <f t="shared" si="7"/>
        <v/>
      </c>
      <c r="N473" s="44" t="str">
        <f t="shared" si="8"/>
        <v/>
      </c>
      <c r="O473" s="45" t="str">
        <f t="shared" si="9"/>
        <v/>
      </c>
      <c r="P473" s="5"/>
      <c r="Q473" s="5"/>
      <c r="R473" s="5"/>
    </row>
    <row r="474" ht="15.75" customHeight="1">
      <c r="A474" s="46"/>
      <c r="B474" s="47"/>
      <c r="C474" s="47"/>
      <c r="D474" s="47"/>
      <c r="E474" s="47"/>
      <c r="F474" s="48"/>
      <c r="G474" s="36" t="str">
        <f t="shared" si="1"/>
        <v/>
      </c>
      <c r="H474" s="37" t="str">
        <f t="shared" si="2"/>
        <v/>
      </c>
      <c r="I474" s="37" t="str">
        <f t="shared" si="3"/>
        <v/>
      </c>
      <c r="J474" s="37" t="str">
        <f t="shared" si="4"/>
        <v/>
      </c>
      <c r="K474" s="32" t="str">
        <f t="shared" si="5"/>
        <v/>
      </c>
      <c r="L474" s="32" t="str">
        <f t="shared" si="6"/>
        <v/>
      </c>
      <c r="M474" s="32" t="str">
        <f t="shared" si="7"/>
        <v/>
      </c>
      <c r="N474" s="44" t="str">
        <f t="shared" si="8"/>
        <v/>
      </c>
      <c r="O474" s="45" t="str">
        <f t="shared" si="9"/>
        <v/>
      </c>
      <c r="P474" s="5"/>
      <c r="Q474" s="5"/>
      <c r="R474" s="5"/>
    </row>
    <row r="475" ht="15.75" customHeight="1">
      <c r="A475" s="46"/>
      <c r="B475" s="47"/>
      <c r="C475" s="47"/>
      <c r="D475" s="47"/>
      <c r="E475" s="47"/>
      <c r="F475" s="48"/>
      <c r="G475" s="36" t="str">
        <f t="shared" si="1"/>
        <v/>
      </c>
      <c r="H475" s="37" t="str">
        <f t="shared" si="2"/>
        <v/>
      </c>
      <c r="I475" s="37" t="str">
        <f t="shared" si="3"/>
        <v/>
      </c>
      <c r="J475" s="37" t="str">
        <f t="shared" si="4"/>
        <v/>
      </c>
      <c r="K475" s="32" t="str">
        <f t="shared" si="5"/>
        <v/>
      </c>
      <c r="L475" s="32" t="str">
        <f t="shared" si="6"/>
        <v/>
      </c>
      <c r="M475" s="32" t="str">
        <f t="shared" si="7"/>
        <v/>
      </c>
      <c r="N475" s="44" t="str">
        <f t="shared" si="8"/>
        <v/>
      </c>
      <c r="O475" s="45" t="str">
        <f t="shared" si="9"/>
        <v/>
      </c>
      <c r="P475" s="5"/>
      <c r="Q475" s="5"/>
      <c r="R475" s="5"/>
    </row>
    <row r="476" ht="15.75" customHeight="1">
      <c r="A476" s="46"/>
      <c r="B476" s="47"/>
      <c r="C476" s="47"/>
      <c r="D476" s="47"/>
      <c r="E476" s="47"/>
      <c r="F476" s="48"/>
      <c r="G476" s="36" t="str">
        <f t="shared" si="1"/>
        <v/>
      </c>
      <c r="H476" s="37" t="str">
        <f t="shared" si="2"/>
        <v/>
      </c>
      <c r="I476" s="37" t="str">
        <f t="shared" si="3"/>
        <v/>
      </c>
      <c r="J476" s="37" t="str">
        <f t="shared" si="4"/>
        <v/>
      </c>
      <c r="K476" s="32" t="str">
        <f t="shared" si="5"/>
        <v/>
      </c>
      <c r="L476" s="32" t="str">
        <f t="shared" si="6"/>
        <v/>
      </c>
      <c r="M476" s="32" t="str">
        <f t="shared" si="7"/>
        <v/>
      </c>
      <c r="N476" s="44" t="str">
        <f t="shared" si="8"/>
        <v/>
      </c>
      <c r="O476" s="45" t="str">
        <f t="shared" si="9"/>
        <v/>
      </c>
      <c r="P476" s="5"/>
      <c r="Q476" s="5"/>
      <c r="R476" s="5"/>
    </row>
    <row r="477" ht="15.75" customHeight="1">
      <c r="A477" s="46"/>
      <c r="B477" s="47"/>
      <c r="C477" s="47"/>
      <c r="D477" s="47"/>
      <c r="E477" s="47"/>
      <c r="F477" s="48"/>
      <c r="G477" s="36" t="str">
        <f t="shared" si="1"/>
        <v/>
      </c>
      <c r="H477" s="37" t="str">
        <f t="shared" si="2"/>
        <v/>
      </c>
      <c r="I477" s="37" t="str">
        <f t="shared" si="3"/>
        <v/>
      </c>
      <c r="J477" s="37" t="str">
        <f t="shared" si="4"/>
        <v/>
      </c>
      <c r="K477" s="32" t="str">
        <f t="shared" si="5"/>
        <v/>
      </c>
      <c r="L477" s="32" t="str">
        <f t="shared" si="6"/>
        <v/>
      </c>
      <c r="M477" s="32" t="str">
        <f t="shared" si="7"/>
        <v/>
      </c>
      <c r="N477" s="44" t="str">
        <f t="shared" si="8"/>
        <v/>
      </c>
      <c r="O477" s="45" t="str">
        <f t="shared" si="9"/>
        <v/>
      </c>
      <c r="P477" s="5"/>
      <c r="Q477" s="5"/>
      <c r="R477" s="5"/>
    </row>
    <row r="478" ht="15.75" customHeight="1">
      <c r="A478" s="46"/>
      <c r="B478" s="47"/>
      <c r="C478" s="47"/>
      <c r="D478" s="47"/>
      <c r="E478" s="47"/>
      <c r="F478" s="48"/>
      <c r="G478" s="36" t="str">
        <f t="shared" si="1"/>
        <v/>
      </c>
      <c r="H478" s="37" t="str">
        <f t="shared" si="2"/>
        <v/>
      </c>
      <c r="I478" s="37" t="str">
        <f t="shared" si="3"/>
        <v/>
      </c>
      <c r="J478" s="37" t="str">
        <f t="shared" si="4"/>
        <v/>
      </c>
      <c r="K478" s="32" t="str">
        <f t="shared" si="5"/>
        <v/>
      </c>
      <c r="L478" s="32" t="str">
        <f t="shared" si="6"/>
        <v/>
      </c>
      <c r="M478" s="32" t="str">
        <f t="shared" si="7"/>
        <v/>
      </c>
      <c r="N478" s="44" t="str">
        <f t="shared" si="8"/>
        <v/>
      </c>
      <c r="O478" s="45" t="str">
        <f t="shared" si="9"/>
        <v/>
      </c>
      <c r="P478" s="5"/>
      <c r="Q478" s="5"/>
      <c r="R478" s="5"/>
    </row>
    <row r="479" ht="15.75" customHeight="1">
      <c r="A479" s="46"/>
      <c r="B479" s="47"/>
      <c r="C479" s="47"/>
      <c r="D479" s="47"/>
      <c r="E479" s="47"/>
      <c r="F479" s="48"/>
      <c r="G479" s="36" t="str">
        <f t="shared" si="1"/>
        <v/>
      </c>
      <c r="H479" s="37" t="str">
        <f t="shared" si="2"/>
        <v/>
      </c>
      <c r="I479" s="37" t="str">
        <f t="shared" si="3"/>
        <v/>
      </c>
      <c r="J479" s="37" t="str">
        <f t="shared" si="4"/>
        <v/>
      </c>
      <c r="K479" s="32" t="str">
        <f t="shared" si="5"/>
        <v/>
      </c>
      <c r="L479" s="32" t="str">
        <f t="shared" si="6"/>
        <v/>
      </c>
      <c r="M479" s="32" t="str">
        <f t="shared" si="7"/>
        <v/>
      </c>
      <c r="N479" s="44" t="str">
        <f t="shared" si="8"/>
        <v/>
      </c>
      <c r="O479" s="45" t="str">
        <f t="shared" si="9"/>
        <v/>
      </c>
      <c r="P479" s="5"/>
      <c r="Q479" s="5"/>
      <c r="R479" s="5"/>
    </row>
    <row r="480" ht="15.75" customHeight="1">
      <c r="A480" s="46"/>
      <c r="B480" s="47"/>
      <c r="C480" s="47"/>
      <c r="D480" s="47"/>
      <c r="E480" s="47"/>
      <c r="F480" s="48"/>
      <c r="G480" s="36" t="str">
        <f t="shared" si="1"/>
        <v/>
      </c>
      <c r="H480" s="37" t="str">
        <f t="shared" si="2"/>
        <v/>
      </c>
      <c r="I480" s="37" t="str">
        <f t="shared" si="3"/>
        <v/>
      </c>
      <c r="J480" s="37" t="str">
        <f t="shared" si="4"/>
        <v/>
      </c>
      <c r="K480" s="32" t="str">
        <f t="shared" si="5"/>
        <v/>
      </c>
      <c r="L480" s="32" t="str">
        <f t="shared" si="6"/>
        <v/>
      </c>
      <c r="M480" s="32" t="str">
        <f t="shared" si="7"/>
        <v/>
      </c>
      <c r="N480" s="44" t="str">
        <f t="shared" si="8"/>
        <v/>
      </c>
      <c r="O480" s="45" t="str">
        <f t="shared" si="9"/>
        <v/>
      </c>
      <c r="P480" s="5"/>
      <c r="Q480" s="5"/>
      <c r="R480" s="5"/>
    </row>
    <row r="481" ht="15.75" customHeight="1">
      <c r="A481" s="46"/>
      <c r="B481" s="47"/>
      <c r="C481" s="47"/>
      <c r="D481" s="47"/>
      <c r="E481" s="47"/>
      <c r="F481" s="48"/>
      <c r="G481" s="36" t="str">
        <f t="shared" si="1"/>
        <v/>
      </c>
      <c r="H481" s="37" t="str">
        <f t="shared" si="2"/>
        <v/>
      </c>
      <c r="I481" s="37" t="str">
        <f t="shared" si="3"/>
        <v/>
      </c>
      <c r="J481" s="37" t="str">
        <f t="shared" si="4"/>
        <v/>
      </c>
      <c r="K481" s="32" t="str">
        <f t="shared" si="5"/>
        <v/>
      </c>
      <c r="L481" s="32" t="str">
        <f t="shared" si="6"/>
        <v/>
      </c>
      <c r="M481" s="32" t="str">
        <f t="shared" si="7"/>
        <v/>
      </c>
      <c r="N481" s="44" t="str">
        <f t="shared" si="8"/>
        <v/>
      </c>
      <c r="O481" s="45" t="str">
        <f t="shared" si="9"/>
        <v/>
      </c>
      <c r="P481" s="5"/>
      <c r="Q481" s="5"/>
      <c r="R481" s="5"/>
    </row>
    <row r="482" ht="15.75" customHeight="1">
      <c r="A482" s="46"/>
      <c r="B482" s="47"/>
      <c r="C482" s="47"/>
      <c r="D482" s="47"/>
      <c r="E482" s="47"/>
      <c r="F482" s="48"/>
      <c r="G482" s="36" t="str">
        <f t="shared" si="1"/>
        <v/>
      </c>
      <c r="H482" s="37" t="str">
        <f t="shared" si="2"/>
        <v/>
      </c>
      <c r="I482" s="37" t="str">
        <f t="shared" si="3"/>
        <v/>
      </c>
      <c r="J482" s="37" t="str">
        <f t="shared" si="4"/>
        <v/>
      </c>
      <c r="K482" s="32" t="str">
        <f t="shared" si="5"/>
        <v/>
      </c>
      <c r="L482" s="32" t="str">
        <f t="shared" si="6"/>
        <v/>
      </c>
      <c r="M482" s="32" t="str">
        <f t="shared" si="7"/>
        <v/>
      </c>
      <c r="N482" s="44" t="str">
        <f t="shared" si="8"/>
        <v/>
      </c>
      <c r="O482" s="45" t="str">
        <f t="shared" si="9"/>
        <v/>
      </c>
      <c r="P482" s="5"/>
      <c r="Q482" s="5"/>
      <c r="R482" s="5"/>
    </row>
    <row r="483" ht="15.75" customHeight="1">
      <c r="A483" s="46"/>
      <c r="B483" s="47"/>
      <c r="C483" s="47"/>
      <c r="D483" s="47"/>
      <c r="E483" s="47"/>
      <c r="F483" s="48"/>
      <c r="G483" s="36" t="str">
        <f t="shared" si="1"/>
        <v/>
      </c>
      <c r="H483" s="37" t="str">
        <f t="shared" si="2"/>
        <v/>
      </c>
      <c r="I483" s="37" t="str">
        <f t="shared" si="3"/>
        <v/>
      </c>
      <c r="J483" s="37" t="str">
        <f t="shared" si="4"/>
        <v/>
      </c>
      <c r="K483" s="32" t="str">
        <f t="shared" si="5"/>
        <v/>
      </c>
      <c r="L483" s="32" t="str">
        <f t="shared" si="6"/>
        <v/>
      </c>
      <c r="M483" s="32" t="str">
        <f t="shared" si="7"/>
        <v/>
      </c>
      <c r="N483" s="44" t="str">
        <f t="shared" si="8"/>
        <v/>
      </c>
      <c r="O483" s="45" t="str">
        <f t="shared" si="9"/>
        <v/>
      </c>
      <c r="P483" s="5"/>
      <c r="Q483" s="5"/>
      <c r="R483" s="5"/>
    </row>
    <row r="484" ht="15.75" customHeight="1">
      <c r="A484" s="46"/>
      <c r="B484" s="47"/>
      <c r="C484" s="47"/>
      <c r="D484" s="47"/>
      <c r="E484" s="47"/>
      <c r="F484" s="48"/>
      <c r="G484" s="36" t="str">
        <f t="shared" si="1"/>
        <v/>
      </c>
      <c r="H484" s="37" t="str">
        <f t="shared" si="2"/>
        <v/>
      </c>
      <c r="I484" s="37" t="str">
        <f t="shared" si="3"/>
        <v/>
      </c>
      <c r="J484" s="37" t="str">
        <f t="shared" si="4"/>
        <v/>
      </c>
      <c r="K484" s="32" t="str">
        <f t="shared" si="5"/>
        <v/>
      </c>
      <c r="L484" s="32" t="str">
        <f t="shared" si="6"/>
        <v/>
      </c>
      <c r="M484" s="32" t="str">
        <f t="shared" si="7"/>
        <v/>
      </c>
      <c r="N484" s="44" t="str">
        <f t="shared" si="8"/>
        <v/>
      </c>
      <c r="O484" s="45" t="str">
        <f t="shared" si="9"/>
        <v/>
      </c>
      <c r="P484" s="5"/>
      <c r="Q484" s="5"/>
      <c r="R484" s="5"/>
    </row>
    <row r="485" ht="15.75" customHeight="1">
      <c r="A485" s="46"/>
      <c r="B485" s="47"/>
      <c r="C485" s="47"/>
      <c r="D485" s="47"/>
      <c r="E485" s="47"/>
      <c r="F485" s="48"/>
      <c r="G485" s="36" t="str">
        <f t="shared" si="1"/>
        <v/>
      </c>
      <c r="H485" s="37" t="str">
        <f t="shared" si="2"/>
        <v/>
      </c>
      <c r="I485" s="37" t="str">
        <f t="shared" si="3"/>
        <v/>
      </c>
      <c r="J485" s="37" t="str">
        <f t="shared" si="4"/>
        <v/>
      </c>
      <c r="K485" s="32" t="str">
        <f t="shared" si="5"/>
        <v/>
      </c>
      <c r="L485" s="32" t="str">
        <f t="shared" si="6"/>
        <v/>
      </c>
      <c r="M485" s="32" t="str">
        <f t="shared" si="7"/>
        <v/>
      </c>
      <c r="N485" s="44" t="str">
        <f t="shared" si="8"/>
        <v/>
      </c>
      <c r="O485" s="45" t="str">
        <f t="shared" si="9"/>
        <v/>
      </c>
      <c r="P485" s="5"/>
      <c r="Q485" s="5"/>
      <c r="R485" s="5"/>
    </row>
    <row r="486" ht="15.75" customHeight="1">
      <c r="A486" s="46"/>
      <c r="B486" s="47"/>
      <c r="C486" s="47"/>
      <c r="D486" s="47"/>
      <c r="E486" s="47"/>
      <c r="F486" s="48"/>
      <c r="G486" s="36" t="str">
        <f t="shared" si="1"/>
        <v/>
      </c>
      <c r="H486" s="37" t="str">
        <f t="shared" si="2"/>
        <v/>
      </c>
      <c r="I486" s="37" t="str">
        <f t="shared" si="3"/>
        <v/>
      </c>
      <c r="J486" s="37" t="str">
        <f t="shared" si="4"/>
        <v/>
      </c>
      <c r="K486" s="32" t="str">
        <f t="shared" si="5"/>
        <v/>
      </c>
      <c r="L486" s="32" t="str">
        <f t="shared" si="6"/>
        <v/>
      </c>
      <c r="M486" s="32" t="str">
        <f t="shared" si="7"/>
        <v/>
      </c>
      <c r="N486" s="44" t="str">
        <f t="shared" si="8"/>
        <v/>
      </c>
      <c r="O486" s="45" t="str">
        <f t="shared" si="9"/>
        <v/>
      </c>
      <c r="P486" s="5"/>
      <c r="Q486" s="5"/>
      <c r="R486" s="5"/>
    </row>
    <row r="487" ht="15.75" customHeight="1">
      <c r="A487" s="46"/>
      <c r="B487" s="47"/>
      <c r="C487" s="47"/>
      <c r="D487" s="47"/>
      <c r="E487" s="47"/>
      <c r="F487" s="48"/>
      <c r="G487" s="36" t="str">
        <f t="shared" si="1"/>
        <v/>
      </c>
      <c r="H487" s="37" t="str">
        <f t="shared" si="2"/>
        <v/>
      </c>
      <c r="I487" s="37" t="str">
        <f t="shared" si="3"/>
        <v/>
      </c>
      <c r="J487" s="37" t="str">
        <f t="shared" si="4"/>
        <v/>
      </c>
      <c r="K487" s="32" t="str">
        <f t="shared" si="5"/>
        <v/>
      </c>
      <c r="L487" s="32" t="str">
        <f t="shared" si="6"/>
        <v/>
      </c>
      <c r="M487" s="32" t="str">
        <f t="shared" si="7"/>
        <v/>
      </c>
      <c r="N487" s="44" t="str">
        <f t="shared" si="8"/>
        <v/>
      </c>
      <c r="O487" s="45" t="str">
        <f t="shared" si="9"/>
        <v/>
      </c>
      <c r="P487" s="5"/>
      <c r="Q487" s="5"/>
      <c r="R487" s="5"/>
    </row>
    <row r="488" ht="15.75" customHeight="1">
      <c r="A488" s="46"/>
      <c r="B488" s="47"/>
      <c r="C488" s="47"/>
      <c r="D488" s="47"/>
      <c r="E488" s="47"/>
      <c r="F488" s="48"/>
      <c r="G488" s="36" t="str">
        <f t="shared" si="1"/>
        <v/>
      </c>
      <c r="H488" s="37" t="str">
        <f t="shared" si="2"/>
        <v/>
      </c>
      <c r="I488" s="37" t="str">
        <f t="shared" si="3"/>
        <v/>
      </c>
      <c r="J488" s="37" t="str">
        <f t="shared" si="4"/>
        <v/>
      </c>
      <c r="K488" s="32" t="str">
        <f t="shared" si="5"/>
        <v/>
      </c>
      <c r="L488" s="32" t="str">
        <f t="shared" si="6"/>
        <v/>
      </c>
      <c r="M488" s="32" t="str">
        <f t="shared" si="7"/>
        <v/>
      </c>
      <c r="N488" s="44" t="str">
        <f t="shared" si="8"/>
        <v/>
      </c>
      <c r="O488" s="45" t="str">
        <f t="shared" si="9"/>
        <v/>
      </c>
      <c r="P488" s="5"/>
      <c r="Q488" s="5"/>
      <c r="R488" s="5"/>
    </row>
    <row r="489" ht="15.75" customHeight="1">
      <c r="A489" s="46"/>
      <c r="B489" s="47"/>
      <c r="C489" s="47"/>
      <c r="D489" s="47"/>
      <c r="E489" s="47"/>
      <c r="F489" s="48"/>
      <c r="G489" s="36" t="str">
        <f t="shared" si="1"/>
        <v/>
      </c>
      <c r="H489" s="37" t="str">
        <f t="shared" si="2"/>
        <v/>
      </c>
      <c r="I489" s="37" t="str">
        <f t="shared" si="3"/>
        <v/>
      </c>
      <c r="J489" s="37" t="str">
        <f t="shared" si="4"/>
        <v/>
      </c>
      <c r="K489" s="32" t="str">
        <f t="shared" si="5"/>
        <v/>
      </c>
      <c r="L489" s="32" t="str">
        <f t="shared" si="6"/>
        <v/>
      </c>
      <c r="M489" s="32" t="str">
        <f t="shared" si="7"/>
        <v/>
      </c>
      <c r="N489" s="44" t="str">
        <f t="shared" si="8"/>
        <v/>
      </c>
      <c r="O489" s="45" t="str">
        <f t="shared" si="9"/>
        <v/>
      </c>
      <c r="P489" s="5"/>
      <c r="Q489" s="5"/>
      <c r="R489" s="5"/>
    </row>
    <row r="490" ht="15.75" customHeight="1">
      <c r="A490" s="46"/>
      <c r="B490" s="47"/>
      <c r="C490" s="47"/>
      <c r="D490" s="47"/>
      <c r="E490" s="47"/>
      <c r="F490" s="48"/>
      <c r="G490" s="36" t="str">
        <f t="shared" si="1"/>
        <v/>
      </c>
      <c r="H490" s="37" t="str">
        <f t="shared" si="2"/>
        <v/>
      </c>
      <c r="I490" s="37" t="str">
        <f t="shared" si="3"/>
        <v/>
      </c>
      <c r="J490" s="37" t="str">
        <f t="shared" si="4"/>
        <v/>
      </c>
      <c r="K490" s="32" t="str">
        <f t="shared" si="5"/>
        <v/>
      </c>
      <c r="L490" s="32" t="str">
        <f t="shared" si="6"/>
        <v/>
      </c>
      <c r="M490" s="32" t="str">
        <f t="shared" si="7"/>
        <v/>
      </c>
      <c r="N490" s="44" t="str">
        <f t="shared" si="8"/>
        <v/>
      </c>
      <c r="O490" s="45" t="str">
        <f t="shared" si="9"/>
        <v/>
      </c>
      <c r="P490" s="5"/>
      <c r="Q490" s="5"/>
      <c r="R490" s="5"/>
    </row>
    <row r="491" ht="15.75" customHeight="1">
      <c r="A491" s="46"/>
      <c r="B491" s="47"/>
      <c r="C491" s="47"/>
      <c r="D491" s="47"/>
      <c r="E491" s="47"/>
      <c r="F491" s="48"/>
      <c r="G491" s="36" t="str">
        <f t="shared" si="1"/>
        <v/>
      </c>
      <c r="H491" s="37" t="str">
        <f t="shared" si="2"/>
        <v/>
      </c>
      <c r="I491" s="37" t="str">
        <f t="shared" si="3"/>
        <v/>
      </c>
      <c r="J491" s="37" t="str">
        <f t="shared" si="4"/>
        <v/>
      </c>
      <c r="K491" s="32" t="str">
        <f t="shared" si="5"/>
        <v/>
      </c>
      <c r="L491" s="32" t="str">
        <f t="shared" si="6"/>
        <v/>
      </c>
      <c r="M491" s="32" t="str">
        <f t="shared" si="7"/>
        <v/>
      </c>
      <c r="N491" s="44" t="str">
        <f t="shared" si="8"/>
        <v/>
      </c>
      <c r="O491" s="45" t="str">
        <f t="shared" si="9"/>
        <v/>
      </c>
      <c r="P491" s="5"/>
      <c r="Q491" s="5"/>
      <c r="R491" s="5"/>
    </row>
    <row r="492" ht="15.75" customHeight="1">
      <c r="A492" s="46"/>
      <c r="B492" s="47"/>
      <c r="C492" s="47"/>
      <c r="D492" s="47"/>
      <c r="E492" s="47"/>
      <c r="F492" s="48"/>
      <c r="G492" s="36" t="str">
        <f t="shared" si="1"/>
        <v/>
      </c>
      <c r="H492" s="37" t="str">
        <f t="shared" si="2"/>
        <v/>
      </c>
      <c r="I492" s="37" t="str">
        <f t="shared" si="3"/>
        <v/>
      </c>
      <c r="J492" s="37" t="str">
        <f t="shared" si="4"/>
        <v/>
      </c>
      <c r="K492" s="32" t="str">
        <f t="shared" si="5"/>
        <v/>
      </c>
      <c r="L492" s="32" t="str">
        <f t="shared" si="6"/>
        <v/>
      </c>
      <c r="M492" s="32" t="str">
        <f t="shared" si="7"/>
        <v/>
      </c>
      <c r="N492" s="44" t="str">
        <f t="shared" si="8"/>
        <v/>
      </c>
      <c r="O492" s="45" t="str">
        <f t="shared" si="9"/>
        <v/>
      </c>
      <c r="P492" s="5"/>
      <c r="Q492" s="5"/>
      <c r="R492" s="5"/>
    </row>
    <row r="493" ht="15.75" customHeight="1">
      <c r="A493" s="46"/>
      <c r="B493" s="47"/>
      <c r="C493" s="47"/>
      <c r="D493" s="47"/>
      <c r="E493" s="47"/>
      <c r="F493" s="48"/>
      <c r="G493" s="36" t="str">
        <f t="shared" si="1"/>
        <v/>
      </c>
      <c r="H493" s="37" t="str">
        <f t="shared" si="2"/>
        <v/>
      </c>
      <c r="I493" s="37" t="str">
        <f t="shared" si="3"/>
        <v/>
      </c>
      <c r="J493" s="37" t="str">
        <f t="shared" si="4"/>
        <v/>
      </c>
      <c r="K493" s="32" t="str">
        <f t="shared" si="5"/>
        <v/>
      </c>
      <c r="L493" s="32" t="str">
        <f t="shared" si="6"/>
        <v/>
      </c>
      <c r="M493" s="32" t="str">
        <f t="shared" si="7"/>
        <v/>
      </c>
      <c r="N493" s="44" t="str">
        <f t="shared" si="8"/>
        <v/>
      </c>
      <c r="O493" s="45" t="str">
        <f t="shared" si="9"/>
        <v/>
      </c>
      <c r="P493" s="5"/>
      <c r="Q493" s="5"/>
      <c r="R493" s="5"/>
    </row>
    <row r="494" ht="15.75" customHeight="1">
      <c r="A494" s="46"/>
      <c r="B494" s="47"/>
      <c r="C494" s="47"/>
      <c r="D494" s="47"/>
      <c r="E494" s="47"/>
      <c r="F494" s="48"/>
      <c r="G494" s="36" t="str">
        <f t="shared" si="1"/>
        <v/>
      </c>
      <c r="H494" s="37" t="str">
        <f t="shared" si="2"/>
        <v/>
      </c>
      <c r="I494" s="37" t="str">
        <f t="shared" si="3"/>
        <v/>
      </c>
      <c r="J494" s="37" t="str">
        <f t="shared" si="4"/>
        <v/>
      </c>
      <c r="K494" s="32" t="str">
        <f t="shared" si="5"/>
        <v/>
      </c>
      <c r="L494" s="32" t="str">
        <f t="shared" si="6"/>
        <v/>
      </c>
      <c r="M494" s="32" t="str">
        <f t="shared" si="7"/>
        <v/>
      </c>
      <c r="N494" s="44" t="str">
        <f t="shared" si="8"/>
        <v/>
      </c>
      <c r="O494" s="45" t="str">
        <f t="shared" si="9"/>
        <v/>
      </c>
      <c r="P494" s="5"/>
      <c r="Q494" s="5"/>
      <c r="R494" s="5"/>
    </row>
    <row r="495" ht="15.75" customHeight="1">
      <c r="A495" s="46"/>
      <c r="B495" s="47"/>
      <c r="C495" s="47"/>
      <c r="D495" s="47"/>
      <c r="E495" s="47"/>
      <c r="F495" s="48"/>
      <c r="G495" s="36" t="str">
        <f t="shared" si="1"/>
        <v/>
      </c>
      <c r="H495" s="37" t="str">
        <f t="shared" si="2"/>
        <v/>
      </c>
      <c r="I495" s="37" t="str">
        <f t="shared" si="3"/>
        <v/>
      </c>
      <c r="J495" s="37" t="str">
        <f t="shared" si="4"/>
        <v/>
      </c>
      <c r="K495" s="32" t="str">
        <f t="shared" si="5"/>
        <v/>
      </c>
      <c r="L495" s="32" t="str">
        <f t="shared" si="6"/>
        <v/>
      </c>
      <c r="M495" s="32" t="str">
        <f t="shared" si="7"/>
        <v/>
      </c>
      <c r="N495" s="44" t="str">
        <f t="shared" si="8"/>
        <v/>
      </c>
      <c r="O495" s="45" t="str">
        <f t="shared" si="9"/>
        <v/>
      </c>
      <c r="P495" s="5"/>
      <c r="Q495" s="5"/>
      <c r="R495" s="5"/>
    </row>
    <row r="496" ht="15.75" customHeight="1">
      <c r="A496" s="46"/>
      <c r="B496" s="47"/>
      <c r="C496" s="47"/>
      <c r="D496" s="47"/>
      <c r="E496" s="47"/>
      <c r="F496" s="48"/>
      <c r="G496" s="36" t="str">
        <f t="shared" si="1"/>
        <v/>
      </c>
      <c r="H496" s="37" t="str">
        <f t="shared" si="2"/>
        <v/>
      </c>
      <c r="I496" s="37" t="str">
        <f t="shared" si="3"/>
        <v/>
      </c>
      <c r="J496" s="37" t="str">
        <f t="shared" si="4"/>
        <v/>
      </c>
      <c r="K496" s="32" t="str">
        <f t="shared" si="5"/>
        <v/>
      </c>
      <c r="L496" s="32" t="str">
        <f t="shared" si="6"/>
        <v/>
      </c>
      <c r="M496" s="32" t="str">
        <f t="shared" si="7"/>
        <v/>
      </c>
      <c r="N496" s="44" t="str">
        <f t="shared" si="8"/>
        <v/>
      </c>
      <c r="O496" s="45" t="str">
        <f t="shared" si="9"/>
        <v/>
      </c>
      <c r="P496" s="5"/>
      <c r="Q496" s="5"/>
      <c r="R496" s="5"/>
    </row>
    <row r="497" ht="15.75" customHeight="1">
      <c r="A497" s="46"/>
      <c r="B497" s="47"/>
      <c r="C497" s="47"/>
      <c r="D497" s="47"/>
      <c r="E497" s="47"/>
      <c r="F497" s="48"/>
      <c r="G497" s="36" t="str">
        <f t="shared" si="1"/>
        <v/>
      </c>
      <c r="H497" s="37" t="str">
        <f t="shared" si="2"/>
        <v/>
      </c>
      <c r="I497" s="37" t="str">
        <f t="shared" si="3"/>
        <v/>
      </c>
      <c r="J497" s="37" t="str">
        <f t="shared" si="4"/>
        <v/>
      </c>
      <c r="K497" s="32" t="str">
        <f t="shared" si="5"/>
        <v/>
      </c>
      <c r="L497" s="32" t="str">
        <f t="shared" si="6"/>
        <v/>
      </c>
      <c r="M497" s="32" t="str">
        <f t="shared" si="7"/>
        <v/>
      </c>
      <c r="N497" s="44" t="str">
        <f t="shared" si="8"/>
        <v/>
      </c>
      <c r="O497" s="45" t="str">
        <f t="shared" si="9"/>
        <v/>
      </c>
      <c r="P497" s="5"/>
      <c r="Q497" s="5"/>
      <c r="R497" s="5"/>
    </row>
    <row r="498" ht="15.75" customHeight="1">
      <c r="A498" s="46"/>
      <c r="B498" s="47"/>
      <c r="C498" s="47"/>
      <c r="D498" s="47"/>
      <c r="E498" s="47"/>
      <c r="F498" s="48"/>
      <c r="G498" s="36" t="str">
        <f t="shared" si="1"/>
        <v/>
      </c>
      <c r="H498" s="37" t="str">
        <f t="shared" si="2"/>
        <v/>
      </c>
      <c r="I498" s="37" t="str">
        <f t="shared" si="3"/>
        <v/>
      </c>
      <c r="J498" s="37" t="str">
        <f t="shared" si="4"/>
        <v/>
      </c>
      <c r="K498" s="32" t="str">
        <f t="shared" si="5"/>
        <v/>
      </c>
      <c r="L498" s="32" t="str">
        <f t="shared" si="6"/>
        <v/>
      </c>
      <c r="M498" s="32" t="str">
        <f t="shared" si="7"/>
        <v/>
      </c>
      <c r="N498" s="44" t="str">
        <f t="shared" si="8"/>
        <v/>
      </c>
      <c r="O498" s="45" t="str">
        <f t="shared" si="9"/>
        <v/>
      </c>
      <c r="P498" s="5"/>
      <c r="Q498" s="5"/>
      <c r="R498" s="5"/>
    </row>
    <row r="499" ht="15.75" customHeight="1">
      <c r="A499" s="46"/>
      <c r="B499" s="47"/>
      <c r="C499" s="47"/>
      <c r="D499" s="47"/>
      <c r="E499" s="47"/>
      <c r="F499" s="48"/>
      <c r="G499" s="36" t="str">
        <f t="shared" si="1"/>
        <v/>
      </c>
      <c r="H499" s="37" t="str">
        <f t="shared" si="2"/>
        <v/>
      </c>
      <c r="I499" s="37" t="str">
        <f t="shared" si="3"/>
        <v/>
      </c>
      <c r="J499" s="37" t="str">
        <f t="shared" si="4"/>
        <v/>
      </c>
      <c r="K499" s="32" t="str">
        <f t="shared" si="5"/>
        <v/>
      </c>
      <c r="L499" s="32" t="str">
        <f t="shared" si="6"/>
        <v/>
      </c>
      <c r="M499" s="32" t="str">
        <f t="shared" si="7"/>
        <v/>
      </c>
      <c r="N499" s="44" t="str">
        <f t="shared" si="8"/>
        <v/>
      </c>
      <c r="O499" s="45" t="str">
        <f t="shared" si="9"/>
        <v/>
      </c>
      <c r="P499" s="5"/>
      <c r="Q499" s="5"/>
      <c r="R499" s="5"/>
    </row>
    <row r="500" ht="15.75" customHeight="1">
      <c r="A500" s="46"/>
      <c r="B500" s="47"/>
      <c r="C500" s="47"/>
      <c r="D500" s="47"/>
      <c r="E500" s="47"/>
      <c r="F500" s="48"/>
      <c r="G500" s="36" t="str">
        <f t="shared" si="1"/>
        <v/>
      </c>
      <c r="H500" s="37" t="str">
        <f t="shared" si="2"/>
        <v/>
      </c>
      <c r="I500" s="37" t="str">
        <f t="shared" si="3"/>
        <v/>
      </c>
      <c r="J500" s="37" t="str">
        <f t="shared" si="4"/>
        <v/>
      </c>
      <c r="K500" s="32" t="str">
        <f t="shared" si="5"/>
        <v/>
      </c>
      <c r="L500" s="32" t="str">
        <f t="shared" si="6"/>
        <v/>
      </c>
      <c r="M500" s="32" t="str">
        <f t="shared" si="7"/>
        <v/>
      </c>
      <c r="N500" s="44" t="str">
        <f t="shared" si="8"/>
        <v/>
      </c>
      <c r="O500" s="45" t="str">
        <f t="shared" si="9"/>
        <v/>
      </c>
      <c r="P500" s="5"/>
      <c r="Q500" s="5"/>
      <c r="R500" s="5"/>
    </row>
    <row r="501" ht="15.75" customHeight="1">
      <c r="A501" s="46"/>
      <c r="B501" s="47"/>
      <c r="C501" s="47"/>
      <c r="D501" s="47"/>
      <c r="E501" s="47"/>
      <c r="F501" s="48"/>
      <c r="G501" s="36" t="str">
        <f t="shared" si="1"/>
        <v/>
      </c>
      <c r="H501" s="37" t="str">
        <f t="shared" si="2"/>
        <v/>
      </c>
      <c r="I501" s="37" t="str">
        <f t="shared" si="3"/>
        <v/>
      </c>
      <c r="J501" s="37" t="str">
        <f t="shared" si="4"/>
        <v/>
      </c>
      <c r="K501" s="32" t="str">
        <f t="shared" si="5"/>
        <v/>
      </c>
      <c r="L501" s="32" t="str">
        <f t="shared" si="6"/>
        <v/>
      </c>
      <c r="M501" s="32" t="str">
        <f t="shared" si="7"/>
        <v/>
      </c>
      <c r="N501" s="44" t="str">
        <f t="shared" si="8"/>
        <v/>
      </c>
      <c r="O501" s="45" t="str">
        <f t="shared" si="9"/>
        <v/>
      </c>
      <c r="P501" s="5"/>
      <c r="Q501" s="5"/>
      <c r="R501" s="5"/>
    </row>
    <row r="502" ht="15.75" customHeight="1">
      <c r="A502" s="46"/>
      <c r="B502" s="47"/>
      <c r="C502" s="47"/>
      <c r="D502" s="47"/>
      <c r="E502" s="47"/>
      <c r="F502" s="48"/>
      <c r="G502" s="36" t="str">
        <f t="shared" si="1"/>
        <v/>
      </c>
      <c r="H502" s="37" t="str">
        <f t="shared" si="2"/>
        <v/>
      </c>
      <c r="I502" s="37" t="str">
        <f t="shared" si="3"/>
        <v/>
      </c>
      <c r="J502" s="37" t="str">
        <f t="shared" si="4"/>
        <v/>
      </c>
      <c r="K502" s="32" t="str">
        <f t="shared" si="5"/>
        <v/>
      </c>
      <c r="L502" s="32" t="str">
        <f t="shared" si="6"/>
        <v/>
      </c>
      <c r="M502" s="32" t="str">
        <f t="shared" si="7"/>
        <v/>
      </c>
      <c r="N502" s="44" t="str">
        <f t="shared" si="8"/>
        <v/>
      </c>
      <c r="O502" s="45" t="str">
        <f t="shared" si="9"/>
        <v/>
      </c>
      <c r="P502" s="5"/>
      <c r="Q502" s="5"/>
      <c r="R502" s="5"/>
    </row>
    <row r="503" ht="15.75" customHeight="1">
      <c r="A503" s="46"/>
      <c r="B503" s="47"/>
      <c r="C503" s="47"/>
      <c r="D503" s="47"/>
      <c r="E503" s="47"/>
      <c r="F503" s="48"/>
      <c r="G503" s="36" t="str">
        <f t="shared" si="1"/>
        <v/>
      </c>
      <c r="H503" s="37" t="str">
        <f t="shared" si="2"/>
        <v/>
      </c>
      <c r="I503" s="37" t="str">
        <f t="shared" si="3"/>
        <v/>
      </c>
      <c r="J503" s="37" t="str">
        <f t="shared" si="4"/>
        <v/>
      </c>
      <c r="K503" s="32" t="str">
        <f t="shared" si="5"/>
        <v/>
      </c>
      <c r="L503" s="32" t="str">
        <f t="shared" si="6"/>
        <v/>
      </c>
      <c r="M503" s="32" t="str">
        <f t="shared" si="7"/>
        <v/>
      </c>
      <c r="N503" s="44" t="str">
        <f t="shared" si="8"/>
        <v/>
      </c>
      <c r="O503" s="45" t="str">
        <f t="shared" si="9"/>
        <v/>
      </c>
      <c r="P503" s="5"/>
      <c r="Q503" s="5"/>
      <c r="R503" s="5"/>
    </row>
    <row r="504" ht="15.75" customHeight="1">
      <c r="A504" s="46"/>
      <c r="B504" s="47"/>
      <c r="C504" s="47"/>
      <c r="D504" s="47"/>
      <c r="E504" s="47"/>
      <c r="F504" s="48"/>
      <c r="G504" s="36" t="str">
        <f t="shared" si="1"/>
        <v/>
      </c>
      <c r="H504" s="37" t="str">
        <f t="shared" si="2"/>
        <v/>
      </c>
      <c r="I504" s="37" t="str">
        <f t="shared" si="3"/>
        <v/>
      </c>
      <c r="J504" s="37" t="str">
        <f t="shared" si="4"/>
        <v/>
      </c>
      <c r="K504" s="32" t="str">
        <f t="shared" si="5"/>
        <v/>
      </c>
      <c r="L504" s="32" t="str">
        <f t="shared" si="6"/>
        <v/>
      </c>
      <c r="M504" s="32" t="str">
        <f t="shared" si="7"/>
        <v/>
      </c>
      <c r="N504" s="44" t="str">
        <f t="shared" si="8"/>
        <v/>
      </c>
      <c r="O504" s="45" t="str">
        <f t="shared" si="9"/>
        <v/>
      </c>
      <c r="P504" s="5"/>
      <c r="Q504" s="5"/>
      <c r="R504" s="5"/>
    </row>
    <row r="505" ht="15.75" customHeight="1">
      <c r="A505" s="46"/>
      <c r="B505" s="47"/>
      <c r="C505" s="47"/>
      <c r="D505" s="47"/>
      <c r="E505" s="47"/>
      <c r="F505" s="48"/>
      <c r="G505" s="36" t="str">
        <f t="shared" si="1"/>
        <v/>
      </c>
      <c r="H505" s="37" t="str">
        <f t="shared" si="2"/>
        <v/>
      </c>
      <c r="I505" s="37" t="str">
        <f t="shared" si="3"/>
        <v/>
      </c>
      <c r="J505" s="37" t="str">
        <f t="shared" si="4"/>
        <v/>
      </c>
      <c r="K505" s="32" t="str">
        <f t="shared" si="5"/>
        <v/>
      </c>
      <c r="L505" s="32" t="str">
        <f t="shared" si="6"/>
        <v/>
      </c>
      <c r="M505" s="32" t="str">
        <f t="shared" si="7"/>
        <v/>
      </c>
      <c r="N505" s="44" t="str">
        <f t="shared" si="8"/>
        <v/>
      </c>
      <c r="O505" s="45" t="str">
        <f t="shared" si="9"/>
        <v/>
      </c>
      <c r="P505" s="5"/>
      <c r="Q505" s="5"/>
      <c r="R505" s="5"/>
    </row>
    <row r="506" ht="15.75" customHeight="1">
      <c r="A506" s="46"/>
      <c r="B506" s="47"/>
      <c r="C506" s="47"/>
      <c r="D506" s="47"/>
      <c r="E506" s="47"/>
      <c r="F506" s="48"/>
      <c r="G506" s="36" t="str">
        <f t="shared" si="1"/>
        <v/>
      </c>
      <c r="H506" s="37" t="str">
        <f t="shared" si="2"/>
        <v/>
      </c>
      <c r="I506" s="37" t="str">
        <f t="shared" si="3"/>
        <v/>
      </c>
      <c r="J506" s="37" t="str">
        <f t="shared" si="4"/>
        <v/>
      </c>
      <c r="K506" s="32" t="str">
        <f t="shared" si="5"/>
        <v/>
      </c>
      <c r="L506" s="32" t="str">
        <f t="shared" si="6"/>
        <v/>
      </c>
      <c r="M506" s="32" t="str">
        <f t="shared" si="7"/>
        <v/>
      </c>
      <c r="N506" s="44" t="str">
        <f t="shared" si="8"/>
        <v/>
      </c>
      <c r="O506" s="45" t="str">
        <f t="shared" si="9"/>
        <v/>
      </c>
      <c r="P506" s="5"/>
      <c r="Q506" s="5"/>
      <c r="R506" s="5"/>
    </row>
    <row r="507" ht="15.75" customHeight="1">
      <c r="A507" s="46"/>
      <c r="B507" s="47"/>
      <c r="C507" s="47"/>
      <c r="D507" s="47"/>
      <c r="E507" s="47"/>
      <c r="F507" s="48"/>
      <c r="G507" s="36" t="str">
        <f t="shared" si="1"/>
        <v/>
      </c>
      <c r="H507" s="37" t="str">
        <f t="shared" si="2"/>
        <v/>
      </c>
      <c r="I507" s="37" t="str">
        <f t="shared" si="3"/>
        <v/>
      </c>
      <c r="J507" s="37" t="str">
        <f t="shared" si="4"/>
        <v/>
      </c>
      <c r="K507" s="32" t="str">
        <f t="shared" si="5"/>
        <v/>
      </c>
      <c r="L507" s="32" t="str">
        <f t="shared" si="6"/>
        <v/>
      </c>
      <c r="M507" s="32" t="str">
        <f t="shared" si="7"/>
        <v/>
      </c>
      <c r="N507" s="44" t="str">
        <f t="shared" si="8"/>
        <v/>
      </c>
      <c r="O507" s="45" t="str">
        <f t="shared" si="9"/>
        <v/>
      </c>
      <c r="P507" s="5"/>
      <c r="Q507" s="5"/>
      <c r="R507" s="5"/>
    </row>
    <row r="508" ht="15.75" customHeight="1">
      <c r="A508" s="46"/>
      <c r="B508" s="47"/>
      <c r="C508" s="47"/>
      <c r="D508" s="47"/>
      <c r="E508" s="47"/>
      <c r="F508" s="48"/>
      <c r="G508" s="36" t="str">
        <f t="shared" si="1"/>
        <v/>
      </c>
      <c r="H508" s="37" t="str">
        <f t="shared" si="2"/>
        <v/>
      </c>
      <c r="I508" s="37" t="str">
        <f t="shared" si="3"/>
        <v/>
      </c>
      <c r="J508" s="37" t="str">
        <f t="shared" si="4"/>
        <v/>
      </c>
      <c r="K508" s="32" t="str">
        <f t="shared" si="5"/>
        <v/>
      </c>
      <c r="L508" s="32" t="str">
        <f t="shared" si="6"/>
        <v/>
      </c>
      <c r="M508" s="32" t="str">
        <f t="shared" si="7"/>
        <v/>
      </c>
      <c r="N508" s="44" t="str">
        <f t="shared" si="8"/>
        <v/>
      </c>
      <c r="O508" s="45" t="str">
        <f t="shared" si="9"/>
        <v/>
      </c>
      <c r="P508" s="5"/>
      <c r="Q508" s="5"/>
      <c r="R508" s="5"/>
    </row>
    <row r="509" ht="15.75" customHeight="1">
      <c r="A509" s="46"/>
      <c r="B509" s="47"/>
      <c r="C509" s="47"/>
      <c r="D509" s="47"/>
      <c r="E509" s="47"/>
      <c r="F509" s="48"/>
      <c r="G509" s="36" t="str">
        <f t="shared" si="1"/>
        <v/>
      </c>
      <c r="H509" s="37" t="str">
        <f t="shared" si="2"/>
        <v/>
      </c>
      <c r="I509" s="37" t="str">
        <f t="shared" si="3"/>
        <v/>
      </c>
      <c r="J509" s="37" t="str">
        <f t="shared" si="4"/>
        <v/>
      </c>
      <c r="K509" s="32" t="str">
        <f t="shared" si="5"/>
        <v/>
      </c>
      <c r="L509" s="32" t="str">
        <f t="shared" si="6"/>
        <v/>
      </c>
      <c r="M509" s="32" t="str">
        <f t="shared" si="7"/>
        <v/>
      </c>
      <c r="N509" s="44" t="str">
        <f t="shared" si="8"/>
        <v/>
      </c>
      <c r="O509" s="45" t="str">
        <f t="shared" si="9"/>
        <v/>
      </c>
      <c r="P509" s="5"/>
      <c r="Q509" s="5"/>
      <c r="R509" s="5"/>
    </row>
    <row r="510" ht="15.75" customHeight="1">
      <c r="A510" s="46"/>
      <c r="B510" s="47"/>
      <c r="C510" s="47"/>
      <c r="D510" s="47"/>
      <c r="E510" s="47"/>
      <c r="F510" s="48"/>
      <c r="G510" s="36" t="str">
        <f t="shared" si="1"/>
        <v/>
      </c>
      <c r="H510" s="37" t="str">
        <f t="shared" si="2"/>
        <v/>
      </c>
      <c r="I510" s="37" t="str">
        <f t="shared" si="3"/>
        <v/>
      </c>
      <c r="J510" s="37" t="str">
        <f t="shared" si="4"/>
        <v/>
      </c>
      <c r="K510" s="32" t="str">
        <f t="shared" si="5"/>
        <v/>
      </c>
      <c r="L510" s="32" t="str">
        <f t="shared" si="6"/>
        <v/>
      </c>
      <c r="M510" s="32" t="str">
        <f t="shared" si="7"/>
        <v/>
      </c>
      <c r="N510" s="44" t="str">
        <f t="shared" si="8"/>
        <v/>
      </c>
      <c r="O510" s="45" t="str">
        <f t="shared" si="9"/>
        <v/>
      </c>
      <c r="P510" s="5"/>
      <c r="Q510" s="5"/>
      <c r="R510" s="5"/>
    </row>
    <row r="511" ht="15.75" customHeight="1">
      <c r="A511" s="46"/>
      <c r="B511" s="47"/>
      <c r="C511" s="47"/>
      <c r="D511" s="47"/>
      <c r="E511" s="47"/>
      <c r="F511" s="48"/>
      <c r="G511" s="36" t="str">
        <f t="shared" si="1"/>
        <v/>
      </c>
      <c r="H511" s="37" t="str">
        <f t="shared" si="2"/>
        <v/>
      </c>
      <c r="I511" s="37" t="str">
        <f t="shared" si="3"/>
        <v/>
      </c>
      <c r="J511" s="37" t="str">
        <f t="shared" si="4"/>
        <v/>
      </c>
      <c r="K511" s="32" t="str">
        <f t="shared" si="5"/>
        <v/>
      </c>
      <c r="L511" s="32" t="str">
        <f t="shared" si="6"/>
        <v/>
      </c>
      <c r="M511" s="32" t="str">
        <f t="shared" si="7"/>
        <v/>
      </c>
      <c r="N511" s="44" t="str">
        <f t="shared" si="8"/>
        <v/>
      </c>
      <c r="O511" s="45" t="str">
        <f t="shared" si="9"/>
        <v/>
      </c>
      <c r="P511" s="5"/>
      <c r="Q511" s="5"/>
      <c r="R511" s="5"/>
    </row>
    <row r="512" ht="15.75" customHeight="1">
      <c r="A512" s="46"/>
      <c r="B512" s="47"/>
      <c r="C512" s="47"/>
      <c r="D512" s="47"/>
      <c r="E512" s="47"/>
      <c r="F512" s="48"/>
      <c r="G512" s="36" t="str">
        <f t="shared" si="1"/>
        <v/>
      </c>
      <c r="H512" s="37" t="str">
        <f t="shared" si="2"/>
        <v/>
      </c>
      <c r="I512" s="37" t="str">
        <f t="shared" si="3"/>
        <v/>
      </c>
      <c r="J512" s="37" t="str">
        <f t="shared" si="4"/>
        <v/>
      </c>
      <c r="K512" s="32" t="str">
        <f t="shared" si="5"/>
        <v/>
      </c>
      <c r="L512" s="32" t="str">
        <f t="shared" si="6"/>
        <v/>
      </c>
      <c r="M512" s="32" t="str">
        <f t="shared" si="7"/>
        <v/>
      </c>
      <c r="N512" s="44" t="str">
        <f t="shared" si="8"/>
        <v/>
      </c>
      <c r="O512" s="45" t="str">
        <f t="shared" si="9"/>
        <v/>
      </c>
      <c r="P512" s="5"/>
      <c r="Q512" s="5"/>
      <c r="R512" s="5"/>
    </row>
    <row r="513" ht="15.75" customHeight="1">
      <c r="A513" s="46"/>
      <c r="B513" s="47"/>
      <c r="C513" s="47"/>
      <c r="D513" s="47"/>
      <c r="E513" s="47"/>
      <c r="F513" s="48"/>
      <c r="G513" s="36" t="str">
        <f t="shared" si="1"/>
        <v/>
      </c>
      <c r="H513" s="37" t="str">
        <f t="shared" si="2"/>
        <v/>
      </c>
      <c r="I513" s="37" t="str">
        <f t="shared" si="3"/>
        <v/>
      </c>
      <c r="J513" s="37" t="str">
        <f t="shared" si="4"/>
        <v/>
      </c>
      <c r="K513" s="32" t="str">
        <f t="shared" si="5"/>
        <v/>
      </c>
      <c r="L513" s="32" t="str">
        <f t="shared" si="6"/>
        <v/>
      </c>
      <c r="M513" s="32" t="str">
        <f t="shared" si="7"/>
        <v/>
      </c>
      <c r="N513" s="44" t="str">
        <f t="shared" si="8"/>
        <v/>
      </c>
      <c r="O513" s="45" t="str">
        <f t="shared" si="9"/>
        <v/>
      </c>
      <c r="P513" s="5"/>
      <c r="Q513" s="5"/>
      <c r="R513" s="5"/>
    </row>
    <row r="514" ht="15.75" customHeight="1">
      <c r="A514" s="46"/>
      <c r="B514" s="47"/>
      <c r="C514" s="47"/>
      <c r="D514" s="47"/>
      <c r="E514" s="47"/>
      <c r="F514" s="48"/>
      <c r="G514" s="36" t="str">
        <f t="shared" si="1"/>
        <v/>
      </c>
      <c r="H514" s="37" t="str">
        <f t="shared" si="2"/>
        <v/>
      </c>
      <c r="I514" s="37" t="str">
        <f t="shared" si="3"/>
        <v/>
      </c>
      <c r="J514" s="37" t="str">
        <f t="shared" si="4"/>
        <v/>
      </c>
      <c r="K514" s="32" t="str">
        <f t="shared" si="5"/>
        <v/>
      </c>
      <c r="L514" s="32" t="str">
        <f t="shared" si="6"/>
        <v/>
      </c>
      <c r="M514" s="32" t="str">
        <f t="shared" si="7"/>
        <v/>
      </c>
      <c r="N514" s="44" t="str">
        <f t="shared" si="8"/>
        <v/>
      </c>
      <c r="O514" s="45" t="str">
        <f t="shared" si="9"/>
        <v/>
      </c>
      <c r="P514" s="5"/>
      <c r="Q514" s="5"/>
      <c r="R514" s="5"/>
    </row>
    <row r="515" ht="15.75" customHeight="1">
      <c r="A515" s="46"/>
      <c r="B515" s="47"/>
      <c r="C515" s="47"/>
      <c r="D515" s="47"/>
      <c r="E515" s="47"/>
      <c r="F515" s="48"/>
      <c r="G515" s="36" t="str">
        <f t="shared" si="1"/>
        <v/>
      </c>
      <c r="H515" s="37" t="str">
        <f t="shared" si="2"/>
        <v/>
      </c>
      <c r="I515" s="37" t="str">
        <f t="shared" si="3"/>
        <v/>
      </c>
      <c r="J515" s="37" t="str">
        <f t="shared" si="4"/>
        <v/>
      </c>
      <c r="K515" s="32" t="str">
        <f t="shared" si="5"/>
        <v/>
      </c>
      <c r="L515" s="32" t="str">
        <f t="shared" si="6"/>
        <v/>
      </c>
      <c r="M515" s="32" t="str">
        <f t="shared" si="7"/>
        <v/>
      </c>
      <c r="N515" s="44" t="str">
        <f t="shared" si="8"/>
        <v/>
      </c>
      <c r="O515" s="45" t="str">
        <f t="shared" si="9"/>
        <v/>
      </c>
      <c r="P515" s="5"/>
      <c r="Q515" s="5"/>
      <c r="R515" s="5"/>
    </row>
    <row r="516" ht="15.75" customHeight="1">
      <c r="A516" s="46"/>
      <c r="B516" s="47"/>
      <c r="C516" s="47"/>
      <c r="D516" s="47"/>
      <c r="E516" s="47"/>
      <c r="F516" s="48"/>
      <c r="G516" s="36" t="str">
        <f t="shared" si="1"/>
        <v/>
      </c>
      <c r="H516" s="37" t="str">
        <f t="shared" si="2"/>
        <v/>
      </c>
      <c r="I516" s="37" t="str">
        <f t="shared" si="3"/>
        <v/>
      </c>
      <c r="J516" s="37" t="str">
        <f t="shared" si="4"/>
        <v/>
      </c>
      <c r="K516" s="32" t="str">
        <f t="shared" si="5"/>
        <v/>
      </c>
      <c r="L516" s="32" t="str">
        <f t="shared" si="6"/>
        <v/>
      </c>
      <c r="M516" s="32" t="str">
        <f t="shared" si="7"/>
        <v/>
      </c>
      <c r="N516" s="44" t="str">
        <f t="shared" si="8"/>
        <v/>
      </c>
      <c r="O516" s="45" t="str">
        <f t="shared" si="9"/>
        <v/>
      </c>
      <c r="P516" s="5"/>
      <c r="Q516" s="5"/>
      <c r="R516" s="5"/>
    </row>
    <row r="517" ht="15.75" customHeight="1">
      <c r="A517" s="46"/>
      <c r="B517" s="47"/>
      <c r="C517" s="47"/>
      <c r="D517" s="47"/>
      <c r="E517" s="47"/>
      <c r="F517" s="48"/>
      <c r="G517" s="36" t="str">
        <f t="shared" si="1"/>
        <v/>
      </c>
      <c r="H517" s="37" t="str">
        <f t="shared" si="2"/>
        <v/>
      </c>
      <c r="I517" s="37" t="str">
        <f t="shared" si="3"/>
        <v/>
      </c>
      <c r="J517" s="37" t="str">
        <f t="shared" si="4"/>
        <v/>
      </c>
      <c r="K517" s="32" t="str">
        <f t="shared" si="5"/>
        <v/>
      </c>
      <c r="L517" s="32" t="str">
        <f t="shared" si="6"/>
        <v/>
      </c>
      <c r="M517" s="32" t="str">
        <f t="shared" si="7"/>
        <v/>
      </c>
      <c r="N517" s="44" t="str">
        <f t="shared" si="8"/>
        <v/>
      </c>
      <c r="O517" s="45" t="str">
        <f t="shared" si="9"/>
        <v/>
      </c>
      <c r="P517" s="5"/>
      <c r="Q517" s="5"/>
      <c r="R517" s="5"/>
    </row>
    <row r="518" ht="15.75" customHeight="1">
      <c r="A518" s="46"/>
      <c r="B518" s="47"/>
      <c r="C518" s="47"/>
      <c r="D518" s="47"/>
      <c r="E518" s="47"/>
      <c r="F518" s="48"/>
      <c r="G518" s="36" t="str">
        <f t="shared" si="1"/>
        <v/>
      </c>
      <c r="H518" s="37" t="str">
        <f t="shared" si="2"/>
        <v/>
      </c>
      <c r="I518" s="37" t="str">
        <f t="shared" si="3"/>
        <v/>
      </c>
      <c r="J518" s="37" t="str">
        <f t="shared" si="4"/>
        <v/>
      </c>
      <c r="K518" s="32" t="str">
        <f t="shared" si="5"/>
        <v/>
      </c>
      <c r="L518" s="32" t="str">
        <f t="shared" si="6"/>
        <v/>
      </c>
      <c r="M518" s="32" t="str">
        <f t="shared" si="7"/>
        <v/>
      </c>
      <c r="N518" s="44" t="str">
        <f t="shared" si="8"/>
        <v/>
      </c>
      <c r="O518" s="45" t="str">
        <f t="shared" si="9"/>
        <v/>
      </c>
      <c r="P518" s="5"/>
      <c r="Q518" s="5"/>
      <c r="R518" s="5"/>
    </row>
    <row r="519" ht="15.75" customHeight="1">
      <c r="A519" s="46"/>
      <c r="B519" s="47"/>
      <c r="C519" s="47"/>
      <c r="D519" s="47"/>
      <c r="E519" s="47"/>
      <c r="F519" s="48"/>
      <c r="G519" s="36" t="str">
        <f t="shared" si="1"/>
        <v/>
      </c>
      <c r="H519" s="37" t="str">
        <f t="shared" si="2"/>
        <v/>
      </c>
      <c r="I519" s="37" t="str">
        <f t="shared" si="3"/>
        <v/>
      </c>
      <c r="J519" s="37" t="str">
        <f t="shared" si="4"/>
        <v/>
      </c>
      <c r="K519" s="32" t="str">
        <f t="shared" si="5"/>
        <v/>
      </c>
      <c r="L519" s="32" t="str">
        <f t="shared" si="6"/>
        <v/>
      </c>
      <c r="M519" s="32" t="str">
        <f t="shared" si="7"/>
        <v/>
      </c>
      <c r="N519" s="44" t="str">
        <f t="shared" si="8"/>
        <v/>
      </c>
      <c r="O519" s="45" t="str">
        <f t="shared" si="9"/>
        <v/>
      </c>
      <c r="P519" s="5"/>
      <c r="Q519" s="5"/>
      <c r="R519" s="5"/>
    </row>
    <row r="520" ht="15.75" customHeight="1">
      <c r="A520" s="46"/>
      <c r="B520" s="47"/>
      <c r="C520" s="47"/>
      <c r="D520" s="47"/>
      <c r="E520" s="47"/>
      <c r="F520" s="48"/>
      <c r="G520" s="36" t="str">
        <f t="shared" si="1"/>
        <v/>
      </c>
      <c r="H520" s="37" t="str">
        <f t="shared" si="2"/>
        <v/>
      </c>
      <c r="I520" s="37" t="str">
        <f t="shared" si="3"/>
        <v/>
      </c>
      <c r="J520" s="37" t="str">
        <f t="shared" si="4"/>
        <v/>
      </c>
      <c r="K520" s="32" t="str">
        <f t="shared" si="5"/>
        <v/>
      </c>
      <c r="L520" s="32" t="str">
        <f t="shared" si="6"/>
        <v/>
      </c>
      <c r="M520" s="32" t="str">
        <f t="shared" si="7"/>
        <v/>
      </c>
      <c r="N520" s="44" t="str">
        <f t="shared" si="8"/>
        <v/>
      </c>
      <c r="O520" s="45" t="str">
        <f t="shared" si="9"/>
        <v/>
      </c>
      <c r="P520" s="5"/>
      <c r="Q520" s="5"/>
      <c r="R520" s="5"/>
    </row>
    <row r="521" ht="15.75" customHeight="1">
      <c r="A521" s="46"/>
      <c r="B521" s="47"/>
      <c r="C521" s="47"/>
      <c r="D521" s="47"/>
      <c r="E521" s="47"/>
      <c r="F521" s="48"/>
      <c r="G521" s="36" t="str">
        <f t="shared" si="1"/>
        <v/>
      </c>
      <c r="H521" s="37" t="str">
        <f t="shared" si="2"/>
        <v/>
      </c>
      <c r="I521" s="37" t="str">
        <f t="shared" si="3"/>
        <v/>
      </c>
      <c r="J521" s="37" t="str">
        <f t="shared" si="4"/>
        <v/>
      </c>
      <c r="K521" s="32" t="str">
        <f t="shared" si="5"/>
        <v/>
      </c>
      <c r="L521" s="32" t="str">
        <f t="shared" si="6"/>
        <v/>
      </c>
      <c r="M521" s="32" t="str">
        <f t="shared" si="7"/>
        <v/>
      </c>
      <c r="N521" s="44" t="str">
        <f t="shared" si="8"/>
        <v/>
      </c>
      <c r="O521" s="45" t="str">
        <f t="shared" si="9"/>
        <v/>
      </c>
      <c r="P521" s="5"/>
      <c r="Q521" s="5"/>
      <c r="R521" s="5"/>
    </row>
    <row r="522" ht="15.75" customHeight="1">
      <c r="A522" s="46"/>
      <c r="B522" s="47"/>
      <c r="C522" s="47"/>
      <c r="D522" s="47"/>
      <c r="E522" s="47"/>
      <c r="F522" s="48"/>
      <c r="G522" s="36" t="str">
        <f t="shared" si="1"/>
        <v/>
      </c>
      <c r="H522" s="37" t="str">
        <f t="shared" si="2"/>
        <v/>
      </c>
      <c r="I522" s="37" t="str">
        <f t="shared" si="3"/>
        <v/>
      </c>
      <c r="J522" s="37" t="str">
        <f t="shared" si="4"/>
        <v/>
      </c>
      <c r="K522" s="32" t="str">
        <f t="shared" si="5"/>
        <v/>
      </c>
      <c r="L522" s="32" t="str">
        <f t="shared" si="6"/>
        <v/>
      </c>
      <c r="M522" s="32" t="str">
        <f t="shared" si="7"/>
        <v/>
      </c>
      <c r="N522" s="44" t="str">
        <f t="shared" si="8"/>
        <v/>
      </c>
      <c r="O522" s="45" t="str">
        <f t="shared" si="9"/>
        <v/>
      </c>
      <c r="P522" s="5"/>
      <c r="Q522" s="5"/>
      <c r="R522" s="5"/>
    </row>
    <row r="523" ht="15.75" customHeight="1">
      <c r="A523" s="46"/>
      <c r="B523" s="47"/>
      <c r="C523" s="47"/>
      <c r="D523" s="47"/>
      <c r="E523" s="47"/>
      <c r="F523" s="48"/>
      <c r="G523" s="36" t="str">
        <f t="shared" si="1"/>
        <v/>
      </c>
      <c r="H523" s="37" t="str">
        <f t="shared" si="2"/>
        <v/>
      </c>
      <c r="I523" s="37" t="str">
        <f t="shared" si="3"/>
        <v/>
      </c>
      <c r="J523" s="37" t="str">
        <f t="shared" si="4"/>
        <v/>
      </c>
      <c r="K523" s="32" t="str">
        <f t="shared" si="5"/>
        <v/>
      </c>
      <c r="L523" s="32" t="str">
        <f t="shared" si="6"/>
        <v/>
      </c>
      <c r="M523" s="32" t="str">
        <f t="shared" si="7"/>
        <v/>
      </c>
      <c r="N523" s="44" t="str">
        <f t="shared" si="8"/>
        <v/>
      </c>
      <c r="O523" s="45" t="str">
        <f t="shared" si="9"/>
        <v/>
      </c>
      <c r="P523" s="5"/>
      <c r="Q523" s="5"/>
      <c r="R523" s="5"/>
    </row>
    <row r="524" ht="15.75" customHeight="1">
      <c r="A524" s="46"/>
      <c r="B524" s="47"/>
      <c r="C524" s="47"/>
      <c r="D524" s="47"/>
      <c r="E524" s="47"/>
      <c r="F524" s="48"/>
      <c r="G524" s="36" t="str">
        <f t="shared" si="1"/>
        <v/>
      </c>
      <c r="H524" s="37" t="str">
        <f t="shared" si="2"/>
        <v/>
      </c>
      <c r="I524" s="37" t="str">
        <f t="shared" si="3"/>
        <v/>
      </c>
      <c r="J524" s="37" t="str">
        <f t="shared" si="4"/>
        <v/>
      </c>
      <c r="K524" s="32" t="str">
        <f t="shared" si="5"/>
        <v/>
      </c>
      <c r="L524" s="32" t="str">
        <f t="shared" si="6"/>
        <v/>
      </c>
      <c r="M524" s="32" t="str">
        <f t="shared" si="7"/>
        <v/>
      </c>
      <c r="N524" s="44" t="str">
        <f t="shared" si="8"/>
        <v/>
      </c>
      <c r="O524" s="45" t="str">
        <f t="shared" si="9"/>
        <v/>
      </c>
      <c r="P524" s="5"/>
      <c r="Q524" s="5"/>
      <c r="R524" s="5"/>
    </row>
    <row r="525" ht="15.75" customHeight="1">
      <c r="A525" s="46"/>
      <c r="B525" s="47"/>
      <c r="C525" s="47"/>
      <c r="D525" s="47"/>
      <c r="E525" s="47"/>
      <c r="F525" s="48"/>
      <c r="G525" s="36" t="str">
        <f t="shared" si="1"/>
        <v/>
      </c>
      <c r="H525" s="37" t="str">
        <f t="shared" si="2"/>
        <v/>
      </c>
      <c r="I525" s="37" t="str">
        <f t="shared" si="3"/>
        <v/>
      </c>
      <c r="J525" s="37" t="str">
        <f t="shared" si="4"/>
        <v/>
      </c>
      <c r="K525" s="32" t="str">
        <f t="shared" si="5"/>
        <v/>
      </c>
      <c r="L525" s="32" t="str">
        <f t="shared" si="6"/>
        <v/>
      </c>
      <c r="M525" s="32" t="str">
        <f t="shared" si="7"/>
        <v/>
      </c>
      <c r="N525" s="44" t="str">
        <f t="shared" si="8"/>
        <v/>
      </c>
      <c r="O525" s="45" t="str">
        <f t="shared" si="9"/>
        <v/>
      </c>
      <c r="P525" s="5"/>
      <c r="Q525" s="5"/>
      <c r="R525" s="5"/>
    </row>
    <row r="526" ht="15.75" customHeight="1">
      <c r="A526" s="46"/>
      <c r="B526" s="47"/>
      <c r="C526" s="47"/>
      <c r="D526" s="47"/>
      <c r="E526" s="47"/>
      <c r="F526" s="48"/>
      <c r="G526" s="36" t="str">
        <f t="shared" si="1"/>
        <v/>
      </c>
      <c r="H526" s="37" t="str">
        <f t="shared" si="2"/>
        <v/>
      </c>
      <c r="I526" s="37" t="str">
        <f t="shared" si="3"/>
        <v/>
      </c>
      <c r="J526" s="37" t="str">
        <f t="shared" si="4"/>
        <v/>
      </c>
      <c r="K526" s="32" t="str">
        <f t="shared" si="5"/>
        <v/>
      </c>
      <c r="L526" s="32" t="str">
        <f t="shared" si="6"/>
        <v/>
      </c>
      <c r="M526" s="32" t="str">
        <f t="shared" si="7"/>
        <v/>
      </c>
      <c r="N526" s="44" t="str">
        <f t="shared" si="8"/>
        <v/>
      </c>
      <c r="O526" s="45" t="str">
        <f t="shared" si="9"/>
        <v/>
      </c>
      <c r="P526" s="5"/>
      <c r="Q526" s="5"/>
      <c r="R526" s="5"/>
    </row>
    <row r="527" ht="15.75" customHeight="1">
      <c r="A527" s="46"/>
      <c r="B527" s="47"/>
      <c r="C527" s="47"/>
      <c r="D527" s="47"/>
      <c r="E527" s="47"/>
      <c r="F527" s="48"/>
      <c r="G527" s="36" t="str">
        <f t="shared" si="1"/>
        <v/>
      </c>
      <c r="H527" s="37" t="str">
        <f t="shared" si="2"/>
        <v/>
      </c>
      <c r="I527" s="37" t="str">
        <f t="shared" si="3"/>
        <v/>
      </c>
      <c r="J527" s="37" t="str">
        <f t="shared" si="4"/>
        <v/>
      </c>
      <c r="K527" s="32" t="str">
        <f t="shared" si="5"/>
        <v/>
      </c>
      <c r="L527" s="32" t="str">
        <f t="shared" si="6"/>
        <v/>
      </c>
      <c r="M527" s="32" t="str">
        <f t="shared" si="7"/>
        <v/>
      </c>
      <c r="N527" s="44" t="str">
        <f t="shared" si="8"/>
        <v/>
      </c>
      <c r="O527" s="45" t="str">
        <f t="shared" si="9"/>
        <v/>
      </c>
      <c r="P527" s="5"/>
      <c r="Q527" s="5"/>
      <c r="R527" s="5"/>
    </row>
    <row r="528" ht="15.75" customHeight="1">
      <c r="A528" s="46"/>
      <c r="B528" s="47"/>
      <c r="C528" s="47"/>
      <c r="D528" s="47"/>
      <c r="E528" s="47"/>
      <c r="F528" s="48"/>
      <c r="G528" s="36" t="str">
        <f t="shared" si="1"/>
        <v/>
      </c>
      <c r="H528" s="37" t="str">
        <f t="shared" si="2"/>
        <v/>
      </c>
      <c r="I528" s="37" t="str">
        <f t="shared" si="3"/>
        <v/>
      </c>
      <c r="J528" s="37" t="str">
        <f t="shared" si="4"/>
        <v/>
      </c>
      <c r="K528" s="32" t="str">
        <f t="shared" si="5"/>
        <v/>
      </c>
      <c r="L528" s="32" t="str">
        <f t="shared" si="6"/>
        <v/>
      </c>
      <c r="M528" s="32" t="str">
        <f t="shared" si="7"/>
        <v/>
      </c>
      <c r="N528" s="44" t="str">
        <f t="shared" si="8"/>
        <v/>
      </c>
      <c r="O528" s="45" t="str">
        <f t="shared" si="9"/>
        <v/>
      </c>
      <c r="P528" s="5"/>
      <c r="Q528" s="5"/>
      <c r="R528" s="5"/>
    </row>
    <row r="529" ht="15.75" customHeight="1">
      <c r="A529" s="46"/>
      <c r="B529" s="47"/>
      <c r="C529" s="47"/>
      <c r="D529" s="47"/>
      <c r="E529" s="47"/>
      <c r="F529" s="48"/>
      <c r="G529" s="36" t="str">
        <f t="shared" si="1"/>
        <v/>
      </c>
      <c r="H529" s="37" t="str">
        <f t="shared" si="2"/>
        <v/>
      </c>
      <c r="I529" s="37" t="str">
        <f t="shared" si="3"/>
        <v/>
      </c>
      <c r="J529" s="37" t="str">
        <f t="shared" si="4"/>
        <v/>
      </c>
      <c r="K529" s="32" t="str">
        <f t="shared" si="5"/>
        <v/>
      </c>
      <c r="L529" s="32" t="str">
        <f t="shared" si="6"/>
        <v/>
      </c>
      <c r="M529" s="32" t="str">
        <f t="shared" si="7"/>
        <v/>
      </c>
      <c r="N529" s="44" t="str">
        <f t="shared" si="8"/>
        <v/>
      </c>
      <c r="O529" s="45" t="str">
        <f t="shared" si="9"/>
        <v/>
      </c>
      <c r="P529" s="5"/>
      <c r="Q529" s="5"/>
      <c r="R529" s="5"/>
    </row>
    <row r="530" ht="15.75" customHeight="1">
      <c r="A530" s="46"/>
      <c r="B530" s="47"/>
      <c r="C530" s="47"/>
      <c r="D530" s="47"/>
      <c r="E530" s="47"/>
      <c r="F530" s="48"/>
      <c r="G530" s="36" t="str">
        <f t="shared" si="1"/>
        <v/>
      </c>
      <c r="H530" s="37" t="str">
        <f t="shared" si="2"/>
        <v/>
      </c>
      <c r="I530" s="37" t="str">
        <f t="shared" si="3"/>
        <v/>
      </c>
      <c r="J530" s="37" t="str">
        <f t="shared" si="4"/>
        <v/>
      </c>
      <c r="K530" s="32" t="str">
        <f t="shared" si="5"/>
        <v/>
      </c>
      <c r="L530" s="32" t="str">
        <f t="shared" si="6"/>
        <v/>
      </c>
      <c r="M530" s="32" t="str">
        <f t="shared" si="7"/>
        <v/>
      </c>
      <c r="N530" s="44" t="str">
        <f t="shared" si="8"/>
        <v/>
      </c>
      <c r="O530" s="45" t="str">
        <f t="shared" si="9"/>
        <v/>
      </c>
      <c r="P530" s="5"/>
      <c r="Q530" s="5"/>
      <c r="R530" s="5"/>
    </row>
    <row r="531" ht="15.75" customHeight="1">
      <c r="A531" s="46"/>
      <c r="B531" s="47"/>
      <c r="C531" s="47"/>
      <c r="D531" s="47"/>
      <c r="E531" s="47"/>
      <c r="F531" s="48"/>
      <c r="G531" s="36" t="str">
        <f t="shared" si="1"/>
        <v/>
      </c>
      <c r="H531" s="37" t="str">
        <f t="shared" si="2"/>
        <v/>
      </c>
      <c r="I531" s="37" t="str">
        <f t="shared" si="3"/>
        <v/>
      </c>
      <c r="J531" s="37" t="str">
        <f t="shared" si="4"/>
        <v/>
      </c>
      <c r="K531" s="32" t="str">
        <f t="shared" si="5"/>
        <v/>
      </c>
      <c r="L531" s="32" t="str">
        <f t="shared" si="6"/>
        <v/>
      </c>
      <c r="M531" s="32" t="str">
        <f t="shared" si="7"/>
        <v/>
      </c>
      <c r="N531" s="44" t="str">
        <f t="shared" si="8"/>
        <v/>
      </c>
      <c r="O531" s="45" t="str">
        <f t="shared" si="9"/>
        <v/>
      </c>
      <c r="P531" s="5"/>
      <c r="Q531" s="5"/>
      <c r="R531" s="5"/>
    </row>
    <row r="532" ht="15.75" customHeight="1">
      <c r="A532" s="46"/>
      <c r="B532" s="47"/>
      <c r="C532" s="47"/>
      <c r="D532" s="47"/>
      <c r="E532" s="47"/>
      <c r="F532" s="48"/>
      <c r="G532" s="36" t="str">
        <f t="shared" si="1"/>
        <v/>
      </c>
      <c r="H532" s="37" t="str">
        <f t="shared" si="2"/>
        <v/>
      </c>
      <c r="I532" s="37" t="str">
        <f t="shared" si="3"/>
        <v/>
      </c>
      <c r="J532" s="37" t="str">
        <f t="shared" si="4"/>
        <v/>
      </c>
      <c r="K532" s="32" t="str">
        <f t="shared" si="5"/>
        <v/>
      </c>
      <c r="L532" s="32" t="str">
        <f t="shared" si="6"/>
        <v/>
      </c>
      <c r="M532" s="32" t="str">
        <f t="shared" si="7"/>
        <v/>
      </c>
      <c r="N532" s="44" t="str">
        <f t="shared" si="8"/>
        <v/>
      </c>
      <c r="O532" s="45" t="str">
        <f t="shared" si="9"/>
        <v/>
      </c>
      <c r="P532" s="5"/>
      <c r="Q532" s="5"/>
      <c r="R532" s="5"/>
    </row>
    <row r="533" ht="15.75" customHeight="1">
      <c r="A533" s="46"/>
      <c r="B533" s="47"/>
      <c r="C533" s="47"/>
      <c r="D533" s="47"/>
      <c r="E533" s="47"/>
      <c r="F533" s="48"/>
      <c r="G533" s="36" t="str">
        <f t="shared" si="1"/>
        <v/>
      </c>
      <c r="H533" s="37" t="str">
        <f t="shared" si="2"/>
        <v/>
      </c>
      <c r="I533" s="37" t="str">
        <f t="shared" si="3"/>
        <v/>
      </c>
      <c r="J533" s="37" t="str">
        <f t="shared" si="4"/>
        <v/>
      </c>
      <c r="K533" s="32" t="str">
        <f t="shared" si="5"/>
        <v/>
      </c>
      <c r="L533" s="32" t="str">
        <f t="shared" si="6"/>
        <v/>
      </c>
      <c r="M533" s="32" t="str">
        <f t="shared" si="7"/>
        <v/>
      </c>
      <c r="N533" s="44" t="str">
        <f t="shared" si="8"/>
        <v/>
      </c>
      <c r="O533" s="45" t="str">
        <f t="shared" si="9"/>
        <v/>
      </c>
      <c r="P533" s="5"/>
      <c r="Q533" s="5"/>
      <c r="R533" s="5"/>
    </row>
    <row r="534" ht="15.75" customHeight="1">
      <c r="A534" s="46"/>
      <c r="B534" s="47"/>
      <c r="C534" s="47"/>
      <c r="D534" s="47"/>
      <c r="E534" s="47"/>
      <c r="F534" s="48"/>
      <c r="G534" s="36" t="str">
        <f t="shared" si="1"/>
        <v/>
      </c>
      <c r="H534" s="37" t="str">
        <f t="shared" si="2"/>
        <v/>
      </c>
      <c r="I534" s="37" t="str">
        <f t="shared" si="3"/>
        <v/>
      </c>
      <c r="J534" s="37" t="str">
        <f t="shared" si="4"/>
        <v/>
      </c>
      <c r="K534" s="32" t="str">
        <f t="shared" si="5"/>
        <v/>
      </c>
      <c r="L534" s="32" t="str">
        <f t="shared" si="6"/>
        <v/>
      </c>
      <c r="M534" s="32" t="str">
        <f t="shared" si="7"/>
        <v/>
      </c>
      <c r="N534" s="44" t="str">
        <f t="shared" si="8"/>
        <v/>
      </c>
      <c r="O534" s="45" t="str">
        <f t="shared" si="9"/>
        <v/>
      </c>
      <c r="P534" s="5"/>
      <c r="Q534" s="5"/>
      <c r="R534" s="5"/>
    </row>
    <row r="535" ht="15.75" customHeight="1">
      <c r="A535" s="46"/>
      <c r="B535" s="47"/>
      <c r="C535" s="47"/>
      <c r="D535" s="47"/>
      <c r="E535" s="47"/>
      <c r="F535" s="48"/>
      <c r="G535" s="36" t="str">
        <f t="shared" si="1"/>
        <v/>
      </c>
      <c r="H535" s="37" t="str">
        <f t="shared" si="2"/>
        <v/>
      </c>
      <c r="I535" s="37" t="str">
        <f t="shared" si="3"/>
        <v/>
      </c>
      <c r="J535" s="37" t="str">
        <f t="shared" si="4"/>
        <v/>
      </c>
      <c r="K535" s="32" t="str">
        <f t="shared" si="5"/>
        <v/>
      </c>
      <c r="L535" s="32" t="str">
        <f t="shared" si="6"/>
        <v/>
      </c>
      <c r="M535" s="32" t="str">
        <f t="shared" si="7"/>
        <v/>
      </c>
      <c r="N535" s="44" t="str">
        <f t="shared" si="8"/>
        <v/>
      </c>
      <c r="O535" s="45" t="str">
        <f t="shared" si="9"/>
        <v/>
      </c>
      <c r="P535" s="5"/>
      <c r="Q535" s="5"/>
      <c r="R535" s="5"/>
    </row>
    <row r="536" ht="15.75" customHeight="1">
      <c r="A536" s="46"/>
      <c r="B536" s="47"/>
      <c r="C536" s="47"/>
      <c r="D536" s="47"/>
      <c r="E536" s="47"/>
      <c r="F536" s="48"/>
      <c r="G536" s="36" t="str">
        <f t="shared" si="1"/>
        <v/>
      </c>
      <c r="H536" s="37" t="str">
        <f t="shared" si="2"/>
        <v/>
      </c>
      <c r="I536" s="37" t="str">
        <f t="shared" si="3"/>
        <v/>
      </c>
      <c r="J536" s="37" t="str">
        <f t="shared" si="4"/>
        <v/>
      </c>
      <c r="K536" s="32" t="str">
        <f t="shared" si="5"/>
        <v/>
      </c>
      <c r="L536" s="32" t="str">
        <f t="shared" si="6"/>
        <v/>
      </c>
      <c r="M536" s="32" t="str">
        <f t="shared" si="7"/>
        <v/>
      </c>
      <c r="N536" s="44" t="str">
        <f t="shared" si="8"/>
        <v/>
      </c>
      <c r="O536" s="45" t="str">
        <f t="shared" si="9"/>
        <v/>
      </c>
      <c r="P536" s="5"/>
      <c r="Q536" s="5"/>
      <c r="R536" s="5"/>
    </row>
    <row r="537" ht="15.75" customHeight="1">
      <c r="A537" s="46"/>
      <c r="B537" s="47"/>
      <c r="C537" s="47"/>
      <c r="D537" s="47"/>
      <c r="E537" s="47"/>
      <c r="F537" s="48"/>
      <c r="G537" s="36" t="str">
        <f t="shared" si="1"/>
        <v/>
      </c>
      <c r="H537" s="37" t="str">
        <f t="shared" si="2"/>
        <v/>
      </c>
      <c r="I537" s="37" t="str">
        <f t="shared" si="3"/>
        <v/>
      </c>
      <c r="J537" s="37" t="str">
        <f t="shared" si="4"/>
        <v/>
      </c>
      <c r="K537" s="32" t="str">
        <f t="shared" si="5"/>
        <v/>
      </c>
      <c r="L537" s="32" t="str">
        <f t="shared" si="6"/>
        <v/>
      </c>
      <c r="M537" s="32" t="str">
        <f t="shared" si="7"/>
        <v/>
      </c>
      <c r="N537" s="44" t="str">
        <f t="shared" si="8"/>
        <v/>
      </c>
      <c r="O537" s="45" t="str">
        <f t="shared" si="9"/>
        <v/>
      </c>
      <c r="P537" s="5"/>
      <c r="Q537" s="5"/>
      <c r="R537" s="5"/>
    </row>
    <row r="538" ht="15.75" customHeight="1">
      <c r="A538" s="46"/>
      <c r="B538" s="47"/>
      <c r="C538" s="47"/>
      <c r="D538" s="47"/>
      <c r="E538" s="47"/>
      <c r="F538" s="48"/>
      <c r="G538" s="36" t="str">
        <f t="shared" si="1"/>
        <v/>
      </c>
      <c r="H538" s="37" t="str">
        <f t="shared" si="2"/>
        <v/>
      </c>
      <c r="I538" s="37" t="str">
        <f t="shared" si="3"/>
        <v/>
      </c>
      <c r="J538" s="37" t="str">
        <f t="shared" si="4"/>
        <v/>
      </c>
      <c r="K538" s="32" t="str">
        <f t="shared" si="5"/>
        <v/>
      </c>
      <c r="L538" s="32" t="str">
        <f t="shared" si="6"/>
        <v/>
      </c>
      <c r="M538" s="32" t="str">
        <f t="shared" si="7"/>
        <v/>
      </c>
      <c r="N538" s="44" t="str">
        <f t="shared" si="8"/>
        <v/>
      </c>
      <c r="O538" s="45" t="str">
        <f t="shared" si="9"/>
        <v/>
      </c>
      <c r="P538" s="5"/>
      <c r="Q538" s="5"/>
      <c r="R538" s="5"/>
    </row>
    <row r="539" ht="15.75" customHeight="1">
      <c r="A539" s="46"/>
      <c r="B539" s="47"/>
      <c r="C539" s="47"/>
      <c r="D539" s="47"/>
      <c r="E539" s="47"/>
      <c r="F539" s="48"/>
      <c r="G539" s="36" t="str">
        <f t="shared" si="1"/>
        <v/>
      </c>
      <c r="H539" s="37" t="str">
        <f t="shared" si="2"/>
        <v/>
      </c>
      <c r="I539" s="37" t="str">
        <f t="shared" si="3"/>
        <v/>
      </c>
      <c r="J539" s="37" t="str">
        <f t="shared" si="4"/>
        <v/>
      </c>
      <c r="K539" s="32" t="str">
        <f t="shared" si="5"/>
        <v/>
      </c>
      <c r="L539" s="32" t="str">
        <f t="shared" si="6"/>
        <v/>
      </c>
      <c r="M539" s="32" t="str">
        <f t="shared" si="7"/>
        <v/>
      </c>
      <c r="N539" s="44" t="str">
        <f t="shared" si="8"/>
        <v/>
      </c>
      <c r="O539" s="45" t="str">
        <f t="shared" si="9"/>
        <v/>
      </c>
      <c r="P539" s="5"/>
      <c r="Q539" s="5"/>
      <c r="R539" s="5"/>
    </row>
    <row r="540" ht="15.75" customHeight="1">
      <c r="A540" s="46"/>
      <c r="B540" s="47"/>
      <c r="C540" s="47"/>
      <c r="D540" s="47"/>
      <c r="E540" s="47"/>
      <c r="F540" s="48"/>
      <c r="G540" s="36" t="str">
        <f t="shared" si="1"/>
        <v/>
      </c>
      <c r="H540" s="37" t="str">
        <f t="shared" si="2"/>
        <v/>
      </c>
      <c r="I540" s="37" t="str">
        <f t="shared" si="3"/>
        <v/>
      </c>
      <c r="J540" s="37" t="str">
        <f t="shared" si="4"/>
        <v/>
      </c>
      <c r="K540" s="32" t="str">
        <f t="shared" si="5"/>
        <v/>
      </c>
      <c r="L540" s="32" t="str">
        <f t="shared" si="6"/>
        <v/>
      </c>
      <c r="M540" s="32" t="str">
        <f t="shared" si="7"/>
        <v/>
      </c>
      <c r="N540" s="44" t="str">
        <f t="shared" si="8"/>
        <v/>
      </c>
      <c r="O540" s="45" t="str">
        <f t="shared" si="9"/>
        <v/>
      </c>
      <c r="P540" s="5"/>
      <c r="Q540" s="5"/>
      <c r="R540" s="5"/>
    </row>
    <row r="541" ht="15.75" customHeight="1">
      <c r="A541" s="46"/>
      <c r="B541" s="47"/>
      <c r="C541" s="47"/>
      <c r="D541" s="47"/>
      <c r="E541" s="47"/>
      <c r="F541" s="48"/>
      <c r="G541" s="36" t="str">
        <f t="shared" si="1"/>
        <v/>
      </c>
      <c r="H541" s="37" t="str">
        <f t="shared" si="2"/>
        <v/>
      </c>
      <c r="I541" s="37" t="str">
        <f t="shared" si="3"/>
        <v/>
      </c>
      <c r="J541" s="37" t="str">
        <f t="shared" si="4"/>
        <v/>
      </c>
      <c r="K541" s="32" t="str">
        <f t="shared" si="5"/>
        <v/>
      </c>
      <c r="L541" s="32" t="str">
        <f t="shared" si="6"/>
        <v/>
      </c>
      <c r="M541" s="32" t="str">
        <f t="shared" si="7"/>
        <v/>
      </c>
      <c r="N541" s="44" t="str">
        <f t="shared" si="8"/>
        <v/>
      </c>
      <c r="O541" s="45" t="str">
        <f t="shared" si="9"/>
        <v/>
      </c>
      <c r="P541" s="5"/>
      <c r="Q541" s="5"/>
      <c r="R541" s="5"/>
    </row>
    <row r="542" ht="15.75" customHeight="1">
      <c r="A542" s="46"/>
      <c r="B542" s="47"/>
      <c r="C542" s="47"/>
      <c r="D542" s="47"/>
      <c r="E542" s="47"/>
      <c r="F542" s="48"/>
      <c r="G542" s="36" t="str">
        <f t="shared" si="1"/>
        <v/>
      </c>
      <c r="H542" s="37" t="str">
        <f t="shared" si="2"/>
        <v/>
      </c>
      <c r="I542" s="37" t="str">
        <f t="shared" si="3"/>
        <v/>
      </c>
      <c r="J542" s="37" t="str">
        <f t="shared" si="4"/>
        <v/>
      </c>
      <c r="K542" s="32" t="str">
        <f t="shared" si="5"/>
        <v/>
      </c>
      <c r="L542" s="32" t="str">
        <f t="shared" si="6"/>
        <v/>
      </c>
      <c r="M542" s="32" t="str">
        <f t="shared" si="7"/>
        <v/>
      </c>
      <c r="N542" s="44" t="str">
        <f t="shared" si="8"/>
        <v/>
      </c>
      <c r="O542" s="45" t="str">
        <f t="shared" si="9"/>
        <v/>
      </c>
      <c r="P542" s="5"/>
      <c r="Q542" s="5"/>
      <c r="R542" s="5"/>
    </row>
    <row r="543" ht="15.75" customHeight="1">
      <c r="A543" s="46"/>
      <c r="B543" s="47"/>
      <c r="C543" s="47"/>
      <c r="D543" s="47"/>
      <c r="E543" s="47"/>
      <c r="F543" s="48"/>
      <c r="G543" s="36" t="str">
        <f t="shared" si="1"/>
        <v/>
      </c>
      <c r="H543" s="37" t="str">
        <f t="shared" si="2"/>
        <v/>
      </c>
      <c r="I543" s="37" t="str">
        <f t="shared" si="3"/>
        <v/>
      </c>
      <c r="J543" s="37" t="str">
        <f t="shared" si="4"/>
        <v/>
      </c>
      <c r="K543" s="32" t="str">
        <f t="shared" si="5"/>
        <v/>
      </c>
      <c r="L543" s="32" t="str">
        <f t="shared" si="6"/>
        <v/>
      </c>
      <c r="M543" s="32" t="str">
        <f t="shared" si="7"/>
        <v/>
      </c>
      <c r="N543" s="44" t="str">
        <f t="shared" si="8"/>
        <v/>
      </c>
      <c r="O543" s="45" t="str">
        <f t="shared" si="9"/>
        <v/>
      </c>
      <c r="P543" s="5"/>
      <c r="Q543" s="5"/>
      <c r="R543" s="5"/>
    </row>
    <row r="544" ht="15.75" customHeight="1">
      <c r="A544" s="46"/>
      <c r="B544" s="47"/>
      <c r="C544" s="47"/>
      <c r="D544" s="47"/>
      <c r="E544" s="47"/>
      <c r="F544" s="48"/>
      <c r="G544" s="36" t="str">
        <f t="shared" si="1"/>
        <v/>
      </c>
      <c r="H544" s="37" t="str">
        <f t="shared" si="2"/>
        <v/>
      </c>
      <c r="I544" s="37" t="str">
        <f t="shared" si="3"/>
        <v/>
      </c>
      <c r="J544" s="37" t="str">
        <f t="shared" si="4"/>
        <v/>
      </c>
      <c r="K544" s="32" t="str">
        <f t="shared" si="5"/>
        <v/>
      </c>
      <c r="L544" s="32" t="str">
        <f t="shared" si="6"/>
        <v/>
      </c>
      <c r="M544" s="32" t="str">
        <f t="shared" si="7"/>
        <v/>
      </c>
      <c r="N544" s="44" t="str">
        <f t="shared" si="8"/>
        <v/>
      </c>
      <c r="O544" s="45" t="str">
        <f t="shared" si="9"/>
        <v/>
      </c>
      <c r="P544" s="5"/>
      <c r="Q544" s="5"/>
      <c r="R544" s="5"/>
    </row>
    <row r="545" ht="15.75" customHeight="1">
      <c r="A545" s="46"/>
      <c r="B545" s="47"/>
      <c r="C545" s="47"/>
      <c r="D545" s="47"/>
      <c r="E545" s="47"/>
      <c r="F545" s="48"/>
      <c r="G545" s="36" t="str">
        <f t="shared" si="1"/>
        <v/>
      </c>
      <c r="H545" s="37" t="str">
        <f t="shared" si="2"/>
        <v/>
      </c>
      <c r="I545" s="37" t="str">
        <f t="shared" si="3"/>
        <v/>
      </c>
      <c r="J545" s="37" t="str">
        <f t="shared" si="4"/>
        <v/>
      </c>
      <c r="K545" s="32" t="str">
        <f t="shared" si="5"/>
        <v/>
      </c>
      <c r="L545" s="32" t="str">
        <f t="shared" si="6"/>
        <v/>
      </c>
      <c r="M545" s="32" t="str">
        <f t="shared" si="7"/>
        <v/>
      </c>
      <c r="N545" s="44" t="str">
        <f t="shared" si="8"/>
        <v/>
      </c>
      <c r="O545" s="45" t="str">
        <f t="shared" si="9"/>
        <v/>
      </c>
      <c r="P545" s="5"/>
      <c r="Q545" s="5"/>
      <c r="R545" s="5"/>
    </row>
    <row r="546" ht="15.75" customHeight="1">
      <c r="A546" s="46"/>
      <c r="B546" s="47"/>
      <c r="C546" s="47"/>
      <c r="D546" s="47"/>
      <c r="E546" s="47"/>
      <c r="F546" s="48"/>
      <c r="G546" s="36" t="str">
        <f t="shared" si="1"/>
        <v/>
      </c>
      <c r="H546" s="37" t="str">
        <f t="shared" si="2"/>
        <v/>
      </c>
      <c r="I546" s="37" t="str">
        <f t="shared" si="3"/>
        <v/>
      </c>
      <c r="J546" s="37" t="str">
        <f t="shared" si="4"/>
        <v/>
      </c>
      <c r="K546" s="32" t="str">
        <f t="shared" si="5"/>
        <v/>
      </c>
      <c r="L546" s="32" t="str">
        <f t="shared" si="6"/>
        <v/>
      </c>
      <c r="M546" s="32" t="str">
        <f t="shared" si="7"/>
        <v/>
      </c>
      <c r="N546" s="44" t="str">
        <f t="shared" si="8"/>
        <v/>
      </c>
      <c r="O546" s="45" t="str">
        <f t="shared" si="9"/>
        <v/>
      </c>
      <c r="P546" s="5"/>
      <c r="Q546" s="5"/>
      <c r="R546" s="5"/>
    </row>
    <row r="547" ht="15.75" customHeight="1">
      <c r="A547" s="46"/>
      <c r="B547" s="47"/>
      <c r="C547" s="47"/>
      <c r="D547" s="47"/>
      <c r="E547" s="47"/>
      <c r="F547" s="48"/>
      <c r="G547" s="36" t="str">
        <f t="shared" si="1"/>
        <v/>
      </c>
      <c r="H547" s="37" t="str">
        <f t="shared" si="2"/>
        <v/>
      </c>
      <c r="I547" s="37" t="str">
        <f t="shared" si="3"/>
        <v/>
      </c>
      <c r="J547" s="37" t="str">
        <f t="shared" si="4"/>
        <v/>
      </c>
      <c r="K547" s="32" t="str">
        <f t="shared" si="5"/>
        <v/>
      </c>
      <c r="L547" s="32" t="str">
        <f t="shared" si="6"/>
        <v/>
      </c>
      <c r="M547" s="32" t="str">
        <f t="shared" si="7"/>
        <v/>
      </c>
      <c r="N547" s="44" t="str">
        <f t="shared" si="8"/>
        <v/>
      </c>
      <c r="O547" s="45" t="str">
        <f t="shared" si="9"/>
        <v/>
      </c>
      <c r="P547" s="5"/>
      <c r="Q547" s="5"/>
      <c r="R547" s="5"/>
    </row>
    <row r="548" ht="15.75" customHeight="1">
      <c r="A548" s="46"/>
      <c r="B548" s="47"/>
      <c r="C548" s="47"/>
      <c r="D548" s="47"/>
      <c r="E548" s="47"/>
      <c r="F548" s="48"/>
      <c r="G548" s="36" t="str">
        <f t="shared" si="1"/>
        <v/>
      </c>
      <c r="H548" s="37" t="str">
        <f t="shared" si="2"/>
        <v/>
      </c>
      <c r="I548" s="37" t="str">
        <f t="shared" si="3"/>
        <v/>
      </c>
      <c r="J548" s="37" t="str">
        <f t="shared" si="4"/>
        <v/>
      </c>
      <c r="K548" s="32" t="str">
        <f t="shared" si="5"/>
        <v/>
      </c>
      <c r="L548" s="32" t="str">
        <f t="shared" si="6"/>
        <v/>
      </c>
      <c r="M548" s="32" t="str">
        <f t="shared" si="7"/>
        <v/>
      </c>
      <c r="N548" s="44" t="str">
        <f t="shared" si="8"/>
        <v/>
      </c>
      <c r="O548" s="45" t="str">
        <f t="shared" si="9"/>
        <v/>
      </c>
      <c r="P548" s="5"/>
      <c r="Q548" s="5"/>
      <c r="R548" s="5"/>
    </row>
    <row r="549" ht="15.75" customHeight="1">
      <c r="A549" s="46"/>
      <c r="B549" s="47"/>
      <c r="C549" s="47"/>
      <c r="D549" s="47"/>
      <c r="E549" s="47"/>
      <c r="F549" s="48"/>
      <c r="G549" s="36" t="str">
        <f t="shared" si="1"/>
        <v/>
      </c>
      <c r="H549" s="37" t="str">
        <f t="shared" si="2"/>
        <v/>
      </c>
      <c r="I549" s="37" t="str">
        <f t="shared" si="3"/>
        <v/>
      </c>
      <c r="J549" s="37" t="str">
        <f t="shared" si="4"/>
        <v/>
      </c>
      <c r="K549" s="32" t="str">
        <f t="shared" si="5"/>
        <v/>
      </c>
      <c r="L549" s="32" t="str">
        <f t="shared" si="6"/>
        <v/>
      </c>
      <c r="M549" s="32" t="str">
        <f t="shared" si="7"/>
        <v/>
      </c>
      <c r="N549" s="44" t="str">
        <f t="shared" si="8"/>
        <v/>
      </c>
      <c r="O549" s="45" t="str">
        <f t="shared" si="9"/>
        <v/>
      </c>
      <c r="P549" s="5"/>
      <c r="Q549" s="5"/>
      <c r="R549" s="5"/>
    </row>
    <row r="550" ht="15.75" customHeight="1">
      <c r="A550" s="46"/>
      <c r="B550" s="47"/>
      <c r="C550" s="47"/>
      <c r="D550" s="47"/>
      <c r="E550" s="47"/>
      <c r="F550" s="48"/>
      <c r="G550" s="36" t="str">
        <f t="shared" si="1"/>
        <v/>
      </c>
      <c r="H550" s="37" t="str">
        <f t="shared" si="2"/>
        <v/>
      </c>
      <c r="I550" s="37" t="str">
        <f t="shared" si="3"/>
        <v/>
      </c>
      <c r="J550" s="37" t="str">
        <f t="shared" si="4"/>
        <v/>
      </c>
      <c r="K550" s="32" t="str">
        <f t="shared" si="5"/>
        <v/>
      </c>
      <c r="L550" s="32" t="str">
        <f t="shared" si="6"/>
        <v/>
      </c>
      <c r="M550" s="32" t="str">
        <f t="shared" si="7"/>
        <v/>
      </c>
      <c r="N550" s="44" t="str">
        <f t="shared" si="8"/>
        <v/>
      </c>
      <c r="O550" s="45" t="str">
        <f t="shared" si="9"/>
        <v/>
      </c>
      <c r="P550" s="5"/>
      <c r="Q550" s="5"/>
      <c r="R550" s="5"/>
    </row>
    <row r="551" ht="15.75" customHeight="1">
      <c r="A551" s="46"/>
      <c r="B551" s="47"/>
      <c r="C551" s="47"/>
      <c r="D551" s="47"/>
      <c r="E551" s="47"/>
      <c r="F551" s="48"/>
      <c r="G551" s="36" t="str">
        <f t="shared" si="1"/>
        <v/>
      </c>
      <c r="H551" s="37" t="str">
        <f t="shared" si="2"/>
        <v/>
      </c>
      <c r="I551" s="37" t="str">
        <f t="shared" si="3"/>
        <v/>
      </c>
      <c r="J551" s="37" t="str">
        <f t="shared" si="4"/>
        <v/>
      </c>
      <c r="K551" s="32" t="str">
        <f t="shared" si="5"/>
        <v/>
      </c>
      <c r="L551" s="32" t="str">
        <f t="shared" si="6"/>
        <v/>
      </c>
      <c r="M551" s="32" t="str">
        <f t="shared" si="7"/>
        <v/>
      </c>
      <c r="N551" s="44" t="str">
        <f t="shared" si="8"/>
        <v/>
      </c>
      <c r="O551" s="45" t="str">
        <f t="shared" si="9"/>
        <v/>
      </c>
      <c r="P551" s="5"/>
      <c r="Q551" s="5"/>
      <c r="R551" s="5"/>
    </row>
    <row r="552" ht="15.75" customHeight="1">
      <c r="A552" s="46"/>
      <c r="B552" s="47"/>
      <c r="C552" s="47"/>
      <c r="D552" s="47"/>
      <c r="E552" s="47"/>
      <c r="F552" s="48"/>
      <c r="G552" s="36" t="str">
        <f t="shared" si="1"/>
        <v/>
      </c>
      <c r="H552" s="37" t="str">
        <f t="shared" si="2"/>
        <v/>
      </c>
      <c r="I552" s="37" t="str">
        <f t="shared" si="3"/>
        <v/>
      </c>
      <c r="J552" s="37" t="str">
        <f t="shared" si="4"/>
        <v/>
      </c>
      <c r="K552" s="32" t="str">
        <f t="shared" si="5"/>
        <v/>
      </c>
      <c r="L552" s="32" t="str">
        <f t="shared" si="6"/>
        <v/>
      </c>
      <c r="M552" s="32" t="str">
        <f t="shared" si="7"/>
        <v/>
      </c>
      <c r="N552" s="44" t="str">
        <f t="shared" si="8"/>
        <v/>
      </c>
      <c r="O552" s="45" t="str">
        <f t="shared" si="9"/>
        <v/>
      </c>
      <c r="P552" s="5"/>
      <c r="Q552" s="5"/>
      <c r="R552" s="5"/>
    </row>
    <row r="553" ht="15.75" customHeight="1">
      <c r="A553" s="46"/>
      <c r="B553" s="47"/>
      <c r="C553" s="47"/>
      <c r="D553" s="47"/>
      <c r="E553" s="47"/>
      <c r="F553" s="48"/>
      <c r="G553" s="36" t="str">
        <f t="shared" si="1"/>
        <v/>
      </c>
      <c r="H553" s="37" t="str">
        <f t="shared" si="2"/>
        <v/>
      </c>
      <c r="I553" s="37" t="str">
        <f t="shared" si="3"/>
        <v/>
      </c>
      <c r="J553" s="37" t="str">
        <f t="shared" si="4"/>
        <v/>
      </c>
      <c r="K553" s="32" t="str">
        <f t="shared" si="5"/>
        <v/>
      </c>
      <c r="L553" s="32" t="str">
        <f t="shared" si="6"/>
        <v/>
      </c>
      <c r="M553" s="32" t="str">
        <f t="shared" si="7"/>
        <v/>
      </c>
      <c r="N553" s="44" t="str">
        <f t="shared" si="8"/>
        <v/>
      </c>
      <c r="O553" s="45" t="str">
        <f t="shared" si="9"/>
        <v/>
      </c>
      <c r="P553" s="5"/>
      <c r="Q553" s="5"/>
      <c r="R553" s="5"/>
    </row>
    <row r="554" ht="15.75" customHeight="1">
      <c r="A554" s="46"/>
      <c r="B554" s="47"/>
      <c r="C554" s="47"/>
      <c r="D554" s="47"/>
      <c r="E554" s="47"/>
      <c r="F554" s="48"/>
      <c r="G554" s="36" t="str">
        <f t="shared" si="1"/>
        <v/>
      </c>
      <c r="H554" s="37" t="str">
        <f t="shared" si="2"/>
        <v/>
      </c>
      <c r="I554" s="37" t="str">
        <f t="shared" si="3"/>
        <v/>
      </c>
      <c r="J554" s="37" t="str">
        <f t="shared" si="4"/>
        <v/>
      </c>
      <c r="K554" s="32" t="str">
        <f t="shared" si="5"/>
        <v/>
      </c>
      <c r="L554" s="32" t="str">
        <f t="shared" si="6"/>
        <v/>
      </c>
      <c r="M554" s="32" t="str">
        <f t="shared" si="7"/>
        <v/>
      </c>
      <c r="N554" s="44" t="str">
        <f t="shared" si="8"/>
        <v/>
      </c>
      <c r="O554" s="45" t="str">
        <f t="shared" si="9"/>
        <v/>
      </c>
      <c r="P554" s="5"/>
      <c r="Q554" s="5"/>
      <c r="R554" s="5"/>
    </row>
    <row r="555" ht="15.75" customHeight="1">
      <c r="A555" s="46"/>
      <c r="B555" s="47"/>
      <c r="C555" s="47"/>
      <c r="D555" s="47"/>
      <c r="E555" s="47"/>
      <c r="F555" s="48"/>
      <c r="G555" s="36" t="str">
        <f t="shared" si="1"/>
        <v/>
      </c>
      <c r="H555" s="37" t="str">
        <f t="shared" si="2"/>
        <v/>
      </c>
      <c r="I555" s="37" t="str">
        <f t="shared" si="3"/>
        <v/>
      </c>
      <c r="J555" s="37" t="str">
        <f t="shared" si="4"/>
        <v/>
      </c>
      <c r="K555" s="32" t="str">
        <f t="shared" si="5"/>
        <v/>
      </c>
      <c r="L555" s="32" t="str">
        <f t="shared" si="6"/>
        <v/>
      </c>
      <c r="M555" s="32" t="str">
        <f t="shared" si="7"/>
        <v/>
      </c>
      <c r="N555" s="44" t="str">
        <f t="shared" si="8"/>
        <v/>
      </c>
      <c r="O555" s="45" t="str">
        <f t="shared" si="9"/>
        <v/>
      </c>
      <c r="P555" s="5"/>
      <c r="Q555" s="5"/>
      <c r="R555" s="5"/>
    </row>
    <row r="556" ht="15.75" customHeight="1">
      <c r="A556" s="46"/>
      <c r="B556" s="47"/>
      <c r="C556" s="47"/>
      <c r="D556" s="47"/>
      <c r="E556" s="47"/>
      <c r="F556" s="48"/>
      <c r="G556" s="36" t="str">
        <f t="shared" si="1"/>
        <v/>
      </c>
      <c r="H556" s="37" t="str">
        <f t="shared" si="2"/>
        <v/>
      </c>
      <c r="I556" s="37" t="str">
        <f t="shared" si="3"/>
        <v/>
      </c>
      <c r="J556" s="37" t="str">
        <f t="shared" si="4"/>
        <v/>
      </c>
      <c r="K556" s="32" t="str">
        <f t="shared" si="5"/>
        <v/>
      </c>
      <c r="L556" s="32" t="str">
        <f t="shared" si="6"/>
        <v/>
      </c>
      <c r="M556" s="32" t="str">
        <f t="shared" si="7"/>
        <v/>
      </c>
      <c r="N556" s="44" t="str">
        <f t="shared" si="8"/>
        <v/>
      </c>
      <c r="O556" s="45" t="str">
        <f t="shared" si="9"/>
        <v/>
      </c>
      <c r="P556" s="5"/>
      <c r="Q556" s="5"/>
      <c r="R556" s="5"/>
    </row>
    <row r="557" ht="15.75" customHeight="1">
      <c r="A557" s="46"/>
      <c r="B557" s="47"/>
      <c r="C557" s="47"/>
      <c r="D557" s="47"/>
      <c r="E557" s="47"/>
      <c r="F557" s="48"/>
      <c r="G557" s="36" t="str">
        <f t="shared" si="1"/>
        <v/>
      </c>
      <c r="H557" s="37" t="str">
        <f t="shared" si="2"/>
        <v/>
      </c>
      <c r="I557" s="37" t="str">
        <f t="shared" si="3"/>
        <v/>
      </c>
      <c r="J557" s="37" t="str">
        <f t="shared" si="4"/>
        <v/>
      </c>
      <c r="K557" s="32" t="str">
        <f t="shared" si="5"/>
        <v/>
      </c>
      <c r="L557" s="32" t="str">
        <f t="shared" si="6"/>
        <v/>
      </c>
      <c r="M557" s="32" t="str">
        <f t="shared" si="7"/>
        <v/>
      </c>
      <c r="N557" s="44" t="str">
        <f t="shared" si="8"/>
        <v/>
      </c>
      <c r="O557" s="45" t="str">
        <f t="shared" si="9"/>
        <v/>
      </c>
      <c r="P557" s="5"/>
      <c r="Q557" s="5"/>
      <c r="R557" s="5"/>
    </row>
    <row r="558" ht="15.75" customHeight="1">
      <c r="A558" s="46"/>
      <c r="B558" s="47"/>
      <c r="C558" s="47"/>
      <c r="D558" s="47"/>
      <c r="E558" s="47"/>
      <c r="F558" s="48"/>
      <c r="G558" s="36" t="str">
        <f t="shared" si="1"/>
        <v/>
      </c>
      <c r="H558" s="37" t="str">
        <f t="shared" si="2"/>
        <v/>
      </c>
      <c r="I558" s="37" t="str">
        <f t="shared" si="3"/>
        <v/>
      </c>
      <c r="J558" s="37" t="str">
        <f t="shared" si="4"/>
        <v/>
      </c>
      <c r="K558" s="32" t="str">
        <f t="shared" si="5"/>
        <v/>
      </c>
      <c r="L558" s="32" t="str">
        <f t="shared" si="6"/>
        <v/>
      </c>
      <c r="M558" s="32" t="str">
        <f t="shared" si="7"/>
        <v/>
      </c>
      <c r="N558" s="44" t="str">
        <f t="shared" si="8"/>
        <v/>
      </c>
      <c r="O558" s="45" t="str">
        <f t="shared" si="9"/>
        <v/>
      </c>
      <c r="P558" s="5"/>
      <c r="Q558" s="5"/>
      <c r="R558" s="5"/>
    </row>
    <row r="559" ht="15.75" customHeight="1">
      <c r="A559" s="46"/>
      <c r="B559" s="47"/>
      <c r="C559" s="47"/>
      <c r="D559" s="47"/>
      <c r="E559" s="47"/>
      <c r="F559" s="48"/>
      <c r="G559" s="36" t="str">
        <f t="shared" si="1"/>
        <v/>
      </c>
      <c r="H559" s="37" t="str">
        <f t="shared" si="2"/>
        <v/>
      </c>
      <c r="I559" s="37" t="str">
        <f t="shared" si="3"/>
        <v/>
      </c>
      <c r="J559" s="37" t="str">
        <f t="shared" si="4"/>
        <v/>
      </c>
      <c r="K559" s="32" t="str">
        <f t="shared" si="5"/>
        <v/>
      </c>
      <c r="L559" s="32" t="str">
        <f t="shared" si="6"/>
        <v/>
      </c>
      <c r="M559" s="32" t="str">
        <f t="shared" si="7"/>
        <v/>
      </c>
      <c r="N559" s="44" t="str">
        <f t="shared" si="8"/>
        <v/>
      </c>
      <c r="O559" s="45" t="str">
        <f t="shared" si="9"/>
        <v/>
      </c>
      <c r="P559" s="5"/>
      <c r="Q559" s="5"/>
      <c r="R559" s="5"/>
    </row>
    <row r="560" ht="15.75" customHeight="1">
      <c r="A560" s="46"/>
      <c r="B560" s="47"/>
      <c r="C560" s="47"/>
      <c r="D560" s="47"/>
      <c r="E560" s="47"/>
      <c r="F560" s="48"/>
      <c r="G560" s="36" t="str">
        <f t="shared" si="1"/>
        <v/>
      </c>
      <c r="H560" s="37" t="str">
        <f t="shared" si="2"/>
        <v/>
      </c>
      <c r="I560" s="37" t="str">
        <f t="shared" si="3"/>
        <v/>
      </c>
      <c r="J560" s="37" t="str">
        <f t="shared" si="4"/>
        <v/>
      </c>
      <c r="K560" s="32" t="str">
        <f t="shared" si="5"/>
        <v/>
      </c>
      <c r="L560" s="32" t="str">
        <f t="shared" si="6"/>
        <v/>
      </c>
      <c r="M560" s="32" t="str">
        <f t="shared" si="7"/>
        <v/>
      </c>
      <c r="N560" s="44" t="str">
        <f t="shared" si="8"/>
        <v/>
      </c>
      <c r="O560" s="45" t="str">
        <f t="shared" si="9"/>
        <v/>
      </c>
      <c r="P560" s="5"/>
      <c r="Q560" s="5"/>
      <c r="R560" s="5"/>
    </row>
    <row r="561" ht="15.75" customHeight="1">
      <c r="A561" s="46"/>
      <c r="B561" s="47"/>
      <c r="C561" s="47"/>
      <c r="D561" s="47"/>
      <c r="E561" s="47"/>
      <c r="F561" s="48"/>
      <c r="G561" s="36" t="str">
        <f t="shared" si="1"/>
        <v/>
      </c>
      <c r="H561" s="37" t="str">
        <f t="shared" si="2"/>
        <v/>
      </c>
      <c r="I561" s="37" t="str">
        <f t="shared" si="3"/>
        <v/>
      </c>
      <c r="J561" s="37" t="str">
        <f t="shared" si="4"/>
        <v/>
      </c>
      <c r="K561" s="32" t="str">
        <f t="shared" si="5"/>
        <v/>
      </c>
      <c r="L561" s="32" t="str">
        <f t="shared" si="6"/>
        <v/>
      </c>
      <c r="M561" s="32" t="str">
        <f t="shared" si="7"/>
        <v/>
      </c>
      <c r="N561" s="44" t="str">
        <f t="shared" si="8"/>
        <v/>
      </c>
      <c r="O561" s="45" t="str">
        <f t="shared" si="9"/>
        <v/>
      </c>
      <c r="P561" s="5"/>
      <c r="Q561" s="5"/>
      <c r="R561" s="5"/>
    </row>
    <row r="562" ht="15.75" customHeight="1">
      <c r="A562" s="46"/>
      <c r="B562" s="47"/>
      <c r="C562" s="47"/>
      <c r="D562" s="47"/>
      <c r="E562" s="47"/>
      <c r="F562" s="48"/>
      <c r="G562" s="36" t="str">
        <f t="shared" si="1"/>
        <v/>
      </c>
      <c r="H562" s="37" t="str">
        <f t="shared" si="2"/>
        <v/>
      </c>
      <c r="I562" s="37" t="str">
        <f t="shared" si="3"/>
        <v/>
      </c>
      <c r="J562" s="37" t="str">
        <f t="shared" si="4"/>
        <v/>
      </c>
      <c r="K562" s="32" t="str">
        <f t="shared" si="5"/>
        <v/>
      </c>
      <c r="L562" s="32" t="str">
        <f t="shared" si="6"/>
        <v/>
      </c>
      <c r="M562" s="32" t="str">
        <f t="shared" si="7"/>
        <v/>
      </c>
      <c r="N562" s="44" t="str">
        <f t="shared" si="8"/>
        <v/>
      </c>
      <c r="O562" s="45" t="str">
        <f t="shared" si="9"/>
        <v/>
      </c>
      <c r="P562" s="5"/>
      <c r="Q562" s="5"/>
      <c r="R562" s="5"/>
    </row>
    <row r="563" ht="15.75" customHeight="1">
      <c r="A563" s="46"/>
      <c r="B563" s="47"/>
      <c r="C563" s="47"/>
      <c r="D563" s="47"/>
      <c r="E563" s="47"/>
      <c r="F563" s="48"/>
      <c r="G563" s="36" t="str">
        <f t="shared" si="1"/>
        <v/>
      </c>
      <c r="H563" s="37" t="str">
        <f t="shared" si="2"/>
        <v/>
      </c>
      <c r="I563" s="37" t="str">
        <f t="shared" si="3"/>
        <v/>
      </c>
      <c r="J563" s="37" t="str">
        <f t="shared" si="4"/>
        <v/>
      </c>
      <c r="K563" s="32" t="str">
        <f t="shared" si="5"/>
        <v/>
      </c>
      <c r="L563" s="32" t="str">
        <f t="shared" si="6"/>
        <v/>
      </c>
      <c r="M563" s="32" t="str">
        <f t="shared" si="7"/>
        <v/>
      </c>
      <c r="N563" s="44" t="str">
        <f t="shared" si="8"/>
        <v/>
      </c>
      <c r="O563" s="45" t="str">
        <f t="shared" si="9"/>
        <v/>
      </c>
      <c r="P563" s="5"/>
      <c r="Q563" s="5"/>
      <c r="R563" s="5"/>
    </row>
    <row r="564" ht="15.75" customHeight="1">
      <c r="A564" s="46"/>
      <c r="B564" s="47"/>
      <c r="C564" s="47"/>
      <c r="D564" s="47"/>
      <c r="E564" s="47"/>
      <c r="F564" s="48"/>
      <c r="G564" s="36" t="str">
        <f t="shared" si="1"/>
        <v/>
      </c>
      <c r="H564" s="37" t="str">
        <f t="shared" si="2"/>
        <v/>
      </c>
      <c r="I564" s="37" t="str">
        <f t="shared" si="3"/>
        <v/>
      </c>
      <c r="J564" s="37" t="str">
        <f t="shared" si="4"/>
        <v/>
      </c>
      <c r="K564" s="32" t="str">
        <f t="shared" si="5"/>
        <v/>
      </c>
      <c r="L564" s="32" t="str">
        <f t="shared" si="6"/>
        <v/>
      </c>
      <c r="M564" s="32" t="str">
        <f t="shared" si="7"/>
        <v/>
      </c>
      <c r="N564" s="44" t="str">
        <f t="shared" si="8"/>
        <v/>
      </c>
      <c r="O564" s="45" t="str">
        <f t="shared" si="9"/>
        <v/>
      </c>
      <c r="P564" s="5"/>
      <c r="Q564" s="5"/>
      <c r="R564" s="5"/>
    </row>
    <row r="565" ht="15.75" customHeight="1">
      <c r="A565" s="46"/>
      <c r="B565" s="47"/>
      <c r="C565" s="47"/>
      <c r="D565" s="47"/>
      <c r="E565" s="47"/>
      <c r="F565" s="48"/>
      <c r="G565" s="36" t="str">
        <f t="shared" si="1"/>
        <v/>
      </c>
      <c r="H565" s="37" t="str">
        <f t="shared" si="2"/>
        <v/>
      </c>
      <c r="I565" s="37" t="str">
        <f t="shared" si="3"/>
        <v/>
      </c>
      <c r="J565" s="37" t="str">
        <f t="shared" si="4"/>
        <v/>
      </c>
      <c r="K565" s="32" t="str">
        <f t="shared" si="5"/>
        <v/>
      </c>
      <c r="L565" s="32" t="str">
        <f t="shared" si="6"/>
        <v/>
      </c>
      <c r="M565" s="32" t="str">
        <f t="shared" si="7"/>
        <v/>
      </c>
      <c r="N565" s="44" t="str">
        <f t="shared" si="8"/>
        <v/>
      </c>
      <c r="O565" s="45" t="str">
        <f t="shared" si="9"/>
        <v/>
      </c>
      <c r="P565" s="5"/>
      <c r="Q565" s="5"/>
      <c r="R565" s="5"/>
    </row>
    <row r="566" ht="15.75" customHeight="1">
      <c r="A566" s="46"/>
      <c r="B566" s="47"/>
      <c r="C566" s="47"/>
      <c r="D566" s="47"/>
      <c r="E566" s="47"/>
      <c r="F566" s="48"/>
      <c r="G566" s="36" t="str">
        <f t="shared" si="1"/>
        <v/>
      </c>
      <c r="H566" s="37" t="str">
        <f t="shared" si="2"/>
        <v/>
      </c>
      <c r="I566" s="37" t="str">
        <f t="shared" si="3"/>
        <v/>
      </c>
      <c r="J566" s="37" t="str">
        <f t="shared" si="4"/>
        <v/>
      </c>
      <c r="K566" s="32" t="str">
        <f t="shared" si="5"/>
        <v/>
      </c>
      <c r="L566" s="32" t="str">
        <f t="shared" si="6"/>
        <v/>
      </c>
      <c r="M566" s="32" t="str">
        <f t="shared" si="7"/>
        <v/>
      </c>
      <c r="N566" s="44" t="str">
        <f t="shared" si="8"/>
        <v/>
      </c>
      <c r="O566" s="45" t="str">
        <f t="shared" si="9"/>
        <v/>
      </c>
      <c r="P566" s="5"/>
      <c r="Q566" s="5"/>
      <c r="R566" s="5"/>
    </row>
    <row r="567" ht="15.75" customHeight="1">
      <c r="A567" s="46"/>
      <c r="B567" s="47"/>
      <c r="C567" s="47"/>
      <c r="D567" s="47"/>
      <c r="E567" s="47"/>
      <c r="F567" s="48"/>
      <c r="G567" s="36" t="str">
        <f t="shared" si="1"/>
        <v/>
      </c>
      <c r="H567" s="37" t="str">
        <f t="shared" si="2"/>
        <v/>
      </c>
      <c r="I567" s="37" t="str">
        <f t="shared" si="3"/>
        <v/>
      </c>
      <c r="J567" s="37" t="str">
        <f t="shared" si="4"/>
        <v/>
      </c>
      <c r="K567" s="32" t="str">
        <f t="shared" si="5"/>
        <v/>
      </c>
      <c r="L567" s="32" t="str">
        <f t="shared" si="6"/>
        <v/>
      </c>
      <c r="M567" s="32" t="str">
        <f t="shared" si="7"/>
        <v/>
      </c>
      <c r="N567" s="44" t="str">
        <f t="shared" si="8"/>
        <v/>
      </c>
      <c r="O567" s="45" t="str">
        <f t="shared" si="9"/>
        <v/>
      </c>
      <c r="P567" s="5"/>
      <c r="Q567" s="5"/>
      <c r="R567" s="5"/>
    </row>
    <row r="568" ht="15.75" customHeight="1">
      <c r="A568" s="46"/>
      <c r="B568" s="47"/>
      <c r="C568" s="47"/>
      <c r="D568" s="47"/>
      <c r="E568" s="47"/>
      <c r="F568" s="48"/>
      <c r="G568" s="36" t="str">
        <f t="shared" si="1"/>
        <v/>
      </c>
      <c r="H568" s="37" t="str">
        <f t="shared" si="2"/>
        <v/>
      </c>
      <c r="I568" s="37" t="str">
        <f t="shared" si="3"/>
        <v/>
      </c>
      <c r="J568" s="37" t="str">
        <f t="shared" si="4"/>
        <v/>
      </c>
      <c r="K568" s="32" t="str">
        <f t="shared" si="5"/>
        <v/>
      </c>
      <c r="L568" s="32" t="str">
        <f t="shared" si="6"/>
        <v/>
      </c>
      <c r="M568" s="32" t="str">
        <f t="shared" si="7"/>
        <v/>
      </c>
      <c r="N568" s="44" t="str">
        <f t="shared" si="8"/>
        <v/>
      </c>
      <c r="O568" s="45" t="str">
        <f t="shared" si="9"/>
        <v/>
      </c>
      <c r="P568" s="5"/>
      <c r="Q568" s="5"/>
      <c r="R568" s="5"/>
    </row>
    <row r="569" ht="15.75" customHeight="1">
      <c r="A569" s="46"/>
      <c r="B569" s="47"/>
      <c r="C569" s="47"/>
      <c r="D569" s="47"/>
      <c r="E569" s="47"/>
      <c r="F569" s="48"/>
      <c r="G569" s="36" t="str">
        <f t="shared" si="1"/>
        <v/>
      </c>
      <c r="H569" s="37" t="str">
        <f t="shared" si="2"/>
        <v/>
      </c>
      <c r="I569" s="37" t="str">
        <f t="shared" si="3"/>
        <v/>
      </c>
      <c r="J569" s="37" t="str">
        <f t="shared" si="4"/>
        <v/>
      </c>
      <c r="K569" s="32" t="str">
        <f t="shared" si="5"/>
        <v/>
      </c>
      <c r="L569" s="32" t="str">
        <f t="shared" si="6"/>
        <v/>
      </c>
      <c r="M569" s="32" t="str">
        <f t="shared" si="7"/>
        <v/>
      </c>
      <c r="N569" s="44" t="str">
        <f t="shared" si="8"/>
        <v/>
      </c>
      <c r="O569" s="45" t="str">
        <f t="shared" si="9"/>
        <v/>
      </c>
      <c r="P569" s="5"/>
      <c r="Q569" s="5"/>
      <c r="R569" s="5"/>
    </row>
    <row r="570" ht="15.75" customHeight="1">
      <c r="A570" s="46"/>
      <c r="B570" s="47"/>
      <c r="C570" s="47"/>
      <c r="D570" s="47"/>
      <c r="E570" s="47"/>
      <c r="F570" s="48"/>
      <c r="G570" s="36" t="str">
        <f t="shared" si="1"/>
        <v/>
      </c>
      <c r="H570" s="37" t="str">
        <f t="shared" si="2"/>
        <v/>
      </c>
      <c r="I570" s="37" t="str">
        <f t="shared" si="3"/>
        <v/>
      </c>
      <c r="J570" s="37" t="str">
        <f t="shared" si="4"/>
        <v/>
      </c>
      <c r="K570" s="32" t="str">
        <f t="shared" si="5"/>
        <v/>
      </c>
      <c r="L570" s="32" t="str">
        <f t="shared" si="6"/>
        <v/>
      </c>
      <c r="M570" s="32" t="str">
        <f t="shared" si="7"/>
        <v/>
      </c>
      <c r="N570" s="44" t="str">
        <f t="shared" si="8"/>
        <v/>
      </c>
      <c r="O570" s="45" t="str">
        <f t="shared" si="9"/>
        <v/>
      </c>
      <c r="P570" s="5"/>
      <c r="Q570" s="5"/>
      <c r="R570" s="5"/>
    </row>
    <row r="571" ht="15.75" customHeight="1">
      <c r="A571" s="46"/>
      <c r="B571" s="47"/>
      <c r="C571" s="47"/>
      <c r="D571" s="47"/>
      <c r="E571" s="47"/>
      <c r="F571" s="48"/>
      <c r="G571" s="36" t="str">
        <f t="shared" si="1"/>
        <v/>
      </c>
      <c r="H571" s="37" t="str">
        <f t="shared" si="2"/>
        <v/>
      </c>
      <c r="I571" s="37" t="str">
        <f t="shared" si="3"/>
        <v/>
      </c>
      <c r="J571" s="37" t="str">
        <f t="shared" si="4"/>
        <v/>
      </c>
      <c r="K571" s="32" t="str">
        <f t="shared" si="5"/>
        <v/>
      </c>
      <c r="L571" s="32" t="str">
        <f t="shared" si="6"/>
        <v/>
      </c>
      <c r="M571" s="32" t="str">
        <f t="shared" si="7"/>
        <v/>
      </c>
      <c r="N571" s="44" t="str">
        <f t="shared" si="8"/>
        <v/>
      </c>
      <c r="O571" s="45" t="str">
        <f t="shared" si="9"/>
        <v/>
      </c>
      <c r="P571" s="5"/>
      <c r="Q571" s="5"/>
      <c r="R571" s="5"/>
    </row>
    <row r="572" ht="15.75" customHeight="1">
      <c r="A572" s="46"/>
      <c r="B572" s="47"/>
      <c r="C572" s="47"/>
      <c r="D572" s="47"/>
      <c r="E572" s="47"/>
      <c r="F572" s="48"/>
      <c r="G572" s="36" t="str">
        <f t="shared" si="1"/>
        <v/>
      </c>
      <c r="H572" s="37" t="str">
        <f t="shared" si="2"/>
        <v/>
      </c>
      <c r="I572" s="37" t="str">
        <f t="shared" si="3"/>
        <v/>
      </c>
      <c r="J572" s="37" t="str">
        <f t="shared" si="4"/>
        <v/>
      </c>
      <c r="K572" s="32" t="str">
        <f t="shared" si="5"/>
        <v/>
      </c>
      <c r="L572" s="32" t="str">
        <f t="shared" si="6"/>
        <v/>
      </c>
      <c r="M572" s="32" t="str">
        <f t="shared" si="7"/>
        <v/>
      </c>
      <c r="N572" s="44" t="str">
        <f t="shared" si="8"/>
        <v/>
      </c>
      <c r="O572" s="45" t="str">
        <f t="shared" si="9"/>
        <v/>
      </c>
      <c r="P572" s="5"/>
      <c r="Q572" s="5"/>
      <c r="R572" s="5"/>
    </row>
    <row r="573" ht="15.75" customHeight="1">
      <c r="A573" s="46"/>
      <c r="B573" s="47"/>
      <c r="C573" s="47"/>
      <c r="D573" s="47"/>
      <c r="E573" s="47"/>
      <c r="F573" s="48"/>
      <c r="G573" s="36" t="str">
        <f t="shared" si="1"/>
        <v/>
      </c>
      <c r="H573" s="37" t="str">
        <f t="shared" si="2"/>
        <v/>
      </c>
      <c r="I573" s="37" t="str">
        <f t="shared" si="3"/>
        <v/>
      </c>
      <c r="J573" s="37" t="str">
        <f t="shared" si="4"/>
        <v/>
      </c>
      <c r="K573" s="32" t="str">
        <f t="shared" si="5"/>
        <v/>
      </c>
      <c r="L573" s="32" t="str">
        <f t="shared" si="6"/>
        <v/>
      </c>
      <c r="M573" s="32" t="str">
        <f t="shared" si="7"/>
        <v/>
      </c>
      <c r="N573" s="44" t="str">
        <f t="shared" si="8"/>
        <v/>
      </c>
      <c r="O573" s="45" t="str">
        <f t="shared" si="9"/>
        <v/>
      </c>
      <c r="P573" s="5"/>
      <c r="Q573" s="5"/>
      <c r="R573" s="5"/>
    </row>
    <row r="574" ht="15.75" customHeight="1">
      <c r="A574" s="46"/>
      <c r="B574" s="47"/>
      <c r="C574" s="47"/>
      <c r="D574" s="47"/>
      <c r="E574" s="47"/>
      <c r="F574" s="48"/>
      <c r="G574" s="36" t="str">
        <f t="shared" si="1"/>
        <v/>
      </c>
      <c r="H574" s="37" t="str">
        <f t="shared" si="2"/>
        <v/>
      </c>
      <c r="I574" s="37" t="str">
        <f t="shared" si="3"/>
        <v/>
      </c>
      <c r="J574" s="37" t="str">
        <f t="shared" si="4"/>
        <v/>
      </c>
      <c r="K574" s="32" t="str">
        <f t="shared" si="5"/>
        <v/>
      </c>
      <c r="L574" s="32" t="str">
        <f t="shared" si="6"/>
        <v/>
      </c>
      <c r="M574" s="32" t="str">
        <f t="shared" si="7"/>
        <v/>
      </c>
      <c r="N574" s="44" t="str">
        <f t="shared" si="8"/>
        <v/>
      </c>
      <c r="O574" s="45" t="str">
        <f t="shared" si="9"/>
        <v/>
      </c>
      <c r="P574" s="5"/>
      <c r="Q574" s="5"/>
      <c r="R574" s="5"/>
    </row>
    <row r="575" ht="15.75" customHeight="1">
      <c r="A575" s="46"/>
      <c r="B575" s="47"/>
      <c r="C575" s="47"/>
      <c r="D575" s="47"/>
      <c r="E575" s="47"/>
      <c r="F575" s="48"/>
      <c r="G575" s="36" t="str">
        <f t="shared" si="1"/>
        <v/>
      </c>
      <c r="H575" s="37" t="str">
        <f t="shared" si="2"/>
        <v/>
      </c>
      <c r="I575" s="37" t="str">
        <f t="shared" si="3"/>
        <v/>
      </c>
      <c r="J575" s="37" t="str">
        <f t="shared" si="4"/>
        <v/>
      </c>
      <c r="K575" s="32" t="str">
        <f t="shared" si="5"/>
        <v/>
      </c>
      <c r="L575" s="32" t="str">
        <f t="shared" si="6"/>
        <v/>
      </c>
      <c r="M575" s="32" t="str">
        <f t="shared" si="7"/>
        <v/>
      </c>
      <c r="N575" s="44" t="str">
        <f t="shared" si="8"/>
        <v/>
      </c>
      <c r="O575" s="45" t="str">
        <f t="shared" si="9"/>
        <v/>
      </c>
      <c r="P575" s="5"/>
      <c r="Q575" s="5"/>
      <c r="R575" s="5"/>
    </row>
    <row r="576" ht="15.75" customHeight="1">
      <c r="A576" s="46"/>
      <c r="B576" s="47"/>
      <c r="C576" s="47"/>
      <c r="D576" s="47"/>
      <c r="E576" s="47"/>
      <c r="F576" s="48"/>
      <c r="G576" s="36" t="str">
        <f t="shared" si="1"/>
        <v/>
      </c>
      <c r="H576" s="37" t="str">
        <f t="shared" si="2"/>
        <v/>
      </c>
      <c r="I576" s="37" t="str">
        <f t="shared" si="3"/>
        <v/>
      </c>
      <c r="J576" s="37" t="str">
        <f t="shared" si="4"/>
        <v/>
      </c>
      <c r="K576" s="32" t="str">
        <f t="shared" si="5"/>
        <v/>
      </c>
      <c r="L576" s="32" t="str">
        <f t="shared" si="6"/>
        <v/>
      </c>
      <c r="M576" s="32" t="str">
        <f t="shared" si="7"/>
        <v/>
      </c>
      <c r="N576" s="44" t="str">
        <f t="shared" si="8"/>
        <v/>
      </c>
      <c r="O576" s="45" t="str">
        <f t="shared" si="9"/>
        <v/>
      </c>
      <c r="P576" s="5"/>
      <c r="Q576" s="5"/>
      <c r="R576" s="5"/>
    </row>
    <row r="577" ht="15.75" customHeight="1">
      <c r="A577" s="46"/>
      <c r="B577" s="47"/>
      <c r="C577" s="47"/>
      <c r="D577" s="47"/>
      <c r="E577" s="47"/>
      <c r="F577" s="48"/>
      <c r="G577" s="36" t="str">
        <f t="shared" si="1"/>
        <v/>
      </c>
      <c r="H577" s="37" t="str">
        <f t="shared" si="2"/>
        <v/>
      </c>
      <c r="I577" s="37" t="str">
        <f t="shared" si="3"/>
        <v/>
      </c>
      <c r="J577" s="37" t="str">
        <f t="shared" si="4"/>
        <v/>
      </c>
      <c r="K577" s="32" t="str">
        <f t="shared" si="5"/>
        <v/>
      </c>
      <c r="L577" s="32" t="str">
        <f t="shared" si="6"/>
        <v/>
      </c>
      <c r="M577" s="32" t="str">
        <f t="shared" si="7"/>
        <v/>
      </c>
      <c r="N577" s="44" t="str">
        <f t="shared" si="8"/>
        <v/>
      </c>
      <c r="O577" s="45" t="str">
        <f t="shared" si="9"/>
        <v/>
      </c>
      <c r="P577" s="5"/>
      <c r="Q577" s="5"/>
      <c r="R577" s="5"/>
    </row>
    <row r="578" ht="15.75" customHeight="1">
      <c r="A578" s="46"/>
      <c r="B578" s="47"/>
      <c r="C578" s="47"/>
      <c r="D578" s="47"/>
      <c r="E578" s="47"/>
      <c r="F578" s="48"/>
      <c r="G578" s="36" t="str">
        <f t="shared" si="1"/>
        <v/>
      </c>
      <c r="H578" s="37" t="str">
        <f t="shared" si="2"/>
        <v/>
      </c>
      <c r="I578" s="37" t="str">
        <f t="shared" si="3"/>
        <v/>
      </c>
      <c r="J578" s="37" t="str">
        <f t="shared" si="4"/>
        <v/>
      </c>
      <c r="K578" s="32" t="str">
        <f t="shared" si="5"/>
        <v/>
      </c>
      <c r="L578" s="32" t="str">
        <f t="shared" si="6"/>
        <v/>
      </c>
      <c r="M578" s="32" t="str">
        <f t="shared" si="7"/>
        <v/>
      </c>
      <c r="N578" s="44" t="str">
        <f t="shared" si="8"/>
        <v/>
      </c>
      <c r="O578" s="45" t="str">
        <f t="shared" si="9"/>
        <v/>
      </c>
      <c r="P578" s="5"/>
      <c r="Q578" s="5"/>
      <c r="R578" s="5"/>
    </row>
    <row r="579" ht="15.75" customHeight="1">
      <c r="A579" s="46"/>
      <c r="B579" s="47"/>
      <c r="C579" s="47"/>
      <c r="D579" s="47"/>
      <c r="E579" s="47"/>
      <c r="F579" s="48"/>
      <c r="G579" s="36" t="str">
        <f t="shared" si="1"/>
        <v/>
      </c>
      <c r="H579" s="37" t="str">
        <f t="shared" si="2"/>
        <v/>
      </c>
      <c r="I579" s="37" t="str">
        <f t="shared" si="3"/>
        <v/>
      </c>
      <c r="J579" s="37" t="str">
        <f t="shared" si="4"/>
        <v/>
      </c>
      <c r="K579" s="32" t="str">
        <f t="shared" si="5"/>
        <v/>
      </c>
      <c r="L579" s="32" t="str">
        <f t="shared" si="6"/>
        <v/>
      </c>
      <c r="M579" s="32" t="str">
        <f t="shared" si="7"/>
        <v/>
      </c>
      <c r="N579" s="44" t="str">
        <f t="shared" si="8"/>
        <v/>
      </c>
      <c r="O579" s="45" t="str">
        <f t="shared" si="9"/>
        <v/>
      </c>
      <c r="P579" s="5"/>
      <c r="Q579" s="5"/>
      <c r="R579" s="5"/>
    </row>
    <row r="580" ht="15.75" customHeight="1">
      <c r="A580" s="46"/>
      <c r="B580" s="47"/>
      <c r="C580" s="47"/>
      <c r="D580" s="47"/>
      <c r="E580" s="47"/>
      <c r="F580" s="48"/>
      <c r="G580" s="36" t="str">
        <f t="shared" si="1"/>
        <v/>
      </c>
      <c r="H580" s="37" t="str">
        <f t="shared" si="2"/>
        <v/>
      </c>
      <c r="I580" s="37" t="str">
        <f t="shared" si="3"/>
        <v/>
      </c>
      <c r="J580" s="37" t="str">
        <f t="shared" si="4"/>
        <v/>
      </c>
      <c r="K580" s="32" t="str">
        <f t="shared" si="5"/>
        <v/>
      </c>
      <c r="L580" s="32" t="str">
        <f t="shared" si="6"/>
        <v/>
      </c>
      <c r="M580" s="32" t="str">
        <f t="shared" si="7"/>
        <v/>
      </c>
      <c r="N580" s="44" t="str">
        <f t="shared" si="8"/>
        <v/>
      </c>
      <c r="O580" s="45" t="str">
        <f t="shared" si="9"/>
        <v/>
      </c>
      <c r="P580" s="5"/>
      <c r="Q580" s="5"/>
      <c r="R580" s="5"/>
    </row>
    <row r="581" ht="15.75" customHeight="1">
      <c r="A581" s="46"/>
      <c r="B581" s="47"/>
      <c r="C581" s="47"/>
      <c r="D581" s="47"/>
      <c r="E581" s="47"/>
      <c r="F581" s="48"/>
      <c r="G581" s="36" t="str">
        <f t="shared" si="1"/>
        <v/>
      </c>
      <c r="H581" s="37" t="str">
        <f t="shared" si="2"/>
        <v/>
      </c>
      <c r="I581" s="37" t="str">
        <f t="shared" si="3"/>
        <v/>
      </c>
      <c r="J581" s="37" t="str">
        <f t="shared" si="4"/>
        <v/>
      </c>
      <c r="K581" s="32" t="str">
        <f t="shared" si="5"/>
        <v/>
      </c>
      <c r="L581" s="32" t="str">
        <f t="shared" si="6"/>
        <v/>
      </c>
      <c r="M581" s="32" t="str">
        <f t="shared" si="7"/>
        <v/>
      </c>
      <c r="N581" s="44" t="str">
        <f t="shared" si="8"/>
        <v/>
      </c>
      <c r="O581" s="45" t="str">
        <f t="shared" si="9"/>
        <v/>
      </c>
      <c r="P581" s="5"/>
      <c r="Q581" s="5"/>
      <c r="R581" s="5"/>
    </row>
    <row r="582" ht="15.75" customHeight="1">
      <c r="A582" s="46"/>
      <c r="B582" s="47"/>
      <c r="C582" s="47"/>
      <c r="D582" s="47"/>
      <c r="E582" s="47"/>
      <c r="F582" s="48"/>
      <c r="G582" s="36" t="str">
        <f t="shared" si="1"/>
        <v/>
      </c>
      <c r="H582" s="37" t="str">
        <f t="shared" si="2"/>
        <v/>
      </c>
      <c r="I582" s="37" t="str">
        <f t="shared" si="3"/>
        <v/>
      </c>
      <c r="J582" s="37" t="str">
        <f t="shared" si="4"/>
        <v/>
      </c>
      <c r="K582" s="32" t="str">
        <f t="shared" si="5"/>
        <v/>
      </c>
      <c r="L582" s="32" t="str">
        <f t="shared" si="6"/>
        <v/>
      </c>
      <c r="M582" s="32" t="str">
        <f t="shared" si="7"/>
        <v/>
      </c>
      <c r="N582" s="44" t="str">
        <f t="shared" si="8"/>
        <v/>
      </c>
      <c r="O582" s="45" t="str">
        <f t="shared" si="9"/>
        <v/>
      </c>
      <c r="P582" s="5"/>
      <c r="Q582" s="5"/>
      <c r="R582" s="5"/>
    </row>
    <row r="583" ht="15.75" customHeight="1">
      <c r="A583" s="46"/>
      <c r="B583" s="47"/>
      <c r="C583" s="47"/>
      <c r="D583" s="47"/>
      <c r="E583" s="47"/>
      <c r="F583" s="48"/>
      <c r="G583" s="36" t="str">
        <f t="shared" si="1"/>
        <v/>
      </c>
      <c r="H583" s="37" t="str">
        <f t="shared" si="2"/>
        <v/>
      </c>
      <c r="I583" s="37" t="str">
        <f t="shared" si="3"/>
        <v/>
      </c>
      <c r="J583" s="37" t="str">
        <f t="shared" si="4"/>
        <v/>
      </c>
      <c r="K583" s="32" t="str">
        <f t="shared" si="5"/>
        <v/>
      </c>
      <c r="L583" s="32" t="str">
        <f t="shared" si="6"/>
        <v/>
      </c>
      <c r="M583" s="32" t="str">
        <f t="shared" si="7"/>
        <v/>
      </c>
      <c r="N583" s="44" t="str">
        <f t="shared" si="8"/>
        <v/>
      </c>
      <c r="O583" s="45" t="str">
        <f t="shared" si="9"/>
        <v/>
      </c>
      <c r="P583" s="5"/>
      <c r="Q583" s="5"/>
      <c r="R583" s="5"/>
    </row>
    <row r="584" ht="15.75" customHeight="1">
      <c r="A584" s="46"/>
      <c r="B584" s="47"/>
      <c r="C584" s="47"/>
      <c r="D584" s="47"/>
      <c r="E584" s="47"/>
      <c r="F584" s="48"/>
      <c r="G584" s="36" t="str">
        <f t="shared" si="1"/>
        <v/>
      </c>
      <c r="H584" s="37" t="str">
        <f t="shared" si="2"/>
        <v/>
      </c>
      <c r="I584" s="37" t="str">
        <f t="shared" si="3"/>
        <v/>
      </c>
      <c r="J584" s="37" t="str">
        <f t="shared" si="4"/>
        <v/>
      </c>
      <c r="K584" s="32" t="str">
        <f t="shared" si="5"/>
        <v/>
      </c>
      <c r="L584" s="32" t="str">
        <f t="shared" si="6"/>
        <v/>
      </c>
      <c r="M584" s="32" t="str">
        <f t="shared" si="7"/>
        <v/>
      </c>
      <c r="N584" s="44" t="str">
        <f t="shared" si="8"/>
        <v/>
      </c>
      <c r="O584" s="45" t="str">
        <f t="shared" si="9"/>
        <v/>
      </c>
      <c r="P584" s="5"/>
      <c r="Q584" s="5"/>
      <c r="R584" s="5"/>
    </row>
    <row r="585" ht="15.75" customHeight="1">
      <c r="A585" s="46"/>
      <c r="B585" s="47"/>
      <c r="C585" s="47"/>
      <c r="D585" s="47"/>
      <c r="E585" s="47"/>
      <c r="F585" s="48"/>
      <c r="G585" s="36" t="str">
        <f t="shared" si="1"/>
        <v/>
      </c>
      <c r="H585" s="37" t="str">
        <f t="shared" si="2"/>
        <v/>
      </c>
      <c r="I585" s="37" t="str">
        <f t="shared" si="3"/>
        <v/>
      </c>
      <c r="J585" s="37" t="str">
        <f t="shared" si="4"/>
        <v/>
      </c>
      <c r="K585" s="32" t="str">
        <f t="shared" si="5"/>
        <v/>
      </c>
      <c r="L585" s="32" t="str">
        <f t="shared" si="6"/>
        <v/>
      </c>
      <c r="M585" s="32" t="str">
        <f t="shared" si="7"/>
        <v/>
      </c>
      <c r="N585" s="44" t="str">
        <f t="shared" si="8"/>
        <v/>
      </c>
      <c r="O585" s="45" t="str">
        <f t="shared" si="9"/>
        <v/>
      </c>
      <c r="P585" s="5"/>
      <c r="Q585" s="5"/>
      <c r="R585" s="5"/>
    </row>
    <row r="586" ht="15.75" customHeight="1">
      <c r="A586" s="46"/>
      <c r="B586" s="47"/>
      <c r="C586" s="47"/>
      <c r="D586" s="47"/>
      <c r="E586" s="47"/>
      <c r="F586" s="48"/>
      <c r="G586" s="36" t="str">
        <f t="shared" si="1"/>
        <v/>
      </c>
      <c r="H586" s="37" t="str">
        <f t="shared" si="2"/>
        <v/>
      </c>
      <c r="I586" s="37" t="str">
        <f t="shared" si="3"/>
        <v/>
      </c>
      <c r="J586" s="37" t="str">
        <f t="shared" si="4"/>
        <v/>
      </c>
      <c r="K586" s="32" t="str">
        <f t="shared" si="5"/>
        <v/>
      </c>
      <c r="L586" s="32" t="str">
        <f t="shared" si="6"/>
        <v/>
      </c>
      <c r="M586" s="32" t="str">
        <f t="shared" si="7"/>
        <v/>
      </c>
      <c r="N586" s="44" t="str">
        <f t="shared" si="8"/>
        <v/>
      </c>
      <c r="O586" s="45" t="str">
        <f t="shared" si="9"/>
        <v/>
      </c>
      <c r="P586" s="5"/>
      <c r="Q586" s="5"/>
      <c r="R586" s="5"/>
    </row>
    <row r="587" ht="15.75" customHeight="1">
      <c r="A587" s="46"/>
      <c r="B587" s="47"/>
      <c r="C587" s="47"/>
      <c r="D587" s="47"/>
      <c r="E587" s="47"/>
      <c r="F587" s="48"/>
      <c r="G587" s="36" t="str">
        <f t="shared" si="1"/>
        <v/>
      </c>
      <c r="H587" s="37" t="str">
        <f t="shared" si="2"/>
        <v/>
      </c>
      <c r="I587" s="37" t="str">
        <f t="shared" si="3"/>
        <v/>
      </c>
      <c r="J587" s="37" t="str">
        <f t="shared" si="4"/>
        <v/>
      </c>
      <c r="K587" s="32" t="str">
        <f t="shared" si="5"/>
        <v/>
      </c>
      <c r="L587" s="32" t="str">
        <f t="shared" si="6"/>
        <v/>
      </c>
      <c r="M587" s="32" t="str">
        <f t="shared" si="7"/>
        <v/>
      </c>
      <c r="N587" s="44" t="str">
        <f t="shared" si="8"/>
        <v/>
      </c>
      <c r="O587" s="45" t="str">
        <f t="shared" si="9"/>
        <v/>
      </c>
      <c r="P587" s="5"/>
      <c r="Q587" s="5"/>
      <c r="R587" s="5"/>
    </row>
    <row r="588" ht="15.75" customHeight="1">
      <c r="A588" s="46"/>
      <c r="B588" s="47"/>
      <c r="C588" s="47"/>
      <c r="D588" s="47"/>
      <c r="E588" s="47"/>
      <c r="F588" s="48"/>
      <c r="G588" s="36" t="str">
        <f t="shared" si="1"/>
        <v/>
      </c>
      <c r="H588" s="37" t="str">
        <f t="shared" si="2"/>
        <v/>
      </c>
      <c r="I588" s="37" t="str">
        <f t="shared" si="3"/>
        <v/>
      </c>
      <c r="J588" s="37" t="str">
        <f t="shared" si="4"/>
        <v/>
      </c>
      <c r="K588" s="32" t="str">
        <f t="shared" si="5"/>
        <v/>
      </c>
      <c r="L588" s="32" t="str">
        <f t="shared" si="6"/>
        <v/>
      </c>
      <c r="M588" s="32" t="str">
        <f t="shared" si="7"/>
        <v/>
      </c>
      <c r="N588" s="44" t="str">
        <f t="shared" si="8"/>
        <v/>
      </c>
      <c r="O588" s="45" t="str">
        <f t="shared" si="9"/>
        <v/>
      </c>
      <c r="P588" s="5"/>
      <c r="Q588" s="5"/>
      <c r="R588" s="5"/>
    </row>
    <row r="589" ht="15.75" customHeight="1">
      <c r="A589" s="46"/>
      <c r="B589" s="47"/>
      <c r="C589" s="47"/>
      <c r="D589" s="47"/>
      <c r="E589" s="47"/>
      <c r="F589" s="48"/>
      <c r="G589" s="36" t="str">
        <f t="shared" si="1"/>
        <v/>
      </c>
      <c r="H589" s="37" t="str">
        <f t="shared" si="2"/>
        <v/>
      </c>
      <c r="I589" s="37" t="str">
        <f t="shared" si="3"/>
        <v/>
      </c>
      <c r="J589" s="37" t="str">
        <f t="shared" si="4"/>
        <v/>
      </c>
      <c r="K589" s="32" t="str">
        <f t="shared" si="5"/>
        <v/>
      </c>
      <c r="L589" s="32" t="str">
        <f t="shared" si="6"/>
        <v/>
      </c>
      <c r="M589" s="32" t="str">
        <f t="shared" si="7"/>
        <v/>
      </c>
      <c r="N589" s="44" t="str">
        <f t="shared" si="8"/>
        <v/>
      </c>
      <c r="O589" s="45" t="str">
        <f t="shared" si="9"/>
        <v/>
      </c>
      <c r="P589" s="5"/>
      <c r="Q589" s="5"/>
      <c r="R589" s="5"/>
    </row>
    <row r="590" ht="15.75" customHeight="1">
      <c r="A590" s="46"/>
      <c r="B590" s="47"/>
      <c r="C590" s="47"/>
      <c r="D590" s="47"/>
      <c r="E590" s="47"/>
      <c r="F590" s="48"/>
      <c r="G590" s="36" t="str">
        <f t="shared" si="1"/>
        <v/>
      </c>
      <c r="H590" s="37" t="str">
        <f t="shared" si="2"/>
        <v/>
      </c>
      <c r="I590" s="37" t="str">
        <f t="shared" si="3"/>
        <v/>
      </c>
      <c r="J590" s="37" t="str">
        <f t="shared" si="4"/>
        <v/>
      </c>
      <c r="K590" s="32" t="str">
        <f t="shared" si="5"/>
        <v/>
      </c>
      <c r="L590" s="32" t="str">
        <f t="shared" si="6"/>
        <v/>
      </c>
      <c r="M590" s="32" t="str">
        <f t="shared" si="7"/>
        <v/>
      </c>
      <c r="N590" s="44" t="str">
        <f t="shared" si="8"/>
        <v/>
      </c>
      <c r="O590" s="45" t="str">
        <f t="shared" si="9"/>
        <v/>
      </c>
      <c r="P590" s="5"/>
      <c r="Q590" s="5"/>
      <c r="R590" s="5"/>
    </row>
    <row r="591" ht="15.75" customHeight="1">
      <c r="A591" s="46"/>
      <c r="B591" s="47"/>
      <c r="C591" s="47"/>
      <c r="D591" s="47"/>
      <c r="E591" s="47"/>
      <c r="F591" s="48"/>
      <c r="G591" s="36" t="str">
        <f t="shared" si="1"/>
        <v/>
      </c>
      <c r="H591" s="37" t="str">
        <f t="shared" si="2"/>
        <v/>
      </c>
      <c r="I591" s="37" t="str">
        <f t="shared" si="3"/>
        <v/>
      </c>
      <c r="J591" s="37" t="str">
        <f t="shared" si="4"/>
        <v/>
      </c>
      <c r="K591" s="32" t="str">
        <f t="shared" si="5"/>
        <v/>
      </c>
      <c r="L591" s="32" t="str">
        <f t="shared" si="6"/>
        <v/>
      </c>
      <c r="M591" s="32" t="str">
        <f t="shared" si="7"/>
        <v/>
      </c>
      <c r="N591" s="44" t="str">
        <f t="shared" si="8"/>
        <v/>
      </c>
      <c r="O591" s="45" t="str">
        <f t="shared" si="9"/>
        <v/>
      </c>
      <c r="P591" s="5"/>
      <c r="Q591" s="5"/>
      <c r="R591" s="5"/>
    </row>
    <row r="592" ht="15.75" customHeight="1">
      <c r="A592" s="46"/>
      <c r="B592" s="47"/>
      <c r="C592" s="47"/>
      <c r="D592" s="47"/>
      <c r="E592" s="47"/>
      <c r="F592" s="48"/>
      <c r="G592" s="36" t="str">
        <f t="shared" si="1"/>
        <v/>
      </c>
      <c r="H592" s="37" t="str">
        <f t="shared" si="2"/>
        <v/>
      </c>
      <c r="I592" s="37" t="str">
        <f t="shared" si="3"/>
        <v/>
      </c>
      <c r="J592" s="37" t="str">
        <f t="shared" si="4"/>
        <v/>
      </c>
      <c r="K592" s="32" t="str">
        <f t="shared" si="5"/>
        <v/>
      </c>
      <c r="L592" s="32" t="str">
        <f t="shared" si="6"/>
        <v/>
      </c>
      <c r="M592" s="32" t="str">
        <f t="shared" si="7"/>
        <v/>
      </c>
      <c r="N592" s="44" t="str">
        <f t="shared" si="8"/>
        <v/>
      </c>
      <c r="O592" s="45" t="str">
        <f t="shared" si="9"/>
        <v/>
      </c>
      <c r="P592" s="5"/>
      <c r="Q592" s="5"/>
      <c r="R592" s="5"/>
    </row>
    <row r="593" ht="15.75" customHeight="1">
      <c r="A593" s="46"/>
      <c r="B593" s="47"/>
      <c r="C593" s="47"/>
      <c r="D593" s="47"/>
      <c r="E593" s="47"/>
      <c r="F593" s="48"/>
      <c r="G593" s="36" t="str">
        <f t="shared" si="1"/>
        <v/>
      </c>
      <c r="H593" s="37" t="str">
        <f t="shared" si="2"/>
        <v/>
      </c>
      <c r="I593" s="37" t="str">
        <f t="shared" si="3"/>
        <v/>
      </c>
      <c r="J593" s="37" t="str">
        <f t="shared" si="4"/>
        <v/>
      </c>
      <c r="K593" s="32" t="str">
        <f t="shared" si="5"/>
        <v/>
      </c>
      <c r="L593" s="32" t="str">
        <f t="shared" si="6"/>
        <v/>
      </c>
      <c r="M593" s="32" t="str">
        <f t="shared" si="7"/>
        <v/>
      </c>
      <c r="N593" s="44" t="str">
        <f t="shared" si="8"/>
        <v/>
      </c>
      <c r="O593" s="45" t="str">
        <f t="shared" si="9"/>
        <v/>
      </c>
      <c r="P593" s="5"/>
      <c r="Q593" s="5"/>
      <c r="R593" s="5"/>
    </row>
    <row r="594" ht="15.75" customHeight="1">
      <c r="A594" s="46"/>
      <c r="B594" s="47"/>
      <c r="C594" s="47"/>
      <c r="D594" s="47"/>
      <c r="E594" s="47"/>
      <c r="F594" s="48"/>
      <c r="G594" s="36" t="str">
        <f t="shared" si="1"/>
        <v/>
      </c>
      <c r="H594" s="37" t="str">
        <f t="shared" si="2"/>
        <v/>
      </c>
      <c r="I594" s="37" t="str">
        <f t="shared" si="3"/>
        <v/>
      </c>
      <c r="J594" s="37" t="str">
        <f t="shared" si="4"/>
        <v/>
      </c>
      <c r="K594" s="32" t="str">
        <f t="shared" si="5"/>
        <v/>
      </c>
      <c r="L594" s="32" t="str">
        <f t="shared" si="6"/>
        <v/>
      </c>
      <c r="M594" s="32" t="str">
        <f t="shared" si="7"/>
        <v/>
      </c>
      <c r="N594" s="44" t="str">
        <f t="shared" si="8"/>
        <v/>
      </c>
      <c r="O594" s="45" t="str">
        <f t="shared" si="9"/>
        <v/>
      </c>
      <c r="P594" s="5"/>
      <c r="Q594" s="5"/>
      <c r="R594" s="5"/>
    </row>
    <row r="595" ht="15.75" customHeight="1">
      <c r="A595" s="46"/>
      <c r="B595" s="47"/>
      <c r="C595" s="47"/>
      <c r="D595" s="47"/>
      <c r="E595" s="47"/>
      <c r="F595" s="48"/>
      <c r="G595" s="36" t="str">
        <f t="shared" si="1"/>
        <v/>
      </c>
      <c r="H595" s="37" t="str">
        <f t="shared" si="2"/>
        <v/>
      </c>
      <c r="I595" s="37" t="str">
        <f t="shared" si="3"/>
        <v/>
      </c>
      <c r="J595" s="37" t="str">
        <f t="shared" si="4"/>
        <v/>
      </c>
      <c r="K595" s="32" t="str">
        <f t="shared" si="5"/>
        <v/>
      </c>
      <c r="L595" s="32" t="str">
        <f t="shared" si="6"/>
        <v/>
      </c>
      <c r="M595" s="32" t="str">
        <f t="shared" si="7"/>
        <v/>
      </c>
      <c r="N595" s="44" t="str">
        <f t="shared" si="8"/>
        <v/>
      </c>
      <c r="O595" s="45" t="str">
        <f t="shared" si="9"/>
        <v/>
      </c>
      <c r="P595" s="5"/>
      <c r="Q595" s="5"/>
      <c r="R595" s="5"/>
    </row>
    <row r="596" ht="15.75" customHeight="1">
      <c r="A596" s="46"/>
      <c r="B596" s="47"/>
      <c r="C596" s="47"/>
      <c r="D596" s="47"/>
      <c r="E596" s="47"/>
      <c r="F596" s="48"/>
      <c r="G596" s="36" t="str">
        <f t="shared" si="1"/>
        <v/>
      </c>
      <c r="H596" s="37" t="str">
        <f t="shared" si="2"/>
        <v/>
      </c>
      <c r="I596" s="37" t="str">
        <f t="shared" si="3"/>
        <v/>
      </c>
      <c r="J596" s="37" t="str">
        <f t="shared" si="4"/>
        <v/>
      </c>
      <c r="K596" s="32" t="str">
        <f t="shared" si="5"/>
        <v/>
      </c>
      <c r="L596" s="32" t="str">
        <f t="shared" si="6"/>
        <v/>
      </c>
      <c r="M596" s="32" t="str">
        <f t="shared" si="7"/>
        <v/>
      </c>
      <c r="N596" s="44" t="str">
        <f t="shared" si="8"/>
        <v/>
      </c>
      <c r="O596" s="45" t="str">
        <f t="shared" si="9"/>
        <v/>
      </c>
      <c r="P596" s="5"/>
      <c r="Q596" s="5"/>
      <c r="R596" s="5"/>
    </row>
    <row r="597" ht="15.75" customHeight="1">
      <c r="A597" s="46"/>
      <c r="B597" s="47"/>
      <c r="C597" s="47"/>
      <c r="D597" s="47"/>
      <c r="E597" s="47"/>
      <c r="F597" s="48"/>
      <c r="G597" s="36" t="str">
        <f t="shared" si="1"/>
        <v/>
      </c>
      <c r="H597" s="37" t="str">
        <f t="shared" si="2"/>
        <v/>
      </c>
      <c r="I597" s="37" t="str">
        <f t="shared" si="3"/>
        <v/>
      </c>
      <c r="J597" s="37" t="str">
        <f t="shared" si="4"/>
        <v/>
      </c>
      <c r="K597" s="32" t="str">
        <f t="shared" si="5"/>
        <v/>
      </c>
      <c r="L597" s="32" t="str">
        <f t="shared" si="6"/>
        <v/>
      </c>
      <c r="M597" s="32" t="str">
        <f t="shared" si="7"/>
        <v/>
      </c>
      <c r="N597" s="44" t="str">
        <f t="shared" si="8"/>
        <v/>
      </c>
      <c r="O597" s="45" t="str">
        <f t="shared" si="9"/>
        <v/>
      </c>
      <c r="P597" s="5"/>
      <c r="Q597" s="5"/>
      <c r="R597" s="5"/>
    </row>
    <row r="598" ht="15.75" customHeight="1">
      <c r="A598" s="46"/>
      <c r="B598" s="47"/>
      <c r="C598" s="47"/>
      <c r="D598" s="47"/>
      <c r="E598" s="47"/>
      <c r="F598" s="48"/>
      <c r="G598" s="36" t="str">
        <f t="shared" si="1"/>
        <v/>
      </c>
      <c r="H598" s="37" t="str">
        <f t="shared" si="2"/>
        <v/>
      </c>
      <c r="I598" s="37" t="str">
        <f t="shared" si="3"/>
        <v/>
      </c>
      <c r="J598" s="37" t="str">
        <f t="shared" si="4"/>
        <v/>
      </c>
      <c r="K598" s="32" t="str">
        <f t="shared" si="5"/>
        <v/>
      </c>
      <c r="L598" s="32" t="str">
        <f t="shared" si="6"/>
        <v/>
      </c>
      <c r="M598" s="32" t="str">
        <f t="shared" si="7"/>
        <v/>
      </c>
      <c r="N598" s="44" t="str">
        <f t="shared" si="8"/>
        <v/>
      </c>
      <c r="O598" s="45" t="str">
        <f t="shared" si="9"/>
        <v/>
      </c>
      <c r="P598" s="5"/>
      <c r="Q598" s="5"/>
      <c r="R598" s="5"/>
    </row>
    <row r="599" ht="15.75" customHeight="1">
      <c r="A599" s="46"/>
      <c r="B599" s="47"/>
      <c r="C599" s="47"/>
      <c r="D599" s="47"/>
      <c r="E599" s="47"/>
      <c r="F599" s="48"/>
      <c r="G599" s="36" t="str">
        <f t="shared" si="1"/>
        <v/>
      </c>
      <c r="H599" s="37" t="str">
        <f t="shared" si="2"/>
        <v/>
      </c>
      <c r="I599" s="37" t="str">
        <f t="shared" si="3"/>
        <v/>
      </c>
      <c r="J599" s="37" t="str">
        <f t="shared" si="4"/>
        <v/>
      </c>
      <c r="K599" s="32" t="str">
        <f t="shared" si="5"/>
        <v/>
      </c>
      <c r="L599" s="32" t="str">
        <f t="shared" si="6"/>
        <v/>
      </c>
      <c r="M599" s="32" t="str">
        <f t="shared" si="7"/>
        <v/>
      </c>
      <c r="N599" s="44" t="str">
        <f t="shared" si="8"/>
        <v/>
      </c>
      <c r="O599" s="45" t="str">
        <f t="shared" si="9"/>
        <v/>
      </c>
      <c r="P599" s="5"/>
      <c r="Q599" s="5"/>
      <c r="R599" s="5"/>
    </row>
    <row r="600" ht="15.75" customHeight="1">
      <c r="A600" s="46"/>
      <c r="B600" s="47"/>
      <c r="C600" s="47"/>
      <c r="D600" s="47"/>
      <c r="E600" s="47"/>
      <c r="F600" s="48"/>
      <c r="G600" s="36" t="str">
        <f t="shared" si="1"/>
        <v/>
      </c>
      <c r="H600" s="37" t="str">
        <f t="shared" si="2"/>
        <v/>
      </c>
      <c r="I600" s="37" t="str">
        <f t="shared" si="3"/>
        <v/>
      </c>
      <c r="J600" s="37" t="str">
        <f t="shared" si="4"/>
        <v/>
      </c>
      <c r="K600" s="32" t="str">
        <f t="shared" si="5"/>
        <v/>
      </c>
      <c r="L600" s="32" t="str">
        <f t="shared" si="6"/>
        <v/>
      </c>
      <c r="M600" s="32" t="str">
        <f t="shared" si="7"/>
        <v/>
      </c>
      <c r="N600" s="44" t="str">
        <f t="shared" si="8"/>
        <v/>
      </c>
      <c r="O600" s="45" t="str">
        <f t="shared" si="9"/>
        <v/>
      </c>
      <c r="P600" s="5"/>
      <c r="Q600" s="5"/>
      <c r="R600" s="5"/>
    </row>
    <row r="601" ht="15.75" customHeight="1">
      <c r="A601" s="46"/>
      <c r="B601" s="47"/>
      <c r="C601" s="47"/>
      <c r="D601" s="47"/>
      <c r="E601" s="47"/>
      <c r="F601" s="48"/>
      <c r="G601" s="36" t="str">
        <f t="shared" si="1"/>
        <v/>
      </c>
      <c r="H601" s="37" t="str">
        <f t="shared" si="2"/>
        <v/>
      </c>
      <c r="I601" s="37" t="str">
        <f t="shared" si="3"/>
        <v/>
      </c>
      <c r="J601" s="37" t="str">
        <f t="shared" si="4"/>
        <v/>
      </c>
      <c r="K601" s="32" t="str">
        <f t="shared" si="5"/>
        <v/>
      </c>
      <c r="L601" s="32" t="str">
        <f t="shared" si="6"/>
        <v/>
      </c>
      <c r="M601" s="32" t="str">
        <f t="shared" si="7"/>
        <v/>
      </c>
      <c r="N601" s="44" t="str">
        <f t="shared" si="8"/>
        <v/>
      </c>
      <c r="O601" s="45" t="str">
        <f t="shared" si="9"/>
        <v/>
      </c>
      <c r="P601" s="5"/>
      <c r="Q601" s="5"/>
      <c r="R601" s="5"/>
    </row>
    <row r="602" ht="15.75" customHeight="1">
      <c r="A602" s="46"/>
      <c r="B602" s="47"/>
      <c r="C602" s="47"/>
      <c r="D602" s="47"/>
      <c r="E602" s="47"/>
      <c r="F602" s="48"/>
      <c r="G602" s="36" t="str">
        <f t="shared" si="1"/>
        <v/>
      </c>
      <c r="H602" s="37" t="str">
        <f t="shared" si="2"/>
        <v/>
      </c>
      <c r="I602" s="37" t="str">
        <f t="shared" si="3"/>
        <v/>
      </c>
      <c r="J602" s="37" t="str">
        <f t="shared" si="4"/>
        <v/>
      </c>
      <c r="K602" s="32" t="str">
        <f t="shared" si="5"/>
        <v/>
      </c>
      <c r="L602" s="32" t="str">
        <f t="shared" si="6"/>
        <v/>
      </c>
      <c r="M602" s="32" t="str">
        <f t="shared" si="7"/>
        <v/>
      </c>
      <c r="N602" s="44" t="str">
        <f t="shared" si="8"/>
        <v/>
      </c>
      <c r="O602" s="45" t="str">
        <f t="shared" si="9"/>
        <v/>
      </c>
      <c r="P602" s="5"/>
      <c r="Q602" s="5"/>
      <c r="R602" s="5"/>
    </row>
    <row r="603" ht="15.75" customHeight="1">
      <c r="A603" s="78"/>
      <c r="B603" s="79"/>
      <c r="C603" s="79"/>
      <c r="D603" s="79"/>
      <c r="E603" s="79"/>
      <c r="F603" s="80"/>
      <c r="G603" s="36" t="str">
        <f t="shared" si="1"/>
        <v/>
      </c>
      <c r="H603" s="37" t="str">
        <f t="shared" si="2"/>
        <v/>
      </c>
      <c r="I603" s="37" t="str">
        <f t="shared" si="3"/>
        <v/>
      </c>
      <c r="J603" s="37" t="str">
        <f t="shared" si="4"/>
        <v/>
      </c>
      <c r="K603" s="32" t="str">
        <f t="shared" si="5"/>
        <v/>
      </c>
      <c r="L603" s="32" t="str">
        <f t="shared" si="6"/>
        <v/>
      </c>
      <c r="M603" s="32" t="str">
        <f t="shared" si="7"/>
        <v/>
      </c>
      <c r="N603" s="44" t="str">
        <f t="shared" si="8"/>
        <v/>
      </c>
      <c r="O603" s="45" t="str">
        <f t="shared" si="9"/>
        <v/>
      </c>
      <c r="P603" s="5"/>
      <c r="Q603" s="5"/>
      <c r="R603" s="5"/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Q1:R1"/>
    <mergeCell ref="A2:O2"/>
  </mergeCells>
  <conditionalFormatting sqref="G4:G603">
    <cfRule type="cellIs" dxfId="0" priority="1" operator="greaterThan">
      <formula>0</formula>
    </cfRule>
  </conditionalFormatting>
  <conditionalFormatting sqref="G4:G603">
    <cfRule type="cellIs" dxfId="1" priority="2" operator="lessThan">
      <formula>0</formula>
    </cfRule>
  </conditionalFormatting>
  <conditionalFormatting sqref="H4:H603">
    <cfRule type="cellIs" dxfId="0" priority="3" operator="greaterThan">
      <formula>0</formula>
    </cfRule>
  </conditionalFormatting>
  <conditionalFormatting sqref="H4:H603">
    <cfRule type="cellIs" dxfId="1" priority="4" operator="lessThan">
      <formula>0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6" width="17.0"/>
    <col customWidth="1" min="7" max="37" width="15.13"/>
    <col customWidth="1" min="38" max="42" width="32.63"/>
    <col customWidth="1" min="43" max="47" width="42.63"/>
  </cols>
  <sheetData>
    <row r="1" ht="33.0" customHeight="1">
      <c r="A1" s="3" t="s">
        <v>1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32</v>
      </c>
      <c r="AA1" s="3" t="s">
        <v>33</v>
      </c>
      <c r="AB1" s="3" t="s">
        <v>34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3" t="s">
        <v>51</v>
      </c>
      <c r="AR1" s="3" t="s">
        <v>52</v>
      </c>
      <c r="AS1" s="3" t="s">
        <v>53</v>
      </c>
      <c r="AT1" s="3" t="s">
        <v>54</v>
      </c>
      <c r="AU1" s="3" t="s">
        <v>55</v>
      </c>
    </row>
    <row r="2" ht="72.0" customHeight="1">
      <c r="A2" s="17">
        <v>46234.417719907404</v>
      </c>
      <c r="B2" s="19" t="s">
        <v>56</v>
      </c>
      <c r="C2" s="19" t="s">
        <v>57</v>
      </c>
      <c r="D2" s="19" t="s">
        <v>58</v>
      </c>
      <c r="E2" s="19" t="s">
        <v>59</v>
      </c>
      <c r="F2" s="19" t="s">
        <v>60</v>
      </c>
      <c r="G2" s="20"/>
      <c r="H2" s="20"/>
      <c r="I2" s="20"/>
      <c r="J2" s="21">
        <v>2370.0</v>
      </c>
      <c r="K2" s="22">
        <v>0.0748</v>
      </c>
      <c r="L2" s="21">
        <v>2350.0</v>
      </c>
      <c r="M2" s="21">
        <v>2400.0</v>
      </c>
      <c r="N2" s="21">
        <v>2345.0</v>
      </c>
      <c r="O2" s="24">
        <v>2.1476796E7</v>
      </c>
      <c r="P2" s="19" t="s">
        <v>63</v>
      </c>
      <c r="Q2" s="22">
        <v>0.883</v>
      </c>
      <c r="R2" s="22">
        <v>-0.0832</v>
      </c>
      <c r="S2" s="22">
        <v>-0.1198</v>
      </c>
      <c r="T2" s="22">
        <v>-0.02</v>
      </c>
      <c r="U2" s="21">
        <v>2277.0</v>
      </c>
      <c r="V2" s="21">
        <v>2383.5</v>
      </c>
      <c r="W2" s="21">
        <v>2345.17</v>
      </c>
      <c r="X2" s="19">
        <v>33.1</v>
      </c>
      <c r="Y2" s="22">
        <v>0.369</v>
      </c>
      <c r="Z2" s="19" t="s">
        <v>67</v>
      </c>
      <c r="AA2" s="19" t="s">
        <v>68</v>
      </c>
      <c r="AB2" s="21">
        <v>1125.0</v>
      </c>
      <c r="AC2" s="21">
        <v>2535.0</v>
      </c>
      <c r="AD2" s="24">
        <v>6.158937875E13</v>
      </c>
      <c r="AE2" s="19" t="s">
        <v>69</v>
      </c>
      <c r="AF2" s="19">
        <v>87.38</v>
      </c>
      <c r="AG2" s="20"/>
      <c r="AH2" s="20"/>
      <c r="AI2" s="24">
        <v>2.5930379264E10</v>
      </c>
      <c r="AJ2" s="19" t="s">
        <v>71</v>
      </c>
      <c r="AK2" s="27">
        <v>46234.41388888889</v>
      </c>
      <c r="AL2" s="29" t="s">
        <v>72</v>
      </c>
      <c r="AM2" s="29" t="s">
        <v>73</v>
      </c>
      <c r="AN2" s="29" t="s">
        <v>74</v>
      </c>
      <c r="AO2" s="29" t="s">
        <v>75</v>
      </c>
      <c r="AP2" s="29" t="s">
        <v>76</v>
      </c>
      <c r="AQ2" s="29" t="s">
        <v>77</v>
      </c>
      <c r="AR2" s="29" t="s">
        <v>78</v>
      </c>
      <c r="AS2" s="29" t="s">
        <v>79</v>
      </c>
      <c r="AT2" s="29" t="s">
        <v>80</v>
      </c>
      <c r="AU2" s="29" t="s">
        <v>81</v>
      </c>
    </row>
    <row r="3" ht="72.0" customHeight="1">
      <c r="A3" s="17">
        <v>46234.43849537037</v>
      </c>
      <c r="B3" s="19" t="s">
        <v>82</v>
      </c>
      <c r="C3" s="19" t="s">
        <v>83</v>
      </c>
      <c r="D3" s="19" t="s">
        <v>84</v>
      </c>
      <c r="E3" s="19" t="s">
        <v>59</v>
      </c>
      <c r="F3" s="19" t="s">
        <v>60</v>
      </c>
      <c r="G3" s="20"/>
      <c r="H3" s="20"/>
      <c r="I3" s="20"/>
      <c r="J3" s="19">
        <v>121.0</v>
      </c>
      <c r="K3" s="22">
        <v>0.1</v>
      </c>
      <c r="L3" s="19">
        <v>121.0</v>
      </c>
      <c r="M3" s="19">
        <v>121.0</v>
      </c>
      <c r="N3" s="19">
        <v>121.0</v>
      </c>
      <c r="O3" s="24">
        <v>3.6884207E7</v>
      </c>
      <c r="P3" s="19" t="s">
        <v>85</v>
      </c>
      <c r="Q3" s="22">
        <v>0.556</v>
      </c>
      <c r="R3" s="22">
        <v>-0.2058</v>
      </c>
      <c r="S3" s="22">
        <v>-0.3491</v>
      </c>
      <c r="T3" s="22">
        <v>0.3237</v>
      </c>
      <c r="U3" s="19">
        <v>116.0</v>
      </c>
      <c r="V3" s="19">
        <v>143.63</v>
      </c>
      <c r="W3" s="19">
        <v>135.52</v>
      </c>
      <c r="X3" s="19">
        <v>28.9</v>
      </c>
      <c r="Y3" s="22">
        <v>0.945</v>
      </c>
      <c r="Z3" s="19" t="s">
        <v>67</v>
      </c>
      <c r="AA3" s="19" t="s">
        <v>86</v>
      </c>
      <c r="AB3" s="19">
        <v>40.1</v>
      </c>
      <c r="AC3" s="19">
        <v>185.5</v>
      </c>
      <c r="AD3" s="24">
        <v>1.52181458E12</v>
      </c>
      <c r="AE3" s="19" t="s">
        <v>87</v>
      </c>
      <c r="AF3" s="19">
        <v>3.98</v>
      </c>
      <c r="AG3" s="20"/>
      <c r="AH3" s="20"/>
      <c r="AI3" s="24">
        <v>1.2208239616E10</v>
      </c>
      <c r="AJ3" s="19" t="s">
        <v>71</v>
      </c>
      <c r="AK3" s="27">
        <v>46234.43472222222</v>
      </c>
      <c r="AL3" s="29" t="s">
        <v>88</v>
      </c>
      <c r="AM3" s="29" t="s">
        <v>89</v>
      </c>
      <c r="AN3" s="29" t="s">
        <v>90</v>
      </c>
      <c r="AO3" s="29" t="s">
        <v>92</v>
      </c>
      <c r="AP3" s="29" t="s">
        <v>76</v>
      </c>
      <c r="AQ3" s="29" t="s">
        <v>93</v>
      </c>
      <c r="AR3" s="29" t="s">
        <v>94</v>
      </c>
      <c r="AS3" s="29" t="s">
        <v>95</v>
      </c>
      <c r="AT3" s="29" t="s">
        <v>96</v>
      </c>
      <c r="AU3" s="29" t="s">
        <v>97</v>
      </c>
    </row>
    <row r="4" ht="72.0" customHeight="1">
      <c r="A4" s="17">
        <v>46234.442245370374</v>
      </c>
      <c r="B4" s="19" t="s">
        <v>82</v>
      </c>
      <c r="C4" s="19" t="s">
        <v>83</v>
      </c>
      <c r="D4" s="19" t="s">
        <v>84</v>
      </c>
      <c r="E4" s="19" t="s">
        <v>59</v>
      </c>
      <c r="F4" s="19" t="s">
        <v>60</v>
      </c>
      <c r="G4" s="19">
        <v>144.0</v>
      </c>
      <c r="H4" s="19">
        <v>-23.0</v>
      </c>
      <c r="I4" s="22">
        <v>-0.1597</v>
      </c>
      <c r="J4" s="19">
        <v>121.0</v>
      </c>
      <c r="K4" s="22">
        <v>0.1</v>
      </c>
      <c r="L4" s="19">
        <v>121.0</v>
      </c>
      <c r="M4" s="19">
        <v>121.0</v>
      </c>
      <c r="N4" s="19">
        <v>121.0</v>
      </c>
      <c r="O4" s="24">
        <v>3.6884207E7</v>
      </c>
      <c r="P4" s="19" t="s">
        <v>85</v>
      </c>
      <c r="Q4" s="22">
        <v>0.556</v>
      </c>
      <c r="R4" s="22">
        <v>-0.2058</v>
      </c>
      <c r="S4" s="22">
        <v>-0.3491</v>
      </c>
      <c r="T4" s="22">
        <v>0.3237</v>
      </c>
      <c r="U4" s="19">
        <v>116.0</v>
      </c>
      <c r="V4" s="19">
        <v>143.63</v>
      </c>
      <c r="W4" s="19">
        <v>135.52</v>
      </c>
      <c r="X4" s="19">
        <v>28.9</v>
      </c>
      <c r="Y4" s="22">
        <v>0.945</v>
      </c>
      <c r="Z4" s="19" t="s">
        <v>67</v>
      </c>
      <c r="AA4" s="19" t="s">
        <v>86</v>
      </c>
      <c r="AB4" s="19">
        <v>40.1</v>
      </c>
      <c r="AC4" s="19">
        <v>185.5</v>
      </c>
      <c r="AD4" s="24">
        <v>1.52181458E12</v>
      </c>
      <c r="AE4" s="19" t="s">
        <v>87</v>
      </c>
      <c r="AF4" s="19">
        <v>3.98</v>
      </c>
      <c r="AG4" s="20"/>
      <c r="AH4" s="20"/>
      <c r="AI4" s="24">
        <v>1.2208239616E10</v>
      </c>
      <c r="AJ4" s="19" t="s">
        <v>71</v>
      </c>
      <c r="AK4" s="27">
        <v>46234.43472222222</v>
      </c>
      <c r="AL4" s="29" t="s">
        <v>88</v>
      </c>
      <c r="AM4" s="29" t="s">
        <v>89</v>
      </c>
      <c r="AN4" s="29" t="s">
        <v>90</v>
      </c>
      <c r="AO4" s="29" t="s">
        <v>92</v>
      </c>
      <c r="AP4" s="29" t="s">
        <v>76</v>
      </c>
      <c r="AQ4" s="29" t="s">
        <v>93</v>
      </c>
      <c r="AR4" s="29" t="s">
        <v>94</v>
      </c>
      <c r="AS4" s="29" t="s">
        <v>95</v>
      </c>
      <c r="AT4" s="29" t="s">
        <v>96</v>
      </c>
      <c r="AU4" s="29" t="s">
        <v>97</v>
      </c>
    </row>
    <row r="5" ht="72.0" customHeight="1">
      <c r="A5" s="17">
        <v>46234.4425462963</v>
      </c>
      <c r="B5" s="19" t="s">
        <v>82</v>
      </c>
      <c r="C5" s="19" t="s">
        <v>83</v>
      </c>
      <c r="D5" s="19" t="s">
        <v>84</v>
      </c>
      <c r="E5" s="19" t="s">
        <v>59</v>
      </c>
      <c r="F5" s="19" t="s">
        <v>65</v>
      </c>
      <c r="G5" s="19">
        <v>144.0</v>
      </c>
      <c r="H5" s="19">
        <v>-23.0</v>
      </c>
      <c r="I5" s="22">
        <v>-0.1597</v>
      </c>
      <c r="J5" s="19">
        <v>121.0</v>
      </c>
      <c r="K5" s="22">
        <v>0.1</v>
      </c>
      <c r="L5" s="19">
        <v>121.0</v>
      </c>
      <c r="M5" s="19">
        <v>121.0</v>
      </c>
      <c r="N5" s="19">
        <v>121.0</v>
      </c>
      <c r="O5" s="24">
        <v>3.6884207E7</v>
      </c>
      <c r="P5" s="19" t="s">
        <v>85</v>
      </c>
      <c r="Q5" s="22">
        <v>0.556</v>
      </c>
      <c r="R5" s="22">
        <v>-0.2058</v>
      </c>
      <c r="S5" s="22">
        <v>-0.3491</v>
      </c>
      <c r="T5" s="22">
        <v>0.3237</v>
      </c>
      <c r="U5" s="19">
        <v>116.0</v>
      </c>
      <c r="V5" s="19">
        <v>143.63</v>
      </c>
      <c r="W5" s="19">
        <v>135.52</v>
      </c>
      <c r="X5" s="19">
        <v>28.9</v>
      </c>
      <c r="Y5" s="22">
        <v>0.945</v>
      </c>
      <c r="Z5" s="19" t="s">
        <v>67</v>
      </c>
      <c r="AA5" s="19" t="s">
        <v>86</v>
      </c>
      <c r="AB5" s="19">
        <v>40.1</v>
      </c>
      <c r="AC5" s="19">
        <v>185.5</v>
      </c>
      <c r="AD5" s="24">
        <v>1.52181458E12</v>
      </c>
      <c r="AE5" s="19" t="s">
        <v>87</v>
      </c>
      <c r="AF5" s="19">
        <v>3.98</v>
      </c>
      <c r="AG5" s="20"/>
      <c r="AH5" s="20"/>
      <c r="AI5" s="24">
        <v>1.2208239616E10</v>
      </c>
      <c r="AJ5" s="19" t="s">
        <v>71</v>
      </c>
      <c r="AK5" s="27">
        <v>46234.43472222222</v>
      </c>
      <c r="AL5" s="29" t="s">
        <v>88</v>
      </c>
      <c r="AM5" s="29" t="s">
        <v>89</v>
      </c>
      <c r="AN5" s="29" t="s">
        <v>90</v>
      </c>
      <c r="AO5" s="29" t="s">
        <v>92</v>
      </c>
      <c r="AP5" s="29" t="s">
        <v>76</v>
      </c>
      <c r="AQ5" s="29" t="s">
        <v>93</v>
      </c>
      <c r="AR5" s="29" t="s">
        <v>94</v>
      </c>
      <c r="AS5" s="29" t="s">
        <v>95</v>
      </c>
      <c r="AT5" s="29" t="s">
        <v>96</v>
      </c>
      <c r="AU5" s="29" t="s">
        <v>97</v>
      </c>
    </row>
    <row r="6">
      <c r="AL6" s="41"/>
      <c r="AM6" s="41"/>
      <c r="AN6" s="41"/>
      <c r="AO6" s="41"/>
      <c r="AP6" s="41"/>
      <c r="AQ6" s="41"/>
      <c r="AR6" s="41"/>
      <c r="AS6" s="41"/>
      <c r="AT6" s="41"/>
      <c r="AU6" s="41"/>
    </row>
    <row r="7">
      <c r="AL7" s="41"/>
      <c r="AM7" s="41"/>
      <c r="AN7" s="41"/>
      <c r="AO7" s="41"/>
      <c r="AP7" s="41"/>
      <c r="AQ7" s="41"/>
      <c r="AR7" s="41"/>
      <c r="AS7" s="41"/>
      <c r="AT7" s="41"/>
      <c r="AU7" s="41"/>
    </row>
    <row r="8">
      <c r="AL8" s="41"/>
      <c r="AM8" s="41"/>
      <c r="AN8" s="41"/>
      <c r="AO8" s="41"/>
      <c r="AP8" s="41"/>
      <c r="AQ8" s="41"/>
      <c r="AR8" s="41"/>
      <c r="AS8" s="41"/>
      <c r="AT8" s="41"/>
      <c r="AU8" s="41"/>
    </row>
    <row r="9">
      <c r="AL9" s="41"/>
      <c r="AM9" s="41"/>
      <c r="AN9" s="41"/>
      <c r="AO9" s="41"/>
      <c r="AP9" s="41"/>
      <c r="AQ9" s="41"/>
      <c r="AR9" s="41"/>
      <c r="AS9" s="41"/>
      <c r="AT9" s="41"/>
      <c r="AU9" s="41"/>
    </row>
    <row r="10">
      <c r="AL10" s="41"/>
      <c r="AM10" s="41"/>
      <c r="AN10" s="41"/>
      <c r="AO10" s="41"/>
      <c r="AP10" s="41"/>
      <c r="AQ10" s="41"/>
      <c r="AR10" s="41"/>
      <c r="AS10" s="41"/>
      <c r="AT10" s="41"/>
      <c r="AU10" s="41"/>
    </row>
    <row r="11">
      <c r="AL11" s="41"/>
      <c r="AM11" s="41"/>
      <c r="AN11" s="41"/>
      <c r="AO11" s="41"/>
      <c r="AP11" s="41"/>
      <c r="AQ11" s="41"/>
      <c r="AR11" s="41"/>
      <c r="AS11" s="41"/>
      <c r="AT11" s="41"/>
      <c r="AU11" s="41"/>
    </row>
    <row r="12">
      <c r="AL12" s="41"/>
      <c r="AM12" s="41"/>
      <c r="AN12" s="41"/>
      <c r="AO12" s="41"/>
      <c r="AP12" s="41"/>
      <c r="AQ12" s="41"/>
      <c r="AR12" s="41"/>
      <c r="AS12" s="41"/>
      <c r="AT12" s="41"/>
      <c r="AU12" s="41"/>
    </row>
    <row r="13">
      <c r="AL13" s="41"/>
      <c r="AM13" s="41"/>
      <c r="AN13" s="41"/>
      <c r="AO13" s="41"/>
      <c r="AP13" s="41"/>
      <c r="AQ13" s="41"/>
      <c r="AR13" s="41"/>
      <c r="AS13" s="41"/>
      <c r="AT13" s="41"/>
      <c r="AU13" s="41"/>
    </row>
    <row r="14">
      <c r="AL14" s="41"/>
      <c r="AM14" s="41"/>
      <c r="AN14" s="41"/>
      <c r="AO14" s="41"/>
      <c r="AP14" s="41"/>
      <c r="AQ14" s="41"/>
      <c r="AR14" s="41"/>
      <c r="AS14" s="41"/>
      <c r="AT14" s="41"/>
      <c r="AU14" s="41"/>
    </row>
    <row r="15">
      <c r="AL15" s="41"/>
      <c r="AM15" s="41"/>
      <c r="AN15" s="41"/>
      <c r="AO15" s="41"/>
      <c r="AP15" s="41"/>
      <c r="AQ15" s="41"/>
      <c r="AR15" s="41"/>
      <c r="AS15" s="41"/>
      <c r="AT15" s="41"/>
      <c r="AU15" s="41"/>
    </row>
    <row r="16">
      <c r="AL16" s="41"/>
      <c r="AM16" s="41"/>
      <c r="AN16" s="41"/>
      <c r="AO16" s="41"/>
      <c r="AP16" s="41"/>
      <c r="AQ16" s="41"/>
      <c r="AR16" s="41"/>
      <c r="AS16" s="41"/>
      <c r="AT16" s="41"/>
      <c r="AU16" s="41"/>
    </row>
    <row r="17">
      <c r="AL17" s="41"/>
      <c r="AM17" s="41"/>
      <c r="AN17" s="41"/>
      <c r="AO17" s="41"/>
      <c r="AP17" s="41"/>
      <c r="AQ17" s="41"/>
      <c r="AR17" s="41"/>
      <c r="AS17" s="41"/>
      <c r="AT17" s="41"/>
      <c r="AU17" s="41"/>
    </row>
    <row r="18">
      <c r="AL18" s="41"/>
      <c r="AM18" s="41"/>
      <c r="AN18" s="41"/>
      <c r="AO18" s="41"/>
      <c r="AP18" s="41"/>
      <c r="AQ18" s="41"/>
      <c r="AR18" s="41"/>
      <c r="AS18" s="41"/>
      <c r="AT18" s="41"/>
      <c r="AU18" s="41"/>
    </row>
    <row r="19">
      <c r="AL19" s="41"/>
      <c r="AM19" s="41"/>
      <c r="AN19" s="41"/>
      <c r="AO19" s="41"/>
      <c r="AP19" s="41"/>
      <c r="AQ19" s="41"/>
      <c r="AR19" s="41"/>
      <c r="AS19" s="41"/>
      <c r="AT19" s="41"/>
      <c r="AU19" s="41"/>
    </row>
    <row r="20">
      <c r="AL20" s="41"/>
      <c r="AM20" s="41"/>
      <c r="AN20" s="41"/>
      <c r="AO20" s="41"/>
      <c r="AP20" s="41"/>
      <c r="AQ20" s="41"/>
      <c r="AR20" s="41"/>
      <c r="AS20" s="41"/>
      <c r="AT20" s="41"/>
      <c r="AU20" s="41"/>
    </row>
    <row r="21">
      <c r="AL21" s="41"/>
      <c r="AM21" s="41"/>
      <c r="AN21" s="41"/>
      <c r="AO21" s="41"/>
      <c r="AP21" s="41"/>
      <c r="AQ21" s="41"/>
      <c r="AR21" s="41"/>
      <c r="AS21" s="41"/>
      <c r="AT21" s="41"/>
      <c r="AU21" s="41"/>
    </row>
    <row r="22">
      <c r="AL22" s="41"/>
      <c r="AM22" s="41"/>
      <c r="AN22" s="41"/>
      <c r="AO22" s="41"/>
      <c r="AP22" s="41"/>
      <c r="AQ22" s="41"/>
      <c r="AR22" s="41"/>
      <c r="AS22" s="41"/>
      <c r="AT22" s="41"/>
      <c r="AU22" s="41"/>
    </row>
    <row r="23">
      <c r="AL23" s="41"/>
      <c r="AM23" s="41"/>
      <c r="AN23" s="41"/>
      <c r="AO23" s="41"/>
      <c r="AP23" s="41"/>
      <c r="AQ23" s="41"/>
      <c r="AR23" s="41"/>
      <c r="AS23" s="41"/>
      <c r="AT23" s="41"/>
      <c r="AU23" s="41"/>
    </row>
    <row r="24">
      <c r="AL24" s="41"/>
      <c r="AM24" s="41"/>
      <c r="AN24" s="41"/>
      <c r="AO24" s="41"/>
      <c r="AP24" s="41"/>
      <c r="AQ24" s="41"/>
      <c r="AR24" s="41"/>
      <c r="AS24" s="41"/>
      <c r="AT24" s="41"/>
      <c r="AU24" s="41"/>
    </row>
    <row r="25">
      <c r="AL25" s="41"/>
      <c r="AM25" s="41"/>
      <c r="AN25" s="41"/>
      <c r="AO25" s="41"/>
      <c r="AP25" s="41"/>
      <c r="AQ25" s="41"/>
      <c r="AR25" s="41"/>
      <c r="AS25" s="41"/>
      <c r="AT25" s="41"/>
      <c r="AU25" s="41"/>
    </row>
    <row r="26">
      <c r="AL26" s="41"/>
      <c r="AM26" s="41"/>
      <c r="AN26" s="41"/>
      <c r="AO26" s="41"/>
      <c r="AP26" s="41"/>
      <c r="AQ26" s="41"/>
      <c r="AR26" s="41"/>
      <c r="AS26" s="41"/>
      <c r="AT26" s="41"/>
      <c r="AU26" s="41"/>
    </row>
    <row r="27">
      <c r="AL27" s="41"/>
      <c r="AM27" s="41"/>
      <c r="AN27" s="41"/>
      <c r="AO27" s="41"/>
      <c r="AP27" s="41"/>
      <c r="AQ27" s="41"/>
      <c r="AR27" s="41"/>
      <c r="AS27" s="41"/>
      <c r="AT27" s="41"/>
      <c r="AU27" s="41"/>
    </row>
    <row r="28">
      <c r="AL28" s="41"/>
      <c r="AM28" s="41"/>
      <c r="AN28" s="41"/>
      <c r="AO28" s="41"/>
      <c r="AP28" s="41"/>
      <c r="AQ28" s="41"/>
      <c r="AR28" s="41"/>
      <c r="AS28" s="41"/>
      <c r="AT28" s="41"/>
      <c r="AU28" s="41"/>
    </row>
    <row r="29">
      <c r="AL29" s="41"/>
      <c r="AM29" s="41"/>
      <c r="AN29" s="41"/>
      <c r="AO29" s="41"/>
      <c r="AP29" s="41"/>
      <c r="AQ29" s="41"/>
      <c r="AR29" s="41"/>
      <c r="AS29" s="41"/>
      <c r="AT29" s="41"/>
      <c r="AU29" s="41"/>
    </row>
    <row r="30">
      <c r="AL30" s="41"/>
      <c r="AM30" s="41"/>
      <c r="AN30" s="41"/>
      <c r="AO30" s="41"/>
      <c r="AP30" s="41"/>
      <c r="AQ30" s="41"/>
      <c r="AR30" s="41"/>
      <c r="AS30" s="41"/>
      <c r="AT30" s="41"/>
      <c r="AU30" s="41"/>
    </row>
    <row r="31">
      <c r="AL31" s="41"/>
      <c r="AM31" s="41"/>
      <c r="AN31" s="41"/>
      <c r="AO31" s="41"/>
      <c r="AP31" s="41"/>
      <c r="AQ31" s="41"/>
      <c r="AR31" s="41"/>
      <c r="AS31" s="41"/>
      <c r="AT31" s="41"/>
      <c r="AU31" s="41"/>
    </row>
    <row r="32">
      <c r="AL32" s="41"/>
      <c r="AM32" s="41"/>
      <c r="AN32" s="41"/>
      <c r="AO32" s="41"/>
      <c r="AP32" s="41"/>
      <c r="AQ32" s="41"/>
      <c r="AR32" s="41"/>
      <c r="AS32" s="41"/>
      <c r="AT32" s="41"/>
      <c r="AU32" s="41"/>
    </row>
    <row r="33">
      <c r="AL33" s="41"/>
      <c r="AM33" s="41"/>
      <c r="AN33" s="41"/>
      <c r="AO33" s="41"/>
      <c r="AP33" s="41"/>
      <c r="AQ33" s="41"/>
      <c r="AR33" s="41"/>
      <c r="AS33" s="41"/>
      <c r="AT33" s="41"/>
      <c r="AU33" s="41"/>
    </row>
    <row r="34">
      <c r="AL34" s="41"/>
      <c r="AM34" s="41"/>
      <c r="AN34" s="41"/>
      <c r="AO34" s="41"/>
      <c r="AP34" s="41"/>
      <c r="AQ34" s="41"/>
      <c r="AR34" s="41"/>
      <c r="AS34" s="41"/>
      <c r="AT34" s="41"/>
      <c r="AU34" s="41"/>
    </row>
    <row r="35">
      <c r="AL35" s="41"/>
      <c r="AM35" s="41"/>
      <c r="AN35" s="41"/>
      <c r="AO35" s="41"/>
      <c r="AP35" s="41"/>
      <c r="AQ35" s="41"/>
      <c r="AR35" s="41"/>
      <c r="AS35" s="41"/>
      <c r="AT35" s="41"/>
      <c r="AU35" s="41"/>
    </row>
    <row r="36">
      <c r="AL36" s="41"/>
      <c r="AM36" s="41"/>
      <c r="AN36" s="41"/>
      <c r="AO36" s="41"/>
      <c r="AP36" s="41"/>
      <c r="AQ36" s="41"/>
      <c r="AR36" s="41"/>
      <c r="AS36" s="41"/>
      <c r="AT36" s="41"/>
      <c r="AU36" s="41"/>
    </row>
    <row r="37">
      <c r="AL37" s="41"/>
      <c r="AM37" s="41"/>
      <c r="AN37" s="41"/>
      <c r="AO37" s="41"/>
      <c r="AP37" s="41"/>
      <c r="AQ37" s="41"/>
      <c r="AR37" s="41"/>
      <c r="AS37" s="41"/>
      <c r="AT37" s="41"/>
      <c r="AU37" s="41"/>
    </row>
    <row r="38">
      <c r="AL38" s="41"/>
      <c r="AM38" s="41"/>
      <c r="AN38" s="41"/>
      <c r="AO38" s="41"/>
      <c r="AP38" s="41"/>
      <c r="AQ38" s="41"/>
      <c r="AR38" s="41"/>
      <c r="AS38" s="41"/>
      <c r="AT38" s="41"/>
      <c r="AU38" s="41"/>
    </row>
    <row r="39">
      <c r="AL39" s="41"/>
      <c r="AM39" s="41"/>
      <c r="AN39" s="41"/>
      <c r="AO39" s="41"/>
      <c r="AP39" s="41"/>
      <c r="AQ39" s="41"/>
      <c r="AR39" s="41"/>
      <c r="AS39" s="41"/>
      <c r="AT39" s="41"/>
      <c r="AU39" s="41"/>
    </row>
    <row r="40">
      <c r="AL40" s="41"/>
      <c r="AM40" s="41"/>
      <c r="AN40" s="41"/>
      <c r="AO40" s="41"/>
      <c r="AP40" s="41"/>
      <c r="AQ40" s="41"/>
      <c r="AR40" s="41"/>
      <c r="AS40" s="41"/>
      <c r="AT40" s="41"/>
      <c r="AU40" s="41"/>
    </row>
    <row r="41">
      <c r="AL41" s="41"/>
      <c r="AM41" s="41"/>
      <c r="AN41" s="41"/>
      <c r="AO41" s="41"/>
      <c r="AP41" s="41"/>
      <c r="AQ41" s="41"/>
      <c r="AR41" s="41"/>
      <c r="AS41" s="41"/>
      <c r="AT41" s="41"/>
      <c r="AU41" s="41"/>
    </row>
    <row r="42">
      <c r="AL42" s="41"/>
      <c r="AM42" s="41"/>
      <c r="AN42" s="41"/>
      <c r="AO42" s="41"/>
      <c r="AP42" s="41"/>
      <c r="AQ42" s="41"/>
      <c r="AR42" s="41"/>
      <c r="AS42" s="41"/>
      <c r="AT42" s="41"/>
      <c r="AU42" s="41"/>
    </row>
    <row r="43">
      <c r="AL43" s="41"/>
      <c r="AM43" s="41"/>
      <c r="AN43" s="41"/>
      <c r="AO43" s="41"/>
      <c r="AP43" s="41"/>
      <c r="AQ43" s="41"/>
      <c r="AR43" s="41"/>
      <c r="AS43" s="41"/>
      <c r="AT43" s="41"/>
      <c r="AU43" s="41"/>
    </row>
    <row r="44">
      <c r="AL44" s="41"/>
      <c r="AM44" s="41"/>
      <c r="AN44" s="41"/>
      <c r="AO44" s="41"/>
      <c r="AP44" s="41"/>
      <c r="AQ44" s="41"/>
      <c r="AR44" s="41"/>
      <c r="AS44" s="41"/>
      <c r="AT44" s="41"/>
      <c r="AU44" s="41"/>
    </row>
    <row r="45">
      <c r="AL45" s="41"/>
      <c r="AM45" s="41"/>
      <c r="AN45" s="41"/>
      <c r="AO45" s="41"/>
      <c r="AP45" s="41"/>
      <c r="AQ45" s="41"/>
      <c r="AR45" s="41"/>
      <c r="AS45" s="41"/>
      <c r="AT45" s="41"/>
      <c r="AU45" s="41"/>
    </row>
    <row r="46">
      <c r="AL46" s="41"/>
      <c r="AM46" s="41"/>
      <c r="AN46" s="41"/>
      <c r="AO46" s="41"/>
      <c r="AP46" s="41"/>
      <c r="AQ46" s="41"/>
      <c r="AR46" s="41"/>
      <c r="AS46" s="41"/>
      <c r="AT46" s="41"/>
      <c r="AU46" s="41"/>
    </row>
    <row r="47">
      <c r="AL47" s="41"/>
      <c r="AM47" s="41"/>
      <c r="AN47" s="41"/>
      <c r="AO47" s="41"/>
      <c r="AP47" s="41"/>
      <c r="AQ47" s="41"/>
      <c r="AR47" s="41"/>
      <c r="AS47" s="41"/>
      <c r="AT47" s="41"/>
      <c r="AU47" s="41"/>
    </row>
    <row r="48">
      <c r="AL48" s="41"/>
      <c r="AM48" s="41"/>
      <c r="AN48" s="41"/>
      <c r="AO48" s="41"/>
      <c r="AP48" s="41"/>
      <c r="AQ48" s="41"/>
      <c r="AR48" s="41"/>
      <c r="AS48" s="41"/>
      <c r="AT48" s="41"/>
      <c r="AU48" s="41"/>
    </row>
    <row r="49">
      <c r="AL49" s="41"/>
      <c r="AM49" s="41"/>
      <c r="AN49" s="41"/>
      <c r="AO49" s="41"/>
      <c r="AP49" s="41"/>
      <c r="AQ49" s="41"/>
      <c r="AR49" s="41"/>
      <c r="AS49" s="41"/>
      <c r="AT49" s="41"/>
      <c r="AU49" s="41"/>
    </row>
    <row r="50">
      <c r="AL50" s="41"/>
      <c r="AM50" s="41"/>
      <c r="AN50" s="41"/>
      <c r="AO50" s="41"/>
      <c r="AP50" s="41"/>
      <c r="AQ50" s="41"/>
      <c r="AR50" s="41"/>
      <c r="AS50" s="41"/>
      <c r="AT50" s="41"/>
      <c r="AU50" s="41"/>
    </row>
    <row r="51">
      <c r="AL51" s="41"/>
      <c r="AM51" s="41"/>
      <c r="AN51" s="41"/>
      <c r="AO51" s="41"/>
      <c r="AP51" s="41"/>
      <c r="AQ51" s="41"/>
      <c r="AR51" s="41"/>
      <c r="AS51" s="41"/>
      <c r="AT51" s="41"/>
      <c r="AU51" s="41"/>
    </row>
    <row r="52">
      <c r="AL52" s="41"/>
      <c r="AM52" s="41"/>
      <c r="AN52" s="41"/>
      <c r="AO52" s="41"/>
      <c r="AP52" s="41"/>
      <c r="AQ52" s="41"/>
      <c r="AR52" s="41"/>
      <c r="AS52" s="41"/>
      <c r="AT52" s="41"/>
      <c r="AU52" s="41"/>
    </row>
    <row r="53">
      <c r="AL53" s="41"/>
      <c r="AM53" s="41"/>
      <c r="AN53" s="41"/>
      <c r="AO53" s="41"/>
      <c r="AP53" s="41"/>
      <c r="AQ53" s="41"/>
      <c r="AR53" s="41"/>
      <c r="AS53" s="41"/>
      <c r="AT53" s="41"/>
      <c r="AU53" s="41"/>
    </row>
    <row r="54">
      <c r="AL54" s="41"/>
      <c r="AM54" s="41"/>
      <c r="AN54" s="41"/>
      <c r="AO54" s="41"/>
      <c r="AP54" s="41"/>
      <c r="AQ54" s="41"/>
      <c r="AR54" s="41"/>
      <c r="AS54" s="41"/>
      <c r="AT54" s="41"/>
      <c r="AU54" s="41"/>
    </row>
    <row r="55">
      <c r="AL55" s="41"/>
      <c r="AM55" s="41"/>
      <c r="AN55" s="41"/>
      <c r="AO55" s="41"/>
      <c r="AP55" s="41"/>
      <c r="AQ55" s="41"/>
      <c r="AR55" s="41"/>
      <c r="AS55" s="41"/>
      <c r="AT55" s="41"/>
      <c r="AU55" s="41"/>
    </row>
    <row r="56">
      <c r="AL56" s="41"/>
      <c r="AM56" s="41"/>
      <c r="AN56" s="41"/>
      <c r="AO56" s="41"/>
      <c r="AP56" s="41"/>
      <c r="AQ56" s="41"/>
      <c r="AR56" s="41"/>
      <c r="AS56" s="41"/>
      <c r="AT56" s="41"/>
      <c r="AU56" s="41"/>
    </row>
    <row r="57">
      <c r="AL57" s="41"/>
      <c r="AM57" s="41"/>
      <c r="AN57" s="41"/>
      <c r="AO57" s="41"/>
      <c r="AP57" s="41"/>
      <c r="AQ57" s="41"/>
      <c r="AR57" s="41"/>
      <c r="AS57" s="41"/>
      <c r="AT57" s="41"/>
      <c r="AU57" s="41"/>
    </row>
    <row r="58">
      <c r="AL58" s="41"/>
      <c r="AM58" s="41"/>
      <c r="AN58" s="41"/>
      <c r="AO58" s="41"/>
      <c r="AP58" s="41"/>
      <c r="AQ58" s="41"/>
      <c r="AR58" s="41"/>
      <c r="AS58" s="41"/>
      <c r="AT58" s="41"/>
      <c r="AU58" s="41"/>
    </row>
    <row r="59">
      <c r="AL59" s="41"/>
      <c r="AM59" s="41"/>
      <c r="AN59" s="41"/>
      <c r="AO59" s="41"/>
      <c r="AP59" s="41"/>
      <c r="AQ59" s="41"/>
      <c r="AR59" s="41"/>
      <c r="AS59" s="41"/>
      <c r="AT59" s="41"/>
      <c r="AU59" s="41"/>
    </row>
    <row r="60">
      <c r="AL60" s="41"/>
      <c r="AM60" s="41"/>
      <c r="AN60" s="41"/>
      <c r="AO60" s="41"/>
      <c r="AP60" s="41"/>
      <c r="AQ60" s="41"/>
      <c r="AR60" s="41"/>
      <c r="AS60" s="41"/>
      <c r="AT60" s="41"/>
      <c r="AU60" s="41"/>
    </row>
    <row r="61">
      <c r="AL61" s="41"/>
      <c r="AM61" s="41"/>
      <c r="AN61" s="41"/>
      <c r="AO61" s="41"/>
      <c r="AP61" s="41"/>
      <c r="AQ61" s="41"/>
      <c r="AR61" s="41"/>
      <c r="AS61" s="41"/>
      <c r="AT61" s="41"/>
      <c r="AU61" s="41"/>
    </row>
    <row r="62">
      <c r="AL62" s="41"/>
      <c r="AM62" s="41"/>
      <c r="AN62" s="41"/>
      <c r="AO62" s="41"/>
      <c r="AP62" s="41"/>
      <c r="AQ62" s="41"/>
      <c r="AR62" s="41"/>
      <c r="AS62" s="41"/>
      <c r="AT62" s="41"/>
      <c r="AU62" s="41"/>
    </row>
    <row r="63">
      <c r="AL63" s="41"/>
      <c r="AM63" s="41"/>
      <c r="AN63" s="41"/>
      <c r="AO63" s="41"/>
      <c r="AP63" s="41"/>
      <c r="AQ63" s="41"/>
      <c r="AR63" s="41"/>
      <c r="AS63" s="41"/>
      <c r="AT63" s="41"/>
      <c r="AU63" s="41"/>
    </row>
    <row r="64">
      <c r="AL64" s="41"/>
      <c r="AM64" s="41"/>
      <c r="AN64" s="41"/>
      <c r="AO64" s="41"/>
      <c r="AP64" s="41"/>
      <c r="AQ64" s="41"/>
      <c r="AR64" s="41"/>
      <c r="AS64" s="41"/>
      <c r="AT64" s="41"/>
      <c r="AU64" s="41"/>
    </row>
    <row r="65">
      <c r="AL65" s="41"/>
      <c r="AM65" s="41"/>
      <c r="AN65" s="41"/>
      <c r="AO65" s="41"/>
      <c r="AP65" s="41"/>
      <c r="AQ65" s="41"/>
      <c r="AR65" s="41"/>
      <c r="AS65" s="41"/>
      <c r="AT65" s="41"/>
      <c r="AU65" s="41"/>
    </row>
    <row r="66">
      <c r="AL66" s="41"/>
      <c r="AM66" s="41"/>
      <c r="AN66" s="41"/>
      <c r="AO66" s="41"/>
      <c r="AP66" s="41"/>
      <c r="AQ66" s="41"/>
      <c r="AR66" s="41"/>
      <c r="AS66" s="41"/>
      <c r="AT66" s="41"/>
      <c r="AU66" s="41"/>
    </row>
    <row r="67">
      <c r="AL67" s="41"/>
      <c r="AM67" s="41"/>
      <c r="AN67" s="41"/>
      <c r="AO67" s="41"/>
      <c r="AP67" s="41"/>
      <c r="AQ67" s="41"/>
      <c r="AR67" s="41"/>
      <c r="AS67" s="41"/>
      <c r="AT67" s="41"/>
      <c r="AU67" s="41"/>
    </row>
    <row r="68">
      <c r="AL68" s="41"/>
      <c r="AM68" s="41"/>
      <c r="AN68" s="41"/>
      <c r="AO68" s="41"/>
      <c r="AP68" s="41"/>
      <c r="AQ68" s="41"/>
      <c r="AR68" s="41"/>
      <c r="AS68" s="41"/>
      <c r="AT68" s="41"/>
      <c r="AU68" s="41"/>
    </row>
    <row r="69">
      <c r="AL69" s="41"/>
      <c r="AM69" s="41"/>
      <c r="AN69" s="41"/>
      <c r="AO69" s="41"/>
      <c r="AP69" s="41"/>
      <c r="AQ69" s="41"/>
      <c r="AR69" s="41"/>
      <c r="AS69" s="41"/>
      <c r="AT69" s="41"/>
      <c r="AU69" s="41"/>
    </row>
    <row r="70">
      <c r="AL70" s="41"/>
      <c r="AM70" s="41"/>
      <c r="AN70" s="41"/>
      <c r="AO70" s="41"/>
      <c r="AP70" s="41"/>
      <c r="AQ70" s="41"/>
      <c r="AR70" s="41"/>
      <c r="AS70" s="41"/>
      <c r="AT70" s="41"/>
      <c r="AU70" s="41"/>
    </row>
    <row r="71">
      <c r="AL71" s="41"/>
      <c r="AM71" s="41"/>
      <c r="AN71" s="41"/>
      <c r="AO71" s="41"/>
      <c r="AP71" s="41"/>
      <c r="AQ71" s="41"/>
      <c r="AR71" s="41"/>
      <c r="AS71" s="41"/>
      <c r="AT71" s="41"/>
      <c r="AU71" s="41"/>
    </row>
    <row r="72">
      <c r="AL72" s="41"/>
      <c r="AM72" s="41"/>
      <c r="AN72" s="41"/>
      <c r="AO72" s="41"/>
      <c r="AP72" s="41"/>
      <c r="AQ72" s="41"/>
      <c r="AR72" s="41"/>
      <c r="AS72" s="41"/>
      <c r="AT72" s="41"/>
      <c r="AU72" s="41"/>
    </row>
    <row r="73">
      <c r="AL73" s="41"/>
      <c r="AM73" s="41"/>
      <c r="AN73" s="41"/>
      <c r="AO73" s="41"/>
      <c r="AP73" s="41"/>
      <c r="AQ73" s="41"/>
      <c r="AR73" s="41"/>
      <c r="AS73" s="41"/>
      <c r="AT73" s="41"/>
      <c r="AU73" s="41"/>
    </row>
    <row r="74">
      <c r="AL74" s="41"/>
      <c r="AM74" s="41"/>
      <c r="AN74" s="41"/>
      <c r="AO74" s="41"/>
      <c r="AP74" s="41"/>
      <c r="AQ74" s="41"/>
      <c r="AR74" s="41"/>
      <c r="AS74" s="41"/>
      <c r="AT74" s="41"/>
      <c r="AU74" s="41"/>
    </row>
    <row r="75">
      <c r="AL75" s="41"/>
      <c r="AM75" s="41"/>
      <c r="AN75" s="41"/>
      <c r="AO75" s="41"/>
      <c r="AP75" s="41"/>
      <c r="AQ75" s="41"/>
      <c r="AR75" s="41"/>
      <c r="AS75" s="41"/>
      <c r="AT75" s="41"/>
      <c r="AU75" s="41"/>
    </row>
    <row r="76">
      <c r="AL76" s="41"/>
      <c r="AM76" s="41"/>
      <c r="AN76" s="41"/>
      <c r="AO76" s="41"/>
      <c r="AP76" s="41"/>
      <c r="AQ76" s="41"/>
      <c r="AR76" s="41"/>
      <c r="AS76" s="41"/>
      <c r="AT76" s="41"/>
      <c r="AU76" s="41"/>
    </row>
    <row r="77">
      <c r="AL77" s="41"/>
      <c r="AM77" s="41"/>
      <c r="AN77" s="41"/>
      <c r="AO77" s="41"/>
      <c r="AP77" s="41"/>
      <c r="AQ77" s="41"/>
      <c r="AR77" s="41"/>
      <c r="AS77" s="41"/>
      <c r="AT77" s="41"/>
      <c r="AU77" s="41"/>
    </row>
    <row r="78">
      <c r="AL78" s="41"/>
      <c r="AM78" s="41"/>
      <c r="AN78" s="41"/>
      <c r="AO78" s="41"/>
      <c r="AP78" s="41"/>
      <c r="AQ78" s="41"/>
      <c r="AR78" s="41"/>
      <c r="AS78" s="41"/>
      <c r="AT78" s="41"/>
      <c r="AU78" s="41"/>
    </row>
    <row r="79">
      <c r="AL79" s="41"/>
      <c r="AM79" s="41"/>
      <c r="AN79" s="41"/>
      <c r="AO79" s="41"/>
      <c r="AP79" s="41"/>
      <c r="AQ79" s="41"/>
      <c r="AR79" s="41"/>
      <c r="AS79" s="41"/>
      <c r="AT79" s="41"/>
      <c r="AU79" s="41"/>
    </row>
    <row r="80">
      <c r="AL80" s="41"/>
      <c r="AM80" s="41"/>
      <c r="AN80" s="41"/>
      <c r="AO80" s="41"/>
      <c r="AP80" s="41"/>
      <c r="AQ80" s="41"/>
      <c r="AR80" s="41"/>
      <c r="AS80" s="41"/>
      <c r="AT80" s="41"/>
      <c r="AU80" s="41"/>
    </row>
    <row r="81">
      <c r="AL81" s="41"/>
      <c r="AM81" s="41"/>
      <c r="AN81" s="41"/>
      <c r="AO81" s="41"/>
      <c r="AP81" s="41"/>
      <c r="AQ81" s="41"/>
      <c r="AR81" s="41"/>
      <c r="AS81" s="41"/>
      <c r="AT81" s="41"/>
      <c r="AU81" s="41"/>
    </row>
    <row r="82">
      <c r="AL82" s="41"/>
      <c r="AM82" s="41"/>
      <c r="AN82" s="41"/>
      <c r="AO82" s="41"/>
      <c r="AP82" s="41"/>
      <c r="AQ82" s="41"/>
      <c r="AR82" s="41"/>
      <c r="AS82" s="41"/>
      <c r="AT82" s="41"/>
      <c r="AU82" s="41"/>
    </row>
    <row r="83">
      <c r="AL83" s="41"/>
      <c r="AM83" s="41"/>
      <c r="AN83" s="41"/>
      <c r="AO83" s="41"/>
      <c r="AP83" s="41"/>
      <c r="AQ83" s="41"/>
      <c r="AR83" s="41"/>
      <c r="AS83" s="41"/>
      <c r="AT83" s="41"/>
      <c r="AU83" s="41"/>
    </row>
    <row r="84">
      <c r="AL84" s="41"/>
      <c r="AM84" s="41"/>
      <c r="AN84" s="41"/>
      <c r="AO84" s="41"/>
      <c r="AP84" s="41"/>
      <c r="AQ84" s="41"/>
      <c r="AR84" s="41"/>
      <c r="AS84" s="41"/>
      <c r="AT84" s="41"/>
      <c r="AU84" s="41"/>
    </row>
    <row r="85">
      <c r="AL85" s="41"/>
      <c r="AM85" s="41"/>
      <c r="AN85" s="41"/>
      <c r="AO85" s="41"/>
      <c r="AP85" s="41"/>
      <c r="AQ85" s="41"/>
      <c r="AR85" s="41"/>
      <c r="AS85" s="41"/>
      <c r="AT85" s="41"/>
      <c r="AU85" s="41"/>
    </row>
    <row r="86">
      <c r="AL86" s="41"/>
      <c r="AM86" s="41"/>
      <c r="AN86" s="41"/>
      <c r="AO86" s="41"/>
      <c r="AP86" s="41"/>
      <c r="AQ86" s="41"/>
      <c r="AR86" s="41"/>
      <c r="AS86" s="41"/>
      <c r="AT86" s="41"/>
      <c r="AU86" s="41"/>
    </row>
    <row r="87">
      <c r="AL87" s="41"/>
      <c r="AM87" s="41"/>
      <c r="AN87" s="41"/>
      <c r="AO87" s="41"/>
      <c r="AP87" s="41"/>
      <c r="AQ87" s="41"/>
      <c r="AR87" s="41"/>
      <c r="AS87" s="41"/>
      <c r="AT87" s="41"/>
      <c r="AU87" s="41"/>
    </row>
    <row r="88">
      <c r="AL88" s="41"/>
      <c r="AM88" s="41"/>
      <c r="AN88" s="41"/>
      <c r="AO88" s="41"/>
      <c r="AP88" s="41"/>
      <c r="AQ88" s="41"/>
      <c r="AR88" s="41"/>
      <c r="AS88" s="41"/>
      <c r="AT88" s="41"/>
      <c r="AU88" s="41"/>
    </row>
    <row r="89">
      <c r="AL89" s="41"/>
      <c r="AM89" s="41"/>
      <c r="AN89" s="41"/>
      <c r="AO89" s="41"/>
      <c r="AP89" s="41"/>
      <c r="AQ89" s="41"/>
      <c r="AR89" s="41"/>
      <c r="AS89" s="41"/>
      <c r="AT89" s="41"/>
      <c r="AU89" s="41"/>
    </row>
    <row r="90">
      <c r="AL90" s="41"/>
      <c r="AM90" s="41"/>
      <c r="AN90" s="41"/>
      <c r="AO90" s="41"/>
      <c r="AP90" s="41"/>
      <c r="AQ90" s="41"/>
      <c r="AR90" s="41"/>
      <c r="AS90" s="41"/>
      <c r="AT90" s="41"/>
      <c r="AU90" s="41"/>
    </row>
    <row r="91">
      <c r="AL91" s="41"/>
      <c r="AM91" s="41"/>
      <c r="AN91" s="41"/>
      <c r="AO91" s="41"/>
      <c r="AP91" s="41"/>
      <c r="AQ91" s="41"/>
      <c r="AR91" s="41"/>
      <c r="AS91" s="41"/>
      <c r="AT91" s="41"/>
      <c r="AU91" s="41"/>
    </row>
    <row r="92">
      <c r="AL92" s="41"/>
      <c r="AM92" s="41"/>
      <c r="AN92" s="41"/>
      <c r="AO92" s="41"/>
      <c r="AP92" s="41"/>
      <c r="AQ92" s="41"/>
      <c r="AR92" s="41"/>
      <c r="AS92" s="41"/>
      <c r="AT92" s="41"/>
      <c r="AU92" s="41"/>
    </row>
    <row r="93">
      <c r="AL93" s="41"/>
      <c r="AM93" s="41"/>
      <c r="AN93" s="41"/>
      <c r="AO93" s="41"/>
      <c r="AP93" s="41"/>
      <c r="AQ93" s="41"/>
      <c r="AR93" s="41"/>
      <c r="AS93" s="41"/>
      <c r="AT93" s="41"/>
      <c r="AU93" s="41"/>
    </row>
    <row r="94">
      <c r="AL94" s="41"/>
      <c r="AM94" s="41"/>
      <c r="AN94" s="41"/>
      <c r="AO94" s="41"/>
      <c r="AP94" s="41"/>
      <c r="AQ94" s="41"/>
      <c r="AR94" s="41"/>
      <c r="AS94" s="41"/>
      <c r="AT94" s="41"/>
      <c r="AU94" s="41"/>
    </row>
    <row r="95">
      <c r="AL95" s="41"/>
      <c r="AM95" s="41"/>
      <c r="AN95" s="41"/>
      <c r="AO95" s="41"/>
      <c r="AP95" s="41"/>
      <c r="AQ95" s="41"/>
      <c r="AR95" s="41"/>
      <c r="AS95" s="41"/>
      <c r="AT95" s="41"/>
      <c r="AU95" s="41"/>
    </row>
    <row r="96">
      <c r="AL96" s="41"/>
      <c r="AM96" s="41"/>
      <c r="AN96" s="41"/>
      <c r="AO96" s="41"/>
      <c r="AP96" s="41"/>
      <c r="AQ96" s="41"/>
      <c r="AR96" s="41"/>
      <c r="AS96" s="41"/>
      <c r="AT96" s="41"/>
      <c r="AU96" s="41"/>
    </row>
    <row r="97">
      <c r="AL97" s="41"/>
      <c r="AM97" s="41"/>
      <c r="AN97" s="41"/>
      <c r="AO97" s="41"/>
      <c r="AP97" s="41"/>
      <c r="AQ97" s="41"/>
      <c r="AR97" s="41"/>
      <c r="AS97" s="41"/>
      <c r="AT97" s="41"/>
      <c r="AU97" s="41"/>
    </row>
    <row r="98">
      <c r="AL98" s="41"/>
      <c r="AM98" s="41"/>
      <c r="AN98" s="41"/>
      <c r="AO98" s="41"/>
      <c r="AP98" s="41"/>
      <c r="AQ98" s="41"/>
      <c r="AR98" s="41"/>
      <c r="AS98" s="41"/>
      <c r="AT98" s="41"/>
      <c r="AU98" s="41"/>
    </row>
    <row r="99">
      <c r="AL99" s="41"/>
      <c r="AM99" s="41"/>
      <c r="AN99" s="41"/>
      <c r="AO99" s="41"/>
      <c r="AP99" s="41"/>
      <c r="AQ99" s="41"/>
      <c r="AR99" s="41"/>
      <c r="AS99" s="41"/>
      <c r="AT99" s="41"/>
      <c r="AU99" s="41"/>
    </row>
    <row r="100"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</row>
    <row r="101"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</row>
    <row r="102"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</row>
    <row r="103"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</row>
    <row r="104"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</row>
    <row r="105"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</row>
    <row r="106"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</row>
    <row r="107"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</row>
    <row r="108"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</row>
    <row r="109"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</row>
    <row r="110"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</row>
    <row r="111"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</row>
    <row r="112"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</row>
    <row r="113"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</row>
    <row r="114"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</row>
    <row r="115"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</row>
    <row r="116"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</row>
    <row r="117"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</row>
    <row r="118"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</row>
    <row r="119"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</row>
    <row r="120"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</row>
    <row r="121"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</row>
    <row r="122"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</row>
    <row r="123"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</row>
    <row r="124"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</row>
    <row r="125"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</row>
    <row r="126"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</row>
    <row r="127"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</row>
    <row r="128"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</row>
    <row r="129"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</row>
    <row r="130"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</row>
    <row r="131"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</row>
    <row r="132"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</row>
    <row r="133"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</row>
    <row r="134"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</row>
    <row r="135"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</row>
    <row r="136"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</row>
    <row r="137"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</row>
    <row r="138"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</row>
    <row r="139"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</row>
    <row r="140"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</row>
    <row r="141"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</row>
    <row r="142"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</row>
    <row r="143"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</row>
    <row r="144"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</row>
    <row r="145"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</row>
    <row r="146"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</row>
    <row r="147"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</row>
    <row r="148"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</row>
    <row r="149"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</row>
    <row r="150"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</row>
    <row r="151"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</row>
    <row r="152"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</row>
    <row r="153"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</row>
    <row r="154"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</row>
    <row r="155"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</row>
    <row r="156"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</row>
    <row r="157"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</row>
    <row r="158"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</row>
    <row r="159"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</row>
    <row r="160"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</row>
    <row r="161"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</row>
    <row r="162"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</row>
    <row r="163"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</row>
    <row r="164"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</row>
    <row r="165"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</row>
    <row r="166"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</row>
    <row r="167"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</row>
    <row r="168"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</row>
    <row r="169"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</row>
    <row r="170"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</row>
    <row r="171"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</row>
    <row r="172"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</row>
    <row r="173"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</row>
    <row r="174"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</row>
    <row r="175"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</row>
    <row r="176"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</row>
    <row r="177"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</row>
    <row r="178"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</row>
    <row r="179"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</row>
    <row r="180"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</row>
    <row r="181"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</row>
    <row r="182"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</row>
    <row r="183"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</row>
    <row r="184"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</row>
    <row r="185"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</row>
    <row r="186"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</row>
    <row r="187"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</row>
    <row r="188"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</row>
    <row r="189"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</row>
    <row r="190"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</row>
    <row r="191"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</row>
    <row r="192"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</row>
    <row r="193"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</row>
    <row r="194"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</row>
    <row r="195"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</row>
    <row r="196"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</row>
    <row r="197"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</row>
    <row r="198"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</row>
    <row r="199"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</row>
    <row r="200"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</row>
    <row r="201"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</row>
    <row r="202"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</row>
    <row r="203"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</row>
    <row r="204"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</row>
    <row r="205"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</row>
    <row r="206"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</row>
    <row r="207"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</row>
    <row r="208"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</row>
    <row r="209"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</row>
    <row r="210"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</row>
    <row r="211"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</row>
    <row r="212"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</row>
    <row r="213"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</row>
    <row r="214"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</row>
    <row r="215"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</row>
    <row r="216"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</row>
    <row r="217"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</row>
    <row r="218"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</row>
    <row r="219"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</row>
    <row r="220"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</row>
    <row r="221"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</row>
    <row r="222"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</row>
    <row r="223"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</row>
    <row r="224"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</row>
    <row r="225"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</row>
    <row r="226"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</row>
    <row r="227"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</row>
    <row r="228"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</row>
    <row r="229"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</row>
    <row r="230"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</row>
    <row r="231"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</row>
    <row r="232"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</row>
    <row r="233"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</row>
    <row r="234"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</row>
    <row r="235"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</row>
    <row r="236"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</row>
    <row r="237"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</row>
    <row r="238"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</row>
    <row r="239"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</row>
    <row r="240"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</row>
    <row r="241"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</row>
    <row r="242"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</row>
    <row r="243"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</row>
    <row r="244"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</row>
    <row r="245"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</row>
    <row r="246"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</row>
    <row r="247"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</row>
    <row r="248"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</row>
    <row r="249"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</row>
    <row r="250"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</row>
    <row r="251"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</row>
    <row r="252"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</row>
    <row r="253"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</row>
    <row r="254"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</row>
    <row r="255"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</row>
    <row r="256"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</row>
    <row r="257"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</row>
    <row r="258"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</row>
    <row r="259"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</row>
    <row r="260"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</row>
    <row r="261"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</row>
    <row r="262"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</row>
    <row r="263"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</row>
    <row r="264"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</row>
    <row r="265"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</row>
    <row r="266"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</row>
    <row r="267"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</row>
    <row r="268"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</row>
    <row r="269"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</row>
    <row r="270"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</row>
    <row r="271"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</row>
    <row r="272"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</row>
    <row r="273"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</row>
    <row r="274"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</row>
    <row r="275"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</row>
    <row r="276"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</row>
    <row r="277"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</row>
    <row r="278"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</row>
    <row r="279"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</row>
    <row r="280"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</row>
    <row r="281"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</row>
    <row r="282"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</row>
    <row r="283"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</row>
    <row r="284"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</row>
    <row r="285"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</row>
    <row r="286"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</row>
    <row r="287"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</row>
    <row r="288"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</row>
    <row r="289"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</row>
    <row r="290"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</row>
    <row r="291"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</row>
    <row r="292"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</row>
    <row r="293"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</row>
    <row r="294"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</row>
    <row r="295"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</row>
    <row r="296"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</row>
    <row r="297"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</row>
    <row r="298"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</row>
    <row r="299"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</row>
    <row r="300"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</row>
    <row r="301"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</row>
    <row r="302"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</row>
    <row r="303"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</row>
    <row r="304"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</row>
    <row r="305"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</row>
    <row r="306"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</row>
    <row r="307"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</row>
    <row r="308"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</row>
    <row r="309"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</row>
    <row r="310"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</row>
    <row r="311"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</row>
    <row r="312"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</row>
    <row r="313"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</row>
    <row r="314"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</row>
    <row r="315"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</row>
    <row r="316"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</row>
    <row r="317"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</row>
    <row r="318"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</row>
    <row r="319"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</row>
    <row r="320"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</row>
    <row r="321"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</row>
    <row r="322"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</row>
    <row r="323"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</row>
    <row r="324"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</row>
    <row r="325"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</row>
    <row r="326"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</row>
    <row r="327"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</row>
    <row r="328"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</row>
    <row r="329"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</row>
    <row r="330"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</row>
    <row r="331"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</row>
    <row r="332"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</row>
    <row r="333"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</row>
    <row r="334"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</row>
    <row r="335"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</row>
    <row r="336"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</row>
    <row r="337"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</row>
    <row r="338"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</row>
    <row r="339"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</row>
    <row r="340"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</row>
    <row r="341"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</row>
    <row r="342"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</row>
    <row r="343"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</row>
    <row r="344"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</row>
    <row r="345"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</row>
    <row r="346"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</row>
    <row r="347"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</row>
    <row r="348"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</row>
    <row r="349"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</row>
    <row r="350"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</row>
    <row r="351"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</row>
    <row r="352"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</row>
    <row r="353"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</row>
    <row r="354"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</row>
    <row r="355"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</row>
    <row r="356"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</row>
    <row r="357"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</row>
    <row r="358"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</row>
    <row r="359"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</row>
    <row r="360"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</row>
    <row r="361"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</row>
    <row r="362"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</row>
    <row r="363"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</row>
    <row r="364"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</row>
    <row r="365"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</row>
    <row r="366"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</row>
    <row r="367"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</row>
    <row r="368"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</row>
    <row r="369"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</row>
    <row r="370"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</row>
    <row r="371"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</row>
    <row r="372"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</row>
    <row r="373"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</row>
    <row r="374"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</row>
    <row r="375"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</row>
    <row r="376"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</row>
    <row r="377"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</row>
    <row r="378"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</row>
    <row r="379"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</row>
    <row r="380"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</row>
    <row r="381"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</row>
    <row r="382"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</row>
    <row r="383"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</row>
    <row r="384"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</row>
    <row r="385"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</row>
    <row r="386"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</row>
    <row r="387"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</row>
    <row r="388"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</row>
    <row r="389"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</row>
    <row r="390"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</row>
    <row r="391"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</row>
    <row r="392"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</row>
    <row r="393"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</row>
    <row r="394"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</row>
    <row r="395"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</row>
    <row r="396"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</row>
    <row r="397"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</row>
    <row r="398"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</row>
    <row r="399"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</row>
    <row r="400"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</row>
    <row r="401"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</row>
    <row r="402"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</row>
    <row r="403"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</row>
    <row r="404"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</row>
    <row r="405"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</row>
    <row r="406"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</row>
    <row r="407"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</row>
    <row r="408"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</row>
    <row r="409"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</row>
    <row r="410"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</row>
    <row r="411"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</row>
    <row r="412"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</row>
    <row r="413"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</row>
    <row r="414"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</row>
    <row r="415"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</row>
    <row r="416"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</row>
    <row r="417"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</row>
    <row r="418"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</row>
    <row r="419"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</row>
    <row r="420"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</row>
    <row r="421"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</row>
    <row r="422"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</row>
    <row r="423"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</row>
    <row r="424"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</row>
    <row r="425"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</row>
    <row r="426"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</row>
    <row r="427"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</row>
    <row r="428"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</row>
    <row r="429"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</row>
    <row r="430"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</row>
    <row r="431"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</row>
    <row r="432"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</row>
    <row r="433"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</row>
    <row r="434"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</row>
    <row r="435"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</row>
    <row r="436"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</row>
    <row r="437"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</row>
    <row r="438"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</row>
    <row r="439"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</row>
    <row r="440"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</row>
    <row r="441"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</row>
    <row r="442"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</row>
    <row r="443"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</row>
    <row r="444"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</row>
    <row r="445"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</row>
    <row r="446"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</row>
    <row r="447"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</row>
    <row r="448"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</row>
    <row r="449"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</row>
    <row r="450"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</row>
    <row r="451"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</row>
    <row r="452"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</row>
    <row r="453"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</row>
    <row r="454"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</row>
    <row r="455"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</row>
    <row r="456"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</row>
    <row r="457"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</row>
    <row r="458"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</row>
    <row r="459"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</row>
    <row r="460"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</row>
    <row r="461"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</row>
    <row r="462"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</row>
    <row r="463"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</row>
    <row r="464"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</row>
    <row r="465"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</row>
    <row r="466"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</row>
    <row r="467"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</row>
    <row r="468"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</row>
    <row r="469"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</row>
    <row r="470"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</row>
    <row r="471"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</row>
    <row r="472"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</row>
    <row r="473"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</row>
    <row r="474"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</row>
    <row r="475"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</row>
    <row r="476"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</row>
    <row r="477"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</row>
    <row r="478"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</row>
    <row r="479"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</row>
    <row r="480"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</row>
    <row r="481"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</row>
    <row r="482"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</row>
    <row r="483"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</row>
    <row r="484"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</row>
    <row r="485"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</row>
    <row r="486"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</row>
    <row r="487"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</row>
    <row r="488"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</row>
    <row r="489"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</row>
    <row r="490"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</row>
    <row r="491"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</row>
    <row r="492"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</row>
    <row r="493"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</row>
    <row r="494"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</row>
    <row r="495"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</row>
    <row r="496"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</row>
    <row r="497"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</row>
    <row r="498"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</row>
    <row r="499"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</row>
    <row r="500"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</row>
    <row r="501"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</row>
    <row r="502"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</row>
    <row r="503"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</row>
    <row r="504"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</row>
    <row r="505"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</row>
    <row r="506"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</row>
    <row r="507"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</row>
    <row r="508"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</row>
    <row r="509"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</row>
    <row r="510"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</row>
    <row r="511"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</row>
    <row r="512"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</row>
    <row r="513"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</row>
    <row r="514"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</row>
    <row r="515"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</row>
    <row r="516"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</row>
    <row r="517"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</row>
    <row r="518"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</row>
    <row r="519"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</row>
    <row r="520"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</row>
    <row r="521"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</row>
    <row r="522"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</row>
    <row r="523"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</row>
    <row r="524"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</row>
    <row r="525"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</row>
    <row r="526"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</row>
    <row r="527"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</row>
    <row r="528"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</row>
    <row r="529"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</row>
    <row r="530"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</row>
    <row r="531"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</row>
    <row r="532"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</row>
    <row r="533"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</row>
    <row r="534"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</row>
    <row r="535"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</row>
    <row r="536"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</row>
    <row r="537"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</row>
    <row r="538"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</row>
    <row r="539"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</row>
    <row r="540"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</row>
    <row r="541"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</row>
    <row r="542"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</row>
    <row r="543"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</row>
    <row r="544"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</row>
    <row r="545"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</row>
    <row r="546"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</row>
    <row r="547"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</row>
    <row r="548"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</row>
    <row r="549"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</row>
    <row r="550"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</row>
    <row r="551"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</row>
    <row r="552"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</row>
    <row r="553"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</row>
    <row r="554"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</row>
    <row r="555"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</row>
    <row r="556"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</row>
    <row r="557"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</row>
    <row r="558"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</row>
    <row r="559"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</row>
    <row r="560"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</row>
    <row r="561"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</row>
    <row r="562"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</row>
    <row r="563"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</row>
    <row r="564"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</row>
    <row r="565"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</row>
    <row r="566"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</row>
    <row r="567"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</row>
    <row r="568"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</row>
    <row r="569"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</row>
    <row r="570"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</row>
    <row r="571"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</row>
    <row r="572"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</row>
    <row r="573"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</row>
    <row r="574"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</row>
    <row r="575"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</row>
    <row r="576"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</row>
    <row r="577"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</row>
    <row r="578"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</row>
    <row r="579"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</row>
    <row r="580"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</row>
    <row r="581"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</row>
    <row r="582"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</row>
    <row r="583"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</row>
    <row r="584"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</row>
    <row r="585"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</row>
    <row r="586"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</row>
    <row r="587"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</row>
    <row r="588"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</row>
    <row r="589"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</row>
    <row r="590"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</row>
    <row r="591"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</row>
    <row r="592"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</row>
    <row r="593"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</row>
    <row r="594"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</row>
    <row r="595"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</row>
    <row r="596"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</row>
    <row r="597"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</row>
    <row r="598"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</row>
    <row r="599"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</row>
    <row r="600"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</row>
    <row r="601"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</row>
    <row r="602"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</row>
    <row r="603"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</row>
    <row r="604"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</row>
    <row r="605"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</row>
    <row r="606"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</row>
    <row r="607"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</row>
    <row r="608"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</row>
    <row r="609"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</row>
    <row r="610"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</row>
    <row r="611"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</row>
    <row r="612"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</row>
    <row r="613"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</row>
    <row r="614"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</row>
    <row r="615"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</row>
    <row r="616"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</row>
    <row r="617"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</row>
    <row r="618"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</row>
    <row r="619"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</row>
    <row r="620"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</row>
    <row r="621"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</row>
    <row r="622"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</row>
    <row r="623"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</row>
    <row r="624"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</row>
    <row r="625"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</row>
    <row r="626"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</row>
    <row r="627"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</row>
    <row r="628"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</row>
    <row r="629"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</row>
    <row r="630"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</row>
    <row r="631"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</row>
    <row r="632"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</row>
    <row r="633"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</row>
    <row r="634"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</row>
    <row r="635"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</row>
    <row r="636"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</row>
    <row r="637"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</row>
    <row r="638"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</row>
    <row r="639"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</row>
    <row r="640"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</row>
    <row r="641"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</row>
    <row r="642"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</row>
    <row r="643"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</row>
    <row r="644"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</row>
    <row r="645"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</row>
    <row r="646"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</row>
    <row r="647"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</row>
    <row r="648"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</row>
    <row r="649"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</row>
    <row r="650"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</row>
    <row r="651"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</row>
    <row r="652"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</row>
    <row r="653"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</row>
    <row r="654"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</row>
    <row r="655"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</row>
    <row r="656"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</row>
    <row r="657"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</row>
    <row r="658"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</row>
    <row r="659"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</row>
    <row r="660"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</row>
    <row r="661"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</row>
    <row r="662"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</row>
    <row r="663"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</row>
    <row r="664"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</row>
    <row r="665"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</row>
    <row r="666"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</row>
    <row r="667"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</row>
    <row r="668"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</row>
    <row r="669"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</row>
    <row r="670"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</row>
    <row r="671"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</row>
    <row r="672"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</row>
    <row r="673"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</row>
    <row r="674"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</row>
    <row r="675"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</row>
    <row r="676"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</row>
    <row r="677"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</row>
    <row r="678"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</row>
    <row r="679"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</row>
    <row r="680"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</row>
    <row r="681"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</row>
    <row r="682"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</row>
    <row r="683"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</row>
    <row r="684"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</row>
    <row r="685"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</row>
    <row r="686"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</row>
    <row r="687"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</row>
    <row r="688"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</row>
    <row r="689"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</row>
    <row r="690"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</row>
    <row r="691"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</row>
    <row r="692"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</row>
    <row r="693"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</row>
    <row r="694"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</row>
    <row r="695"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</row>
    <row r="696"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</row>
    <row r="697"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</row>
    <row r="698"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</row>
    <row r="699"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</row>
    <row r="700"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</row>
    <row r="701"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</row>
    <row r="702"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</row>
    <row r="703"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</row>
    <row r="704"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</row>
    <row r="705"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</row>
    <row r="706"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</row>
    <row r="707"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</row>
    <row r="708"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</row>
    <row r="709"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</row>
    <row r="710"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</row>
    <row r="711"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</row>
    <row r="712"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</row>
    <row r="713"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</row>
    <row r="714"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</row>
    <row r="715"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</row>
    <row r="716"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</row>
    <row r="717"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</row>
    <row r="718"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</row>
    <row r="719"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</row>
    <row r="720"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</row>
    <row r="721"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</row>
    <row r="722"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</row>
    <row r="723"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</row>
    <row r="724"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</row>
    <row r="725"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</row>
    <row r="726"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</row>
    <row r="727"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</row>
    <row r="728"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</row>
    <row r="729"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</row>
    <row r="730"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</row>
    <row r="731"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</row>
    <row r="732"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</row>
    <row r="733"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</row>
    <row r="734"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</row>
    <row r="735"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</row>
    <row r="736"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</row>
    <row r="737"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</row>
    <row r="738"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</row>
    <row r="739"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</row>
    <row r="740"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</row>
    <row r="741"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</row>
    <row r="742"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</row>
    <row r="743"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</row>
    <row r="744"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</row>
    <row r="745"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</row>
    <row r="746"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</row>
    <row r="747"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</row>
    <row r="748"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</row>
    <row r="749"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</row>
    <row r="750"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</row>
    <row r="751"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</row>
    <row r="752"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</row>
    <row r="753"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</row>
    <row r="754"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</row>
    <row r="755"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</row>
    <row r="756"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</row>
    <row r="757"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</row>
    <row r="758"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</row>
    <row r="759"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</row>
    <row r="760"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</row>
    <row r="761"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</row>
    <row r="762"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</row>
    <row r="763"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</row>
    <row r="764"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</row>
    <row r="765"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</row>
    <row r="766"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</row>
    <row r="767"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</row>
    <row r="768"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</row>
    <row r="769"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</row>
    <row r="770"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</row>
    <row r="771"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</row>
    <row r="772"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</row>
    <row r="773"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</row>
    <row r="774"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</row>
    <row r="775"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</row>
    <row r="776"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</row>
    <row r="777"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</row>
    <row r="778"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</row>
    <row r="779"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</row>
    <row r="780"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</row>
    <row r="781"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</row>
    <row r="782"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</row>
    <row r="783"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</row>
    <row r="784"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</row>
    <row r="785"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</row>
    <row r="786"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</row>
    <row r="787"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</row>
    <row r="788"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</row>
    <row r="789"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</row>
    <row r="790"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</row>
    <row r="791"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</row>
    <row r="792"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</row>
    <row r="793"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</row>
    <row r="794"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</row>
    <row r="795"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</row>
    <row r="796"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</row>
    <row r="797"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</row>
    <row r="798"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</row>
    <row r="799"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</row>
    <row r="800"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</row>
    <row r="801"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</row>
    <row r="802"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</row>
    <row r="803"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</row>
    <row r="804"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</row>
    <row r="805"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</row>
    <row r="806"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</row>
    <row r="807"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</row>
    <row r="808"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</row>
    <row r="809"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</row>
    <row r="810"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</row>
    <row r="811"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</row>
    <row r="812"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</row>
    <row r="813"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</row>
    <row r="814"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</row>
    <row r="815"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</row>
    <row r="816"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</row>
    <row r="817"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</row>
    <row r="818"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</row>
    <row r="819"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</row>
    <row r="820"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</row>
    <row r="821"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</row>
    <row r="822"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</row>
    <row r="823"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</row>
    <row r="824"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</row>
    <row r="825"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</row>
    <row r="826"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</row>
    <row r="827"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</row>
    <row r="828"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</row>
    <row r="829"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</row>
    <row r="830"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</row>
    <row r="831"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</row>
    <row r="832"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</row>
    <row r="833"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</row>
    <row r="834"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</row>
    <row r="835"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</row>
    <row r="836"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</row>
    <row r="837"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</row>
    <row r="838"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</row>
    <row r="839"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</row>
    <row r="840"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</row>
    <row r="841"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</row>
    <row r="842"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</row>
    <row r="843"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</row>
    <row r="844"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</row>
    <row r="845"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</row>
    <row r="846"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</row>
    <row r="847"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</row>
    <row r="848"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</row>
    <row r="849"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</row>
    <row r="850"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</row>
    <row r="851"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</row>
    <row r="852"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</row>
    <row r="853"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</row>
    <row r="854"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</row>
    <row r="855"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</row>
    <row r="856"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</row>
    <row r="857"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</row>
    <row r="858"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</row>
    <row r="859"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</row>
    <row r="860"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</row>
    <row r="861"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</row>
    <row r="862"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</row>
    <row r="863"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</row>
    <row r="864"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</row>
    <row r="865"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</row>
    <row r="866"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</row>
    <row r="867"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</row>
    <row r="868"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</row>
    <row r="869"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</row>
    <row r="870"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</row>
    <row r="871"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</row>
    <row r="872"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</row>
    <row r="873"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</row>
    <row r="874"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</row>
    <row r="875"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</row>
    <row r="876"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</row>
    <row r="877"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</row>
    <row r="878"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</row>
    <row r="879"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</row>
    <row r="880"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</row>
    <row r="881"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</row>
    <row r="882"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</row>
    <row r="883"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</row>
    <row r="884"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</row>
    <row r="885"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</row>
    <row r="886"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</row>
    <row r="887"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</row>
    <row r="888"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</row>
    <row r="889"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</row>
    <row r="890"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</row>
    <row r="891"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</row>
    <row r="892"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</row>
    <row r="893"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</row>
    <row r="894"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</row>
    <row r="895"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</row>
    <row r="896"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</row>
    <row r="897"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</row>
    <row r="898"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</row>
    <row r="899"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</row>
    <row r="900"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</row>
    <row r="901"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</row>
    <row r="902"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</row>
    <row r="903"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</row>
    <row r="904"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</row>
    <row r="905"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</row>
    <row r="906"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</row>
    <row r="907"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</row>
    <row r="908"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</row>
    <row r="909"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</row>
    <row r="910"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</row>
    <row r="911"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</row>
    <row r="912"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</row>
    <row r="913"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</row>
    <row r="914"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</row>
    <row r="915"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</row>
    <row r="916"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</row>
    <row r="917"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</row>
    <row r="918"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</row>
    <row r="919"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</row>
    <row r="920"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</row>
    <row r="921"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</row>
    <row r="922"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</row>
    <row r="923"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</row>
    <row r="924"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</row>
    <row r="925"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</row>
    <row r="926"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</row>
    <row r="927"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</row>
    <row r="928"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</row>
    <row r="929"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</row>
    <row r="930"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</row>
    <row r="931"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</row>
    <row r="932"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</row>
    <row r="933"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</row>
    <row r="934"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</row>
    <row r="935"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</row>
    <row r="936"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</row>
    <row r="937"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</row>
    <row r="938"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</row>
    <row r="939"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</row>
    <row r="940"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</row>
    <row r="941"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</row>
    <row r="942"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</row>
    <row r="943"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</row>
    <row r="944"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</row>
    <row r="945"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</row>
    <row r="946"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</row>
    <row r="947"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</row>
    <row r="948"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</row>
    <row r="949"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</row>
    <row r="950"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</row>
    <row r="951"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</row>
    <row r="952"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</row>
    <row r="953"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</row>
    <row r="954"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</row>
    <row r="955"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</row>
    <row r="956"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</row>
    <row r="957"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</row>
    <row r="958"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</row>
    <row r="959"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</row>
    <row r="960"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</row>
    <row r="961"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</row>
    <row r="962"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</row>
    <row r="963"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</row>
    <row r="964"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</row>
    <row r="965"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</row>
    <row r="966"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</row>
    <row r="967"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</row>
    <row r="968"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</row>
    <row r="969"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</row>
    <row r="970"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</row>
    <row r="971"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</row>
    <row r="972"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</row>
    <row r="973"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</row>
    <row r="974"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</row>
    <row r="975"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</row>
    <row r="976"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</row>
    <row r="977"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</row>
    <row r="978"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</row>
    <row r="979"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</row>
    <row r="980"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</row>
    <row r="981"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</row>
    <row r="982"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</row>
    <row r="983"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</row>
    <row r="984"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</row>
    <row r="985"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</row>
    <row r="986"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</row>
    <row r="987"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</row>
    <row r="988"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</row>
    <row r="989"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</row>
    <row r="990"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</row>
    <row r="991"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</row>
    <row r="992"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</row>
    <row r="993"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</row>
    <row r="994"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</row>
    <row r="995"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</row>
    <row r="996"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</row>
    <row r="997"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</row>
    <row r="998"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</row>
    <row r="999"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</row>
    <row r="1000"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</row>
  </sheetData>
  <autoFilter ref="$A$1:$AU$1000"/>
  <drawing r:id="rId1"/>
</worksheet>
</file>