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/>
  <mc:AlternateContent xmlns:mc="http://schemas.openxmlformats.org/markup-compatibility/2006">
    <mc:Choice Requires="x15">
      <x15ac:absPath xmlns:x15ac="http://schemas.microsoft.com/office/spreadsheetml/2010/11/ac" url="C:\Users\admin\OneDrive\Desktop\F6334\CH04_example04\"/>
    </mc:Choice>
  </mc:AlternateContent>
  <xr:revisionPtr revIDLastSave="0" documentId="8_{8ECBEAAC-D5EE-48AE-A017-F15395E95EB9}" xr6:coauthVersionLast="47" xr6:coauthVersionMax="47" xr10:uidLastSave="{00000000-0000-0000-0000-000000000000}"/>
  <bookViews>
    <workbookView xWindow="22932" yWindow="-108" windowWidth="23256" windowHeight="12576" firstSheet="2" activeTab="10" xr2:uid="{00000000-000D-0000-FFFF-FFFF00000000}"/>
  </bookViews>
  <sheets>
    <sheet name="使用說明" sheetId="1" r:id="rId1"/>
    <sheet name="需求與匯率" sheetId="2" r:id="rId2"/>
    <sheet name="標準化明細" sheetId="3" r:id="rId3"/>
    <sheet name="訂單試算" sheetId="4" r:id="rId4"/>
    <sheet name="核對備註" sheetId="5" r:id="rId5"/>
    <sheet name="原始明細" sheetId="6" r:id="rId6"/>
    <sheet name="Gmail正文" sheetId="7" r:id="rId7"/>
    <sheet name="來源原文" sheetId="8" r:id="rId8"/>
    <sheet name="來源索引" sheetId="9" r:id="rId9"/>
    <sheet name="Gmail搜尋紀錄" sheetId="10" r:id="rId10"/>
    <sheet name="Solver最佳化" sheetId="11" r:id="rId11"/>
  </sheets>
  <calcPr calcId="181029"/>
  <fileRecoveryPr repairLoad="1"/>
</workbook>
</file>

<file path=xl/calcChain.xml><?xml version="1.0" encoding="utf-8"?>
<calcChain xmlns="http://schemas.openxmlformats.org/spreadsheetml/2006/main">
  <c r="G42" i="11" l="1"/>
  <c r="E42" i="11"/>
  <c r="C42" i="11"/>
  <c r="G41" i="11"/>
  <c r="E41" i="11"/>
  <c r="C41" i="11"/>
  <c r="G40" i="11"/>
  <c r="E40" i="11"/>
  <c r="C40" i="11"/>
  <c r="U35" i="11"/>
  <c r="K35" i="11"/>
  <c r="J35" i="11"/>
  <c r="I35" i="11"/>
  <c r="G35" i="11"/>
  <c r="H35" i="11" s="1"/>
  <c r="F35" i="11"/>
  <c r="U34" i="11"/>
  <c r="K34" i="11"/>
  <c r="J34" i="11"/>
  <c r="I34" i="11"/>
  <c r="G34" i="11"/>
  <c r="H34" i="11" s="1"/>
  <c r="F34" i="11"/>
  <c r="U33" i="11"/>
  <c r="K33" i="11"/>
  <c r="J33" i="11"/>
  <c r="I33" i="11"/>
  <c r="G33" i="11"/>
  <c r="H33" i="11" s="1"/>
  <c r="F33" i="11"/>
  <c r="U32" i="11"/>
  <c r="K32" i="11"/>
  <c r="J32" i="11"/>
  <c r="I32" i="11"/>
  <c r="G32" i="11"/>
  <c r="H32" i="11" s="1"/>
  <c r="F32" i="11"/>
  <c r="U31" i="11"/>
  <c r="K31" i="11"/>
  <c r="J31" i="11"/>
  <c r="I31" i="11"/>
  <c r="G31" i="11"/>
  <c r="H31" i="11" s="1"/>
  <c r="D42" i="11" s="1"/>
  <c r="F31" i="11"/>
  <c r="U30" i="11"/>
  <c r="K30" i="11"/>
  <c r="J30" i="11"/>
  <c r="I30" i="11"/>
  <c r="G30" i="11"/>
  <c r="H30" i="11" s="1"/>
  <c r="F30" i="11"/>
  <c r="U29" i="11"/>
  <c r="K29" i="11"/>
  <c r="J29" i="11"/>
  <c r="I29" i="11"/>
  <c r="G29" i="11"/>
  <c r="H29" i="11" s="1"/>
  <c r="F29" i="11"/>
  <c r="U28" i="11"/>
  <c r="K28" i="11"/>
  <c r="J28" i="11"/>
  <c r="I28" i="11"/>
  <c r="G28" i="11"/>
  <c r="H28" i="11" s="1"/>
  <c r="F28" i="11"/>
  <c r="U27" i="11"/>
  <c r="K27" i="11"/>
  <c r="J27" i="11"/>
  <c r="I27" i="11"/>
  <c r="G27" i="11"/>
  <c r="H27" i="11" s="1"/>
  <c r="F27" i="11"/>
  <c r="U26" i="11"/>
  <c r="K26" i="11"/>
  <c r="J26" i="11"/>
  <c r="I26" i="11"/>
  <c r="G26" i="11"/>
  <c r="H26" i="11" s="1"/>
  <c r="F26" i="11"/>
  <c r="U25" i="11"/>
  <c r="K25" i="11"/>
  <c r="J25" i="11"/>
  <c r="I25" i="11"/>
  <c r="G25" i="11"/>
  <c r="H25" i="11" s="1"/>
  <c r="D41" i="11" s="1"/>
  <c r="F25" i="11"/>
  <c r="U24" i="11"/>
  <c r="K24" i="11"/>
  <c r="J24" i="11"/>
  <c r="I24" i="11"/>
  <c r="G24" i="11"/>
  <c r="H24" i="11" s="1"/>
  <c r="F24" i="11"/>
  <c r="U23" i="11"/>
  <c r="K23" i="11"/>
  <c r="J23" i="11"/>
  <c r="I23" i="11"/>
  <c r="G23" i="11"/>
  <c r="H23" i="11" s="1"/>
  <c r="F23" i="11"/>
  <c r="U22" i="11"/>
  <c r="K22" i="11"/>
  <c r="J22" i="11"/>
  <c r="I22" i="11"/>
  <c r="G22" i="11"/>
  <c r="H22" i="11" s="1"/>
  <c r="F22" i="11"/>
  <c r="U21" i="11"/>
  <c r="K21" i="11"/>
  <c r="J21" i="11"/>
  <c r="I21" i="11"/>
  <c r="G21" i="11"/>
  <c r="H21" i="11" s="1"/>
  <c r="F21" i="11"/>
  <c r="U20" i="11"/>
  <c r="K20" i="11"/>
  <c r="J20" i="11"/>
  <c r="I20" i="11"/>
  <c r="G20" i="11"/>
  <c r="H20" i="11" s="1"/>
  <c r="D40" i="11" s="1"/>
  <c r="F20" i="11"/>
  <c r="S15" i="11"/>
  <c r="T15" i="11" s="1"/>
  <c r="S14" i="11"/>
  <c r="T14" i="11" s="1"/>
  <c r="S13" i="11"/>
  <c r="T13" i="11" s="1"/>
  <c r="S12" i="11"/>
  <c r="T12" i="11" s="1"/>
  <c r="S11" i="11"/>
  <c r="T11" i="11" s="1"/>
  <c r="G9" i="11"/>
  <c r="G8" i="11"/>
  <c r="G7" i="11"/>
  <c r="P7" i="4"/>
  <c r="O7" i="4"/>
  <c r="L7" i="4"/>
  <c r="J7" i="4"/>
  <c r="G7" i="4"/>
  <c r="D7" i="4"/>
  <c r="C7" i="4"/>
  <c r="P6" i="4"/>
  <c r="O6" i="4"/>
  <c r="L6" i="4"/>
  <c r="J6" i="4"/>
  <c r="G6" i="4"/>
  <c r="D6" i="4"/>
  <c r="C6" i="4"/>
  <c r="P5" i="4"/>
  <c r="O5" i="4"/>
  <c r="L5" i="4"/>
  <c r="J5" i="4"/>
  <c r="G5" i="4"/>
  <c r="D5" i="4"/>
  <c r="C5" i="4"/>
  <c r="Q19" i="3"/>
  <c r="K19" i="3"/>
  <c r="L19" i="3" s="1"/>
  <c r="E19" i="3"/>
  <c r="Q18" i="3"/>
  <c r="K18" i="3"/>
  <c r="L18" i="3" s="1"/>
  <c r="E18" i="3"/>
  <c r="Q17" i="3"/>
  <c r="K17" i="3"/>
  <c r="L17" i="3" s="1"/>
  <c r="E17" i="3"/>
  <c r="Q16" i="3"/>
  <c r="K16" i="3"/>
  <c r="L16" i="3" s="1"/>
  <c r="E16" i="3"/>
  <c r="Q15" i="3"/>
  <c r="K15" i="3"/>
  <c r="L15" i="3" s="1"/>
  <c r="E15" i="3"/>
  <c r="Q14" i="3"/>
  <c r="K14" i="3"/>
  <c r="L14" i="3" s="1"/>
  <c r="E14" i="3"/>
  <c r="Q13" i="3"/>
  <c r="K13" i="3"/>
  <c r="L13" i="3" s="1"/>
  <c r="E13" i="3"/>
  <c r="Q12" i="3"/>
  <c r="K12" i="3"/>
  <c r="L12" i="3" s="1"/>
  <c r="E12" i="3"/>
  <c r="Q11" i="3"/>
  <c r="K11" i="3"/>
  <c r="L11" i="3" s="1"/>
  <c r="E11" i="3"/>
  <c r="Q10" i="3"/>
  <c r="K10" i="3"/>
  <c r="L10" i="3" s="1"/>
  <c r="E10" i="3"/>
  <c r="Q9" i="3"/>
  <c r="K9" i="3"/>
  <c r="L9" i="3" s="1"/>
  <c r="E9" i="3"/>
  <c r="Q8" i="3"/>
  <c r="K8" i="3"/>
  <c r="L8" i="3" s="1"/>
  <c r="E8" i="3"/>
  <c r="Q7" i="3"/>
  <c r="K7" i="3"/>
  <c r="L7" i="3" s="1"/>
  <c r="E7" i="3"/>
  <c r="Q6" i="3"/>
  <c r="K6" i="3"/>
  <c r="L6" i="3" s="1"/>
  <c r="E6" i="3"/>
  <c r="Q5" i="3"/>
  <c r="K5" i="3"/>
  <c r="L5" i="3" s="1"/>
  <c r="E5" i="3"/>
  <c r="E13" i="2"/>
  <c r="E12" i="2"/>
  <c r="E11" i="2"/>
  <c r="E10" i="2"/>
  <c r="E9" i="2"/>
  <c r="M7" i="4" l="1"/>
  <c r="N7" i="4" s="1"/>
  <c r="M6" i="4"/>
  <c r="N6" i="4" s="1"/>
  <c r="M5" i="4"/>
  <c r="N5" i="4" s="1"/>
  <c r="R42" i="11"/>
  <c r="P42" i="11"/>
  <c r="R41" i="11"/>
  <c r="P41" i="11"/>
  <c r="R40" i="11"/>
  <c r="P40" i="11"/>
  <c r="F42" i="11"/>
  <c r="Q42" i="11"/>
  <c r="F41" i="11"/>
  <c r="Q41" i="11"/>
  <c r="F40" i="11"/>
  <c r="G5" i="11" s="1"/>
  <c r="Q40" i="11"/>
  <c r="G6" i="11"/>
  <c r="M19" i="3"/>
  <c r="H19" i="3"/>
  <c r="G19" i="3"/>
  <c r="M18" i="3"/>
  <c r="H18" i="3"/>
  <c r="G18" i="3"/>
  <c r="M17" i="3"/>
  <c r="H17" i="3"/>
  <c r="G17" i="3"/>
  <c r="M16" i="3"/>
  <c r="H16" i="3"/>
  <c r="G16" i="3"/>
  <c r="M15" i="3"/>
  <c r="H15" i="3"/>
  <c r="G15" i="3"/>
  <c r="M14" i="3"/>
  <c r="H14" i="3"/>
  <c r="G14" i="3"/>
  <c r="M13" i="3"/>
  <c r="H13" i="3"/>
  <c r="G13" i="3"/>
  <c r="M12" i="3"/>
  <c r="H12" i="3"/>
  <c r="G12" i="3"/>
  <c r="M11" i="3"/>
  <c r="H11" i="3"/>
  <c r="G11" i="3"/>
  <c r="M10" i="3"/>
  <c r="H10" i="3"/>
  <c r="G10" i="3"/>
  <c r="M9" i="3"/>
  <c r="H9" i="3"/>
  <c r="G9" i="3"/>
  <c r="M8" i="3"/>
  <c r="H8" i="3"/>
  <c r="G8" i="3"/>
  <c r="M7" i="3"/>
  <c r="H7" i="3"/>
  <c r="G7" i="3"/>
  <c r="M6" i="3"/>
  <c r="H6" i="3"/>
  <c r="G6" i="3"/>
  <c r="M5" i="3"/>
  <c r="H5" i="3"/>
  <c r="G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Codex</author>
  </authors>
  <commentList>
    <comment ref="B5" authorId="0" shapeId="0" xr:uid="{00000000-0006-0000-0100-000001000000}">
      <text>
        <r>
          <rPr>
            <sz val="11"/>
            <color theme="1"/>
            <rFont val="Calibri"/>
          </rPr>
          <t>Source: User instruction, 2026-08-01, 1 USD = 31.8 TWD</t>
        </r>
      </text>
    </comment>
    <comment ref="C9" authorId="0" shapeId="0" xr:uid="{00000000-0006-0000-0100-000002000000}">
      <text>
        <r>
          <rPr>
            <sz val="11"/>
            <color theme="1"/>
            <rFont val="Calibri"/>
          </rPr>
          <t>Source: User input required. Original quotations contain availability, not purchase demand.</t>
        </r>
      </text>
    </comment>
    <comment ref="C10" authorId="0" shapeId="0" xr:uid="{00000000-0006-0000-0100-000003000000}">
      <text>
        <r>
          <rPr>
            <sz val="11"/>
            <color theme="1"/>
            <rFont val="Calibri"/>
          </rPr>
          <t>Source: User input required. Original quotations contain availability, not purchase demand.</t>
        </r>
      </text>
    </comment>
    <comment ref="C11" authorId="0" shapeId="0" xr:uid="{00000000-0006-0000-0100-000004000000}">
      <text>
        <r>
          <rPr>
            <sz val="11"/>
            <color theme="1"/>
            <rFont val="Calibri"/>
          </rPr>
          <t>Source: User input required. Original quotations contain availability, not purchase demand.</t>
        </r>
      </text>
    </comment>
    <comment ref="C12" authorId="0" shapeId="0" xr:uid="{00000000-0006-0000-0100-000005000000}">
      <text>
        <r>
          <rPr>
            <sz val="11"/>
            <color theme="1"/>
            <rFont val="Calibri"/>
          </rPr>
          <t>Source: User input required. Original quotations contain availability, not purchase demand.</t>
        </r>
      </text>
    </comment>
    <comment ref="C13" authorId="0" shapeId="0" xr:uid="{00000000-0006-0000-0100-000006000000}">
      <text>
        <r>
          <rPr>
            <sz val="11"/>
            <color theme="1"/>
            <rFont val="Calibri"/>
          </rPr>
          <t>Source: User input required. Original quotations contain availability, not purchase demand.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Codex</author>
  </authors>
  <commentList>
    <comment ref="F5" authorId="0" shapeId="0" xr:uid="{00000000-0006-0000-0200-000001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I5" authorId="0" shapeId="0" xr:uid="{00000000-0006-0000-0200-000002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J5" authorId="0" shapeId="0" xr:uid="{00000000-0006-0000-0200-000003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N5" authorId="0" shapeId="0" xr:uid="{00000000-0006-0000-0200-000004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O5" authorId="0" shapeId="0" xr:uid="{00000000-0006-0000-0200-000005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P5" authorId="0" shapeId="0" xr:uid="{00000000-0006-0000-0200-000006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R5" authorId="0" shapeId="0" xr:uid="{00000000-0006-0000-0200-000007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S5" authorId="0" shapeId="0" xr:uid="{00000000-0006-0000-0200-000008000000}">
      <text>
        <r>
          <rPr>
            <sz val="11"/>
            <color theme="1"/>
            <rFont val="Calibri"/>
          </rPr>
          <t>Source: SRC-A-PDF; quotation/product row 1.</t>
        </r>
      </text>
    </comment>
    <comment ref="F6" authorId="0" shapeId="0" xr:uid="{00000000-0006-0000-0200-000009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I6" authorId="0" shapeId="0" xr:uid="{00000000-0006-0000-0200-00000A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J6" authorId="0" shapeId="0" xr:uid="{00000000-0006-0000-0200-00000B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N6" authorId="0" shapeId="0" xr:uid="{00000000-0006-0000-0200-00000C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O6" authorId="0" shapeId="0" xr:uid="{00000000-0006-0000-0200-00000D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P6" authorId="0" shapeId="0" xr:uid="{00000000-0006-0000-0200-00000E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R6" authorId="0" shapeId="0" xr:uid="{00000000-0006-0000-0200-00000F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S6" authorId="0" shapeId="0" xr:uid="{00000000-0006-0000-0200-000010000000}">
      <text>
        <r>
          <rPr>
            <sz val="11"/>
            <color theme="1"/>
            <rFont val="Calibri"/>
          </rPr>
          <t>Source: SRC-A-PDF; quotation/product row 2.</t>
        </r>
      </text>
    </comment>
    <comment ref="F7" authorId="0" shapeId="0" xr:uid="{00000000-0006-0000-0200-000011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I7" authorId="0" shapeId="0" xr:uid="{00000000-0006-0000-0200-000012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J7" authorId="0" shapeId="0" xr:uid="{00000000-0006-0000-0200-000013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N7" authorId="0" shapeId="0" xr:uid="{00000000-0006-0000-0200-000014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O7" authorId="0" shapeId="0" xr:uid="{00000000-0006-0000-0200-000015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P7" authorId="0" shapeId="0" xr:uid="{00000000-0006-0000-0200-000016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R7" authorId="0" shapeId="0" xr:uid="{00000000-0006-0000-0200-000017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S7" authorId="0" shapeId="0" xr:uid="{00000000-0006-0000-0200-000018000000}">
      <text>
        <r>
          <rPr>
            <sz val="11"/>
            <color theme="1"/>
            <rFont val="Calibri"/>
          </rPr>
          <t>Source: SRC-A-PDF; quotation/product row 3.</t>
        </r>
      </text>
    </comment>
    <comment ref="F8" authorId="0" shapeId="0" xr:uid="{00000000-0006-0000-0200-000019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I8" authorId="0" shapeId="0" xr:uid="{00000000-0006-0000-0200-00001A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J8" authorId="0" shapeId="0" xr:uid="{00000000-0006-0000-0200-00001B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N8" authorId="0" shapeId="0" xr:uid="{00000000-0006-0000-0200-00001C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O8" authorId="0" shapeId="0" xr:uid="{00000000-0006-0000-0200-00001D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P8" authorId="0" shapeId="0" xr:uid="{00000000-0006-0000-0200-00001E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R8" authorId="0" shapeId="0" xr:uid="{00000000-0006-0000-0200-00001F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S8" authorId="0" shapeId="0" xr:uid="{00000000-0006-0000-0200-000020000000}">
      <text>
        <r>
          <rPr>
            <sz val="11"/>
            <color theme="1"/>
            <rFont val="Calibri"/>
          </rPr>
          <t>Source: SRC-A-PDF; quotation/product row 4.</t>
        </r>
      </text>
    </comment>
    <comment ref="F9" authorId="0" shapeId="0" xr:uid="{00000000-0006-0000-0200-000021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I9" authorId="0" shapeId="0" xr:uid="{00000000-0006-0000-0200-000022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J9" authorId="0" shapeId="0" xr:uid="{00000000-0006-0000-0200-000023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N9" authorId="0" shapeId="0" xr:uid="{00000000-0006-0000-0200-000024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O9" authorId="0" shapeId="0" xr:uid="{00000000-0006-0000-0200-000025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P9" authorId="0" shapeId="0" xr:uid="{00000000-0006-0000-0200-000026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R9" authorId="0" shapeId="0" xr:uid="{00000000-0006-0000-0200-000027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S9" authorId="0" shapeId="0" xr:uid="{00000000-0006-0000-0200-000028000000}">
      <text>
        <r>
          <rPr>
            <sz val="11"/>
            <color theme="1"/>
            <rFont val="Calibri"/>
          </rPr>
          <t>Source: SRC-A-PDF; quotation/product row 5.</t>
        </r>
      </text>
    </comment>
    <comment ref="F10" authorId="0" shapeId="0" xr:uid="{00000000-0006-0000-0200-000029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I10" authorId="0" shapeId="0" xr:uid="{00000000-0006-0000-0200-00002A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J10" authorId="0" shapeId="0" xr:uid="{00000000-0006-0000-0200-00002B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N10" authorId="0" shapeId="0" xr:uid="{00000000-0006-0000-0200-00002C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O10" authorId="0" shapeId="0" xr:uid="{00000000-0006-0000-0200-00002D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P10" authorId="0" shapeId="0" xr:uid="{00000000-0006-0000-0200-00002E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R10" authorId="0" shapeId="0" xr:uid="{00000000-0006-0000-0200-00002F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S10" authorId="0" shapeId="0" xr:uid="{00000000-0006-0000-0200-000030000000}">
      <text>
        <r>
          <rPr>
            <sz val="11"/>
            <color theme="1"/>
            <rFont val="Calibri"/>
          </rPr>
          <t>Source: SRC-B-ATT／MAIL-B; quotation/product row 1.</t>
        </r>
      </text>
    </comment>
    <comment ref="F11" authorId="0" shapeId="0" xr:uid="{00000000-0006-0000-0200-000031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I11" authorId="0" shapeId="0" xr:uid="{00000000-0006-0000-0200-000032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J11" authorId="0" shapeId="0" xr:uid="{00000000-0006-0000-0200-000033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N11" authorId="0" shapeId="0" xr:uid="{00000000-0006-0000-0200-000034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O11" authorId="0" shapeId="0" xr:uid="{00000000-0006-0000-0200-000035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P11" authorId="0" shapeId="0" xr:uid="{00000000-0006-0000-0200-000036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R11" authorId="0" shapeId="0" xr:uid="{00000000-0006-0000-0200-000037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S11" authorId="0" shapeId="0" xr:uid="{00000000-0006-0000-0200-000038000000}">
      <text>
        <r>
          <rPr>
            <sz val="11"/>
            <color theme="1"/>
            <rFont val="Calibri"/>
          </rPr>
          <t>Source: SRC-B-ATT／MAIL-B; quotation/product row 2.</t>
        </r>
      </text>
    </comment>
    <comment ref="F12" authorId="0" shapeId="0" xr:uid="{00000000-0006-0000-0200-000039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I12" authorId="0" shapeId="0" xr:uid="{00000000-0006-0000-0200-00003A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J12" authorId="0" shapeId="0" xr:uid="{00000000-0006-0000-0200-00003B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N12" authorId="0" shapeId="0" xr:uid="{00000000-0006-0000-0200-00003C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O12" authorId="0" shapeId="0" xr:uid="{00000000-0006-0000-0200-00003D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P12" authorId="0" shapeId="0" xr:uid="{00000000-0006-0000-0200-00003E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R12" authorId="0" shapeId="0" xr:uid="{00000000-0006-0000-0200-00003F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S12" authorId="0" shapeId="0" xr:uid="{00000000-0006-0000-0200-000040000000}">
      <text>
        <r>
          <rPr>
            <sz val="11"/>
            <color theme="1"/>
            <rFont val="Calibri"/>
          </rPr>
          <t>Source: SRC-B-ATT／MAIL-B; quotation/product row 3.</t>
        </r>
      </text>
    </comment>
    <comment ref="F13" authorId="0" shapeId="0" xr:uid="{00000000-0006-0000-0200-000041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I13" authorId="0" shapeId="0" xr:uid="{00000000-0006-0000-0200-000042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J13" authorId="0" shapeId="0" xr:uid="{00000000-0006-0000-0200-000043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N13" authorId="0" shapeId="0" xr:uid="{00000000-0006-0000-0200-000044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O13" authorId="0" shapeId="0" xr:uid="{00000000-0006-0000-0200-000045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P13" authorId="0" shapeId="0" xr:uid="{00000000-0006-0000-0200-000046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R13" authorId="0" shapeId="0" xr:uid="{00000000-0006-0000-0200-000047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S13" authorId="0" shapeId="0" xr:uid="{00000000-0006-0000-0200-000048000000}">
      <text>
        <r>
          <rPr>
            <sz val="11"/>
            <color theme="1"/>
            <rFont val="Calibri"/>
          </rPr>
          <t>Source: SRC-B-ATT／MAIL-B; quotation/product row 4.</t>
        </r>
      </text>
    </comment>
    <comment ref="F14" authorId="0" shapeId="0" xr:uid="{00000000-0006-0000-0200-000049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I14" authorId="0" shapeId="0" xr:uid="{00000000-0006-0000-0200-00004A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J14" authorId="0" shapeId="0" xr:uid="{00000000-0006-0000-0200-00004B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N14" authorId="0" shapeId="0" xr:uid="{00000000-0006-0000-0200-00004C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O14" authorId="0" shapeId="0" xr:uid="{00000000-0006-0000-0200-00004D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P14" authorId="0" shapeId="0" xr:uid="{00000000-0006-0000-0200-00004E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R14" authorId="0" shapeId="0" xr:uid="{00000000-0006-0000-0200-00004F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S14" authorId="0" shapeId="0" xr:uid="{00000000-0006-0000-0200-000050000000}">
      <text>
        <r>
          <rPr>
            <sz val="11"/>
            <color theme="1"/>
            <rFont val="Calibri"/>
          </rPr>
          <t>Source: SRC-B-ATT／MAIL-B; quotation/product row 5.</t>
        </r>
      </text>
    </comment>
    <comment ref="F15" authorId="0" shapeId="0" xr:uid="{00000000-0006-0000-0200-000051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I15" authorId="0" shapeId="0" xr:uid="{00000000-0006-0000-0200-000052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J15" authorId="0" shapeId="0" xr:uid="{00000000-0006-0000-0200-000053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N15" authorId="0" shapeId="0" xr:uid="{00000000-0006-0000-0200-000054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O15" authorId="0" shapeId="0" xr:uid="{00000000-0006-0000-0200-000055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P15" authorId="0" shapeId="0" xr:uid="{00000000-0006-0000-0200-000056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R15" authorId="0" shapeId="0" xr:uid="{00000000-0006-0000-0200-000057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S15" authorId="0" shapeId="0" xr:uid="{00000000-0006-0000-0200-000058000000}">
      <text>
        <r>
          <rPr>
            <sz val="11"/>
            <color theme="1"/>
            <rFont val="Calibri"/>
          </rPr>
          <t>Source: SRC-C-JPG; quotation/product row 1.</t>
        </r>
      </text>
    </comment>
    <comment ref="F16" authorId="0" shapeId="0" xr:uid="{00000000-0006-0000-0200-000059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I16" authorId="0" shapeId="0" xr:uid="{00000000-0006-0000-0200-00005A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J16" authorId="0" shapeId="0" xr:uid="{00000000-0006-0000-0200-00005B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N16" authorId="0" shapeId="0" xr:uid="{00000000-0006-0000-0200-00005C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O16" authorId="0" shapeId="0" xr:uid="{00000000-0006-0000-0200-00005D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P16" authorId="0" shapeId="0" xr:uid="{00000000-0006-0000-0200-00005E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R16" authorId="0" shapeId="0" xr:uid="{00000000-0006-0000-0200-00005F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S16" authorId="0" shapeId="0" xr:uid="{00000000-0006-0000-0200-000060000000}">
      <text>
        <r>
          <rPr>
            <sz val="11"/>
            <color theme="1"/>
            <rFont val="Calibri"/>
          </rPr>
          <t>Source: SRC-C-JPG; quotation/product row 2.</t>
        </r>
      </text>
    </comment>
    <comment ref="F17" authorId="0" shapeId="0" xr:uid="{00000000-0006-0000-0200-000061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I17" authorId="0" shapeId="0" xr:uid="{00000000-0006-0000-0200-000062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J17" authorId="0" shapeId="0" xr:uid="{00000000-0006-0000-0200-000063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N17" authorId="0" shapeId="0" xr:uid="{00000000-0006-0000-0200-000064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O17" authorId="0" shapeId="0" xr:uid="{00000000-0006-0000-0200-000065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P17" authorId="0" shapeId="0" xr:uid="{00000000-0006-0000-0200-000066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R17" authorId="0" shapeId="0" xr:uid="{00000000-0006-0000-0200-000067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S17" authorId="0" shapeId="0" xr:uid="{00000000-0006-0000-0200-000068000000}">
      <text>
        <r>
          <rPr>
            <sz val="11"/>
            <color theme="1"/>
            <rFont val="Calibri"/>
          </rPr>
          <t>Source: SRC-C-JPG; quotation/product row 3.</t>
        </r>
      </text>
    </comment>
    <comment ref="F18" authorId="0" shapeId="0" xr:uid="{00000000-0006-0000-0200-000069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I18" authorId="0" shapeId="0" xr:uid="{00000000-0006-0000-0200-00006A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J18" authorId="0" shapeId="0" xr:uid="{00000000-0006-0000-0200-00006B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N18" authorId="0" shapeId="0" xr:uid="{00000000-0006-0000-0200-00006C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O18" authorId="0" shapeId="0" xr:uid="{00000000-0006-0000-0200-00006D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P18" authorId="0" shapeId="0" xr:uid="{00000000-0006-0000-0200-00006E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R18" authorId="0" shapeId="0" xr:uid="{00000000-0006-0000-0200-00006F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S18" authorId="0" shapeId="0" xr:uid="{00000000-0006-0000-0200-000070000000}">
      <text>
        <r>
          <rPr>
            <sz val="11"/>
            <color theme="1"/>
            <rFont val="Calibri"/>
          </rPr>
          <t>Source: SRC-C-JPG; quotation/product row 4.</t>
        </r>
      </text>
    </comment>
    <comment ref="F19" authorId="0" shapeId="0" xr:uid="{00000000-0006-0000-0200-000071000000}">
      <text>
        <r>
          <rPr>
            <sz val="11"/>
            <color theme="1"/>
            <rFont val="Calibri"/>
          </rPr>
          <t>Source: SRC-C-JPG; quotation/product row 5.</t>
        </r>
      </text>
    </comment>
    <comment ref="I19" authorId="0" shapeId="0" xr:uid="{00000000-0006-0000-0200-000072000000}">
      <text>
        <r>
          <rPr>
            <sz val="11"/>
            <color theme="1"/>
            <rFont val="Calibri"/>
          </rPr>
          <t>Source: SRC-C-JPG; quotation/product row 5.</t>
        </r>
      </text>
    </comment>
    <comment ref="J19" authorId="0" shapeId="0" xr:uid="{00000000-0006-0000-0200-000073000000}">
      <text>
        <r>
          <rPr>
            <sz val="11"/>
            <color theme="1"/>
            <rFont val="Calibri"/>
          </rPr>
          <t>Source: SRC-C-JPG; quotation/product row 5.</t>
        </r>
      </text>
    </comment>
    <comment ref="N19" authorId="0" shapeId="0" xr:uid="{00000000-0006-0000-0200-000074000000}">
      <text>
        <r>
          <rPr>
            <sz val="11"/>
            <color theme="1"/>
            <rFont val="Calibri"/>
          </rPr>
          <t>Source: SRC-C-JPG; quotation/product row 5.</t>
        </r>
      </text>
    </comment>
    <comment ref="O19" authorId="0" shapeId="0" xr:uid="{00000000-0006-0000-0200-000075000000}">
      <text>
        <r>
          <rPr>
            <sz val="11"/>
            <color theme="1"/>
            <rFont val="Calibri"/>
          </rPr>
          <t>Source: SRC-C-JPG; quotation/product row 5.</t>
        </r>
      </text>
    </comment>
    <comment ref="P19" authorId="0" shapeId="0" xr:uid="{00000000-0006-0000-0200-000076000000}">
      <text>
        <r>
          <rPr>
            <sz val="11"/>
            <color theme="1"/>
            <rFont val="Calibri"/>
          </rPr>
          <t>Source: SRC-C-JPG; quotation/product row 5.</t>
        </r>
      </text>
    </comment>
    <comment ref="R19" authorId="0" shapeId="0" xr:uid="{00000000-0006-0000-0200-000077000000}">
      <text>
        <r>
          <rPr>
            <sz val="11"/>
            <color theme="1"/>
            <rFont val="Calibri"/>
          </rPr>
          <t>Source: SRC-C-JPG; quotation/product row 5.</t>
        </r>
      </text>
    </comment>
    <comment ref="S19" authorId="0" shapeId="0" xr:uid="{00000000-0006-0000-0200-000078000000}">
      <text>
        <r>
          <rPr>
            <sz val="11"/>
            <color theme="1"/>
            <rFont val="Calibri"/>
          </rPr>
          <t>Source: SRC-C-JPG; quotation/product row 5.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Codex</author>
  </authors>
  <commentList>
    <comment ref="E5" authorId="0" shapeId="0" xr:uid="{00000000-0006-0000-0300-000001000000}">
      <text>
        <r>
          <rPr>
            <sz val="11"/>
            <color theme="1"/>
            <rFont val="Calibri"/>
          </rPr>
          <t>Source: SRC-A-PDF; freight/free-shipping terms.</t>
        </r>
      </text>
    </comment>
    <comment ref="F5" authorId="0" shapeId="0" xr:uid="{00000000-0006-0000-0300-000002000000}">
      <text>
        <r>
          <rPr>
            <sz val="11"/>
            <color theme="1"/>
            <rFont val="Calibri"/>
          </rPr>
          <t>Source: SRC-A-PDF; freight/free-shipping terms.</t>
        </r>
      </text>
    </comment>
    <comment ref="H5" authorId="0" shapeId="0" xr:uid="{00000000-0006-0000-0300-000003000000}">
      <text>
        <r>
          <rPr>
            <sz val="11"/>
            <color theme="1"/>
            <rFont val="Calibri"/>
          </rPr>
          <t>Source: SRC-A-PDF; freight/free-shipping terms.</t>
        </r>
      </text>
    </comment>
    <comment ref="I5" authorId="0" shapeId="0" xr:uid="{00000000-0006-0000-0300-000004000000}">
      <text>
        <r>
          <rPr>
            <sz val="11"/>
            <color theme="1"/>
            <rFont val="Calibri"/>
          </rPr>
          <t>Source: SRC-A-PDF; freight/free-shipping terms.</t>
        </r>
      </text>
    </comment>
    <comment ref="K5" authorId="0" shapeId="0" xr:uid="{00000000-0006-0000-0300-000005000000}">
      <text>
        <r>
          <rPr>
            <sz val="11"/>
            <color theme="1"/>
            <rFont val="Calibri"/>
          </rPr>
          <t>Source: SRC-A-PDF; freight/free-shipping terms.</t>
        </r>
      </text>
    </comment>
    <comment ref="E6" authorId="0" shapeId="0" xr:uid="{00000000-0006-0000-0300-000006000000}">
      <text>
        <r>
          <rPr>
            <sz val="11"/>
            <color theme="1"/>
            <rFont val="Calibri"/>
          </rPr>
          <t>Source: MAIL-B; freight/free-shipping terms.</t>
        </r>
      </text>
    </comment>
    <comment ref="F6" authorId="0" shapeId="0" xr:uid="{00000000-0006-0000-0300-000007000000}">
      <text>
        <r>
          <rPr>
            <sz val="11"/>
            <color theme="1"/>
            <rFont val="Calibri"/>
          </rPr>
          <t>Source: MAIL-B; freight/free-shipping terms.</t>
        </r>
      </text>
    </comment>
    <comment ref="H6" authorId="0" shapeId="0" xr:uid="{00000000-0006-0000-0300-000008000000}">
      <text>
        <r>
          <rPr>
            <sz val="11"/>
            <color theme="1"/>
            <rFont val="Calibri"/>
          </rPr>
          <t>Source: MAIL-B; freight/free-shipping terms.</t>
        </r>
      </text>
    </comment>
    <comment ref="I6" authorId="0" shapeId="0" xr:uid="{00000000-0006-0000-0300-000009000000}">
      <text>
        <r>
          <rPr>
            <sz val="11"/>
            <color theme="1"/>
            <rFont val="Calibri"/>
          </rPr>
          <t>Source: MAIL-B; freight/free-shipping terms.</t>
        </r>
      </text>
    </comment>
    <comment ref="K6" authorId="0" shapeId="0" xr:uid="{00000000-0006-0000-0300-00000A000000}">
      <text>
        <r>
          <rPr>
            <sz val="11"/>
            <color theme="1"/>
            <rFont val="Calibri"/>
          </rPr>
          <t>Source: MAIL-B; freight/free-shipping terms.</t>
        </r>
      </text>
    </comment>
    <comment ref="E7" authorId="0" shapeId="0" xr:uid="{00000000-0006-0000-0300-00000B000000}">
      <text>
        <r>
          <rPr>
            <sz val="11"/>
            <color theme="1"/>
            <rFont val="Calibri"/>
          </rPr>
          <t>Source: SRC-C-JPG; freight/free-shipping terms.</t>
        </r>
      </text>
    </comment>
    <comment ref="F7" authorId="0" shapeId="0" xr:uid="{00000000-0006-0000-0300-00000C000000}">
      <text>
        <r>
          <rPr>
            <sz val="11"/>
            <color theme="1"/>
            <rFont val="Calibri"/>
          </rPr>
          <t>Source: SRC-C-JPG; freight/free-shipping terms.</t>
        </r>
      </text>
    </comment>
    <comment ref="H7" authorId="0" shapeId="0" xr:uid="{00000000-0006-0000-0300-00000D000000}">
      <text>
        <r>
          <rPr>
            <sz val="11"/>
            <color theme="1"/>
            <rFont val="Calibri"/>
          </rPr>
          <t>Source: SRC-C-JPG; freight/free-shipping terms.</t>
        </r>
      </text>
    </comment>
    <comment ref="I7" authorId="0" shapeId="0" xr:uid="{00000000-0006-0000-0300-00000E000000}">
      <text>
        <r>
          <rPr>
            <sz val="11"/>
            <color theme="1"/>
            <rFont val="Calibri"/>
          </rPr>
          <t>Source: SRC-C-JPG; freight/free-shipping terms.</t>
        </r>
      </text>
    </comment>
    <comment ref="K7" authorId="0" shapeId="0" xr:uid="{00000000-0006-0000-0300-00000F000000}">
      <text>
        <r>
          <rPr>
            <sz val="11"/>
            <color theme="1"/>
            <rFont val="Calibri"/>
          </rPr>
          <t>Source: SRC-C-JPG; freight/free-shipping terms.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tc={E0FAEE9B-50C4-AE4A-EF14-7839D63E3111}</author>
    <author>tc={83E23C89-9EBD-E86F-9F07-20C94E16F8B0}</author>
    <author>tc={D05B6D20-E173-D772-6B6B-A231EC8A306F}</author>
  </authors>
  <commentList>
    <comment ref="B5" authorId="0" shapeId="0" xr:uid="{00000000-0006-0000-0A00-000001000000}">
      <text>
        <r>
          <rPr>
            <sz val="11"/>
            <color theme="1"/>
            <rFont val="Calibri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本頁匯率獨立使用，不連結「需求與匯率」工作表。修改後重新執行巨集即可重算。</t>
        </r>
      </text>
    </comment>
    <comment ref="B6" authorId="1" shapeId="0" xr:uid="{00000000-0006-0000-0A00-000002000000}">
      <text>
        <r>
          <rPr>
            <sz val="11"/>
            <color theme="1"/>
            <rFont val="Calibri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晚於此日期的供貨方案會被排除。BrightPro 的 MA-01 補貨到貨日為 2026-09-11。</t>
        </r>
      </text>
    </comment>
    <comment ref="C11" authorId="2" shapeId="0" xr:uid="{00000000-0006-0000-0A00-000003000000}">
      <text>
        <r>
          <rPr>
            <sz val="11"/>
            <color theme="1"/>
            <rFont val="Calibri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C11:C15 是本頁獨立需求輸入，巨集會以這五格作為採購需求。</t>
        </r>
      </text>
    </comment>
  </commentList>
</comments>
</file>

<file path=xl/sharedStrings.xml><?xml version="1.0" encoding="utf-8"?>
<sst xmlns="http://schemas.openxmlformats.org/spreadsheetml/2006/main" count="1212" uniqueCount="613">
  <si>
    <t>Quotation BP-26802 標準化試算</t>
  </si>
  <si>
    <t>以使用者輸入值進行標準化試算；另有「Solver最佳化」獨立頁，可直接輸入需求、匯率與交期後產生最佳採購建議。</t>
  </si>
  <si>
    <t>使用方式</t>
  </si>
  <si>
    <t>步驟</t>
  </si>
  <si>
    <t>工作</t>
  </si>
  <si>
    <t>說明</t>
  </si>
  <si>
    <t>1</t>
  </si>
  <si>
    <t>輸入需求量</t>
  </si>
  <si>
    <t>前往「需求與匯率」C9:C13，在黃色格輸入五個型號的需求量。原報價只提供可供量，沒有實際需求量。</t>
  </si>
  <si>
    <t>2</t>
  </si>
  <si>
    <t>確認匯率</t>
  </si>
  <si>
    <t>B5 已依本次指示填入 31.8；藍字黃色格代表可調整輸入。</t>
  </si>
  <si>
    <t>3</t>
  </si>
  <si>
    <t>查看單品</t>
  </si>
  <si>
    <t>「標準化明細」會自動帶入需求量，並計算 TWD 單價、各列小計、標準期可供數及庫存缺口。</t>
  </si>
  <si>
    <t>4</t>
  </si>
  <si>
    <t>查看整張訂單</t>
  </si>
  <si>
    <t>「訂單試算」會按各供應商的免運規則計算應付運費與訂單總額。運費以每張採購單計一次，不分攤到商品列。</t>
  </si>
  <si>
    <t>5</t>
  </si>
  <si>
    <t>查看交期</t>
  </si>
  <si>
    <t>標準到貨日及交期日數已拆成日期與數字欄；Supplier B 的 MA-01 超過 4 件時會套用 2026-09-11 延遲到貨日。</t>
  </si>
  <si>
    <t>範圍與假設</t>
  </si>
  <si>
    <t>• 手續費、付款條件、銀行資訊、保固等不納入本例的計算或供應商比較。</t>
  </si>
  <si>
    <t>• 原始 Gmail 正文與來源原文仍保留，僅作追溯；其內容不代表已納入試算。</t>
  </si>
  <si>
    <t>• Supplier A、C 未明示基準下單日；交期日數暫以報價日作基準，並在來源註記中標示為假設。</t>
  </si>
  <si>
    <t>• Supplier B 的免運條件必須同時滿足：總數量 &gt;120，且商品小計 &gt;USD 3,500；換算門檻為 TWD 111,300，但仍採嚴格大於。</t>
  </si>
  <si>
    <t>• 若需求超過報價所列庫存／可供量，除 Supplier B 的 MA-01 外，補貨交期皆視為待供應商確認。</t>
  </si>
  <si>
    <t>獨立最佳採購</t>
  </si>
  <si>
    <t>輸入條件</t>
  </si>
  <si>
    <t>前往「Solver最佳化」，在黃色格輸入匯率、最晚到貨日與五項需求量。</t>
  </si>
  <si>
    <t>執行最佳化</t>
  </si>
  <si>
    <t>將檔案另存為 .xlsm，匯入新版 VBA 後執行 RunProcurementSolver。</t>
  </si>
  <si>
    <t>查看建議</t>
  </si>
  <si>
    <t>「最佳採購建議」的橘色欄顯示各供應商建議採購量。</t>
  </si>
  <si>
    <t>需求量與匯率輸入</t>
  </si>
  <si>
    <t>黃色格為使用者輸入；目前需求量留白，待輸入後所有訂單金額、運費與庫存缺口將自動重算。</t>
  </si>
  <si>
    <t>設定</t>
  </si>
  <si>
    <t>輸入值</t>
  </si>
  <si>
    <t>單位</t>
  </si>
  <si>
    <t>資料來源</t>
  </si>
  <si>
    <t>USD/TWD 匯率</t>
  </si>
  <si>
    <t>TWD／USD</t>
  </si>
  <si>
    <t>使用者指示，2026-08-01</t>
  </si>
  <si>
    <t>適用 Supplier B 商品單價、運費及免運金額門檻</t>
  </si>
  <si>
    <t>各型號需求量</t>
  </si>
  <si>
    <t>標準商品名稱</t>
  </si>
  <si>
    <t>標準型號</t>
  </si>
  <si>
    <t>需求量</t>
  </si>
  <si>
    <t>輸入狀態</t>
  </si>
  <si>
    <t>原始資料狀態</t>
  </si>
  <si>
    <t>HDMI 傳輸線（2 公尺）</t>
  </si>
  <si>
    <t>HD-2M</t>
  </si>
  <si>
    <t>件</t>
  </si>
  <si>
    <t>三家報價只列可供量，未列實際需求量</t>
  </si>
  <si>
    <t>使用者輸入</t>
  </si>
  <si>
    <t>USB-C 7 合 1 集線器</t>
  </si>
  <si>
    <t>UCH-7IN1</t>
  </si>
  <si>
    <t>鋁合金筆電架（A 型）</t>
  </si>
  <si>
    <t>NB-STAND-A</t>
  </si>
  <si>
    <t>無線簡報器</t>
  </si>
  <si>
    <t>PR-100</t>
  </si>
  <si>
    <t>單螢幕懸臂支架</t>
  </si>
  <si>
    <t>MA-01</t>
  </si>
  <si>
    <t>標準化商品明細與價格換算</t>
  </si>
  <si>
    <t>商品名稱、型號及欄位已統一；藍字為來源硬編值、綠字為跨工作表連結、黑字為公式。所有商品金額均換算為 TWD。</t>
  </si>
  <si>
    <t>供應商代碼</t>
  </si>
  <si>
    <t>供應商</t>
  </si>
  <si>
    <t>標準庫存／可供量</t>
  </si>
  <si>
    <t>標準期可供數</t>
  </si>
  <si>
    <t>逾標準庫存需求</t>
  </si>
  <si>
    <t>原幣別</t>
  </si>
  <si>
    <t>原幣單價</t>
  </si>
  <si>
    <t>換算匯率</t>
  </si>
  <si>
    <t>單價 (TWD)</t>
  </si>
  <si>
    <t>商品小計 (TWD)</t>
  </si>
  <si>
    <t>交期基準日</t>
  </si>
  <si>
    <t>標準出貨日</t>
  </si>
  <si>
    <t>標準到貨日</t>
  </si>
  <si>
    <t>標準交期(日)</t>
  </si>
  <si>
    <t>補貨天數</t>
  </si>
  <si>
    <t>延遲到貨日</t>
  </si>
  <si>
    <t>來源ID</t>
  </si>
  <si>
    <t>來源定位</t>
  </si>
  <si>
    <t>原始商品名稱</t>
  </si>
  <si>
    <t>交期／庫存註記</t>
  </si>
  <si>
    <t>A</t>
  </si>
  <si>
    <t>晨星辦公用品有限公司</t>
  </si>
  <si>
    <t>TWD</t>
  </si>
  <si>
    <t>SRC-A-PDF</t>
  </si>
  <si>
    <t>SRC-A-PDF；產品列 1</t>
  </si>
  <si>
    <t>HDMI 傳輸線 2M</t>
  </si>
  <si>
    <t>交期基準日以報價日 2026-08-01 暫代；來源列預計出貨／到貨日期。</t>
  </si>
  <si>
    <t>SRC-A-PDF；產品列 2</t>
  </si>
  <si>
    <t>USB-C 七合一集線器</t>
  </si>
  <si>
    <t>SRC-A-PDF；產品列 3</t>
  </si>
  <si>
    <t>鋁合金筆電架 A 型</t>
  </si>
  <si>
    <t>SRC-A-PDF；產品列 4</t>
  </si>
  <si>
    <t>SRC-A-PDF；產品列 5</t>
  </si>
  <si>
    <t>螢幕懸臂支架</t>
  </si>
  <si>
    <t>B</t>
  </si>
  <si>
    <t>BrightPro Trading Co.</t>
  </si>
  <si>
    <t>USD</t>
  </si>
  <si>
    <t>SRC-B-ATT／MAIL-B</t>
  </si>
  <si>
    <t>SRC-B-ATT／MAIL-B；產品列 1</t>
  </si>
  <si>
    <t>HDMI Cable, 2 m</t>
  </si>
  <si>
    <t>交期基準日為正文的示範下單日 2026-08-05。</t>
  </si>
  <si>
    <t>SRC-B-ATT／MAIL-B；產品列 2</t>
  </si>
  <si>
    <t>USB-C 7-in-1 Hub</t>
  </si>
  <si>
    <t>SRC-B-ATT／MAIL-B；產品列 3</t>
  </si>
  <si>
    <t>Aluminum Notebook Stand</t>
  </si>
  <si>
    <t>SRC-B-ATT／MAIL-B；產品列 4</t>
  </si>
  <si>
    <t>Wireless Presenter</t>
  </si>
  <si>
    <t>SRC-B-ATT／MAIL-B；產品列 5</t>
  </si>
  <si>
    <t>Single Monitor Arm</t>
  </si>
  <si>
    <t>4 件標準庫存；超過 4 件需 30 天補貨，8/5 下單之追加量預估 9/11 到貨。</t>
  </si>
  <si>
    <t>C</t>
  </si>
  <si>
    <t>友達資訊行</t>
  </si>
  <si>
    <t>SRC-C-JPG</t>
  </si>
  <si>
    <t>SRC-C-JPG；產品列 1</t>
  </si>
  <si>
    <t>HDMI線(2米)</t>
  </si>
  <si>
    <t>交期基準日以報價日 2026-08-03 暫代；來源列預計出貨／到貨日期。</t>
  </si>
  <si>
    <t>SRC-C-JPG；產品列 2</t>
  </si>
  <si>
    <t>Type-C HUB 7合1</t>
  </si>
  <si>
    <t>SRC-C-JPG；產品列 3</t>
  </si>
  <si>
    <t>NB鋁架 A款</t>
  </si>
  <si>
    <t>SRC-C-JPG；產品列 4</t>
  </si>
  <si>
    <t>無線翻頁筆</t>
  </si>
  <si>
    <t>SRC-C-JPG；產品列 5</t>
  </si>
  <si>
    <t>單螢幕支架</t>
  </si>
  <si>
    <t>各供應商整張訂單試算</t>
  </si>
  <si>
    <t>每家供應商視為一張採購單；免運判定及運費只在本頁計算一次。需求量未完整輸入時，訂單小計與總額保持空白。</t>
  </si>
  <si>
    <t>總需求量</t>
  </si>
  <si>
    <t>原幣運費</t>
  </si>
  <si>
    <t>運費幣別</t>
  </si>
  <si>
    <t>運費 (TWD)</t>
  </si>
  <si>
    <t>原幣免運金額門檻</t>
  </si>
  <si>
    <t>門檻幣別</t>
  </si>
  <si>
    <t>免運金額門檻 (TWD)</t>
  </si>
  <si>
    <t>免運數量條件</t>
  </si>
  <si>
    <t>免運判定</t>
  </si>
  <si>
    <t>應付運費 (TWD)</t>
  </si>
  <si>
    <t>訂單總額 (TWD)</t>
  </si>
  <si>
    <t>庫存缺口量</t>
  </si>
  <si>
    <t>預估最終到貨</t>
  </si>
  <si>
    <t>商品小計 ≥ NT$90,000</t>
  </si>
  <si>
    <t>總數量 &gt;120 且商品小計 &gt;USD3,500</t>
  </si>
  <si>
    <t>MAIL-B</t>
  </si>
  <si>
    <t>商品小計 ≥ NT$70,000</t>
  </si>
  <si>
    <t>核對備註（本例範圍）</t>
  </si>
  <si>
    <t>僅保留會影響需求、庫存、價格、運費、免運及交期計算的注意事項；付款與手續費已排除。</t>
  </si>
  <si>
    <t>編號</t>
  </si>
  <si>
    <t>類型</t>
  </si>
  <si>
    <t>嚴重度</t>
  </si>
  <si>
    <t>項目</t>
  </si>
  <si>
    <t>核對發現</t>
  </si>
  <si>
    <t>對試算的影響</t>
  </si>
  <si>
    <t>建議</t>
  </si>
  <si>
    <t>來源</t>
  </si>
  <si>
    <t>狀態</t>
  </si>
  <si>
    <t>N-001</t>
  </si>
  <si>
    <t>輸入缺漏</t>
  </si>
  <si>
    <t>高</t>
  </si>
  <si>
    <t>實際需求量</t>
  </si>
  <si>
    <t>原報價只提供可供量，沒有實際採購需求。</t>
  </si>
  <si>
    <t>未輸入前不計算商品小計、免運與總額。</t>
  </si>
  <si>
    <t>在「需求與匯率」輸入五個型號需求量。</t>
  </si>
  <si>
    <t>三家正式報價</t>
  </si>
  <si>
    <t>待輸入</t>
  </si>
  <si>
    <t>N-002</t>
  </si>
  <si>
    <t>來源異常</t>
  </si>
  <si>
    <t>Supplier B 日期</t>
  </si>
  <si>
    <t>8/1 郵件附上標示 8/2 發行的附件。</t>
  </si>
  <si>
    <t>可能影響報價版本有效性。</t>
  </si>
  <si>
    <t>確認 BP-26802-R2 是否為正式版本。</t>
  </si>
  <si>
    <t>MAIL-B／SRC-B-ATT</t>
  </si>
  <si>
    <t>待確認</t>
  </si>
  <si>
    <t>N-003</t>
  </si>
  <si>
    <t>Supplier B 寄件身分</t>
  </si>
  <si>
    <t>寄件者網域／姓名與 BrightPro 簽名不一致。</t>
  </si>
  <si>
    <t>需先確認來源真實性。</t>
  </si>
  <si>
    <t>核實寄件者授權。</t>
  </si>
  <si>
    <t>N-004</t>
  </si>
  <si>
    <t>中</t>
  </si>
  <si>
    <t>Supplier C 日期</t>
  </si>
  <si>
    <t>檔案在 8/1 已存在，照片單據日期為 8/3。</t>
  </si>
  <si>
    <t>可能影響報價時序。</t>
  </si>
  <si>
    <t>確認文件日期。</t>
  </si>
  <si>
    <t>N-005</t>
  </si>
  <si>
    <t>換算假設</t>
  </si>
  <si>
    <t>Supplier B 稅別</t>
  </si>
  <si>
    <t>附件只列 USD，稅別未載。</t>
  </si>
  <si>
    <t>本例只換算未調稅，與 A/C 未稅價未必完全同基準。</t>
  </si>
  <si>
    <t>正式比較前補稅別。</t>
  </si>
  <si>
    <t>SRC-B-ATT</t>
  </si>
  <si>
    <t>N-006</t>
  </si>
  <si>
    <t>庫存限制</t>
  </si>
  <si>
    <t>Supplier B MA-01</t>
  </si>
  <si>
    <t>標準庫存 4 件；超過 4 件需 30 天補貨。</t>
  </si>
  <si>
    <t>超過 4 件時最終到貨改採 2026-09-11。</t>
  </si>
  <si>
    <t>依需求決定是否接受延遲。</t>
  </si>
  <si>
    <t>已建模</t>
  </si>
  <si>
    <t>N-007</t>
  </si>
  <si>
    <t>交期假設</t>
  </si>
  <si>
    <t>低</t>
  </si>
  <si>
    <t>Supplier A/C 基準日</t>
  </si>
  <si>
    <t>A/C 只列固定出貨與到貨日，未明示下單基準日。</t>
  </si>
  <si>
    <t>交期日數暫以報價日計算。</t>
  </si>
  <si>
    <t>成交前要求依實際下單日重報交期。</t>
  </si>
  <si>
    <t>SRC-A-PDF／SRC-C-JPG</t>
  </si>
  <si>
    <t>假設</t>
  </si>
  <si>
    <t>原始報價明細（逐筆保留）</t>
  </si>
  <si>
    <t>原始值不改寫；標準化型號只作跨來源比對。『可供量／標準數量』不是採購數量。</t>
  </si>
  <si>
    <t>報價單號</t>
  </si>
  <si>
    <t>報價日期原值</t>
  </si>
  <si>
    <t>品名原值</t>
  </si>
  <si>
    <t>型號原值</t>
  </si>
  <si>
    <t>數量原值</t>
  </si>
  <si>
    <t>數量數值</t>
  </si>
  <si>
    <t>單價原值</t>
  </si>
  <si>
    <t>幣別／稅別</t>
  </si>
  <si>
    <t>MS-Q260801-02</t>
  </si>
  <si>
    <t>2026/08/01</t>
  </si>
  <si>
    <t>150 件</t>
  </si>
  <si>
    <t>NT$ 360</t>
  </si>
  <si>
    <t>TWD／未稅</t>
  </si>
  <si>
    <t>80 件</t>
  </si>
  <si>
    <t>NT$ 1,420</t>
  </si>
  <si>
    <t>60 件</t>
  </si>
  <si>
    <t>NT$ 880</t>
  </si>
  <si>
    <t>50 件</t>
  </si>
  <si>
    <t>NT$ 760</t>
  </si>
  <si>
    <t>20 件</t>
  </si>
  <si>
    <t>NT$ 2,150</t>
  </si>
  <si>
    <t>BP-26802-R2</t>
  </si>
  <si>
    <t>August 2, 2026</t>
  </si>
  <si>
    <t>120</t>
  </si>
  <si>
    <t>$9.80</t>
  </si>
  <si>
    <t>USD／稅別未載</t>
  </si>
  <si>
    <t>45</t>
  </si>
  <si>
    <t>$37.50</t>
  </si>
  <si>
    <t>50</t>
  </si>
  <si>
    <t>$23.20</t>
  </si>
  <si>
    <t>40</t>
  </si>
  <si>
    <t>$20.50</t>
  </si>
  <si>
    <t>$52.00</t>
  </si>
  <si>
    <t>YD-260803-A2</t>
  </si>
  <si>
    <t>2026.08.03</t>
  </si>
  <si>
    <t>110</t>
  </si>
  <si>
    <t>315</t>
  </si>
  <si>
    <t>1,250</t>
  </si>
  <si>
    <t>790</t>
  </si>
  <si>
    <t>35</t>
  </si>
  <si>
    <t>690</t>
  </si>
  <si>
    <t>10</t>
  </si>
  <si>
    <t>1,880</t>
  </si>
  <si>
    <t>Gmail 正文與附件原文</t>
  </si>
  <si>
    <t>以下依 Gmail 連接器回傳內容逐行保存；空白行與獨立的『-』符號亦保留，方便對照原始正文。</t>
  </si>
  <si>
    <t>欄位</t>
  </si>
  <si>
    <t>原始內容</t>
  </si>
  <si>
    <t>Message ID</t>
  </si>
  <si>
    <t>19fbbcf551b788e4</t>
  </si>
  <si>
    <t>Thread ID</t>
  </si>
  <si>
    <t>From</t>
  </si>
  <si>
    <t>"何振豪" chenghao.ho@flag.com.tw</t>
  </si>
  <si>
    <t>To</t>
  </si>
  <si>
    <t>howard31526@gmail.com</t>
  </si>
  <si>
    <t>Subject</t>
  </si>
  <si>
    <t>Quotation BP-26802-R2 — Pricing, Freight and Lead-Time Conditions</t>
  </si>
  <si>
    <t>時間</t>
  </si>
  <si>
    <t>2026-08-01 13:32:21 +08:00（搜尋結果）；read_email 回傳 UTC 2026-08-01 05:32:21</t>
  </si>
  <si>
    <t>Labels</t>
  </si>
  <si>
    <t>UNREAD, IMPORTANT, CATEGORY_PERSONAL, INBOX</t>
  </si>
  <si>
    <t>Attachment</t>
  </si>
  <si>
    <t>Example04_SupplierB_Product_Sheet_BP-26802-R2.pdf｜application/pdf｜74,758 bytes</t>
  </si>
  <si>
    <t>Gmail URL</t>
  </si>
  <si>
    <t>https://mail.google.com/mail/#all/19fbbcf551b788e4</t>
  </si>
  <si>
    <t>正文逐行保存</t>
  </si>
  <si>
    <t>行次</t>
  </si>
  <si>
    <t>原始正文</t>
  </si>
  <si>
    <t>Dear Purchasing Team,</t>
  </si>
  <si>
    <t>MAIL-B body line 1</t>
  </si>
  <si>
    <t/>
  </si>
  <si>
    <t>MAIL-B body line 2</t>
  </si>
  <si>
    <t>Please find attached the BrightPro product and price sheet for quotation BP-26802-R2, issued August 2, 2026. All unit prices in the attachment are quoted in USD.</t>
  </si>
  <si>
    <t>MAIL-B body line 3</t>
  </si>
  <si>
    <t>MAIL-B body line 4</t>
  </si>
  <si>
    <t>Please note the following commercial conditions because they directly affect the final purchasing cost and delivery feasibility:</t>
  </si>
  <si>
    <t>MAIL-B body line 5</t>
  </si>
  <si>
    <t>MAIL-B body line 6</t>
  </si>
  <si>
    <t>-</t>
  </si>
  <si>
    <t>MAIL-B body line 7</t>
  </si>
  <si>
    <t>Freight charge</t>
  </si>
  <si>
    <t>MAIL-B body line 8</t>
  </si>
  <si>
    <t>MAIL-B body line 9</t>
  </si>
  <si>
    <t>MAIL-B body line 10</t>
  </si>
  <si>
    <t>Freight is USD 85 per purchase order, not per product line.</t>
  </si>
  <si>
    <t>MAIL-B body line 11</t>
  </si>
  <si>
    <t>MAIL-B body line 12</t>
  </si>
  <si>
    <t>MAIL-B body line 13</t>
  </si>
  <si>
    <t>The product subtotal used for the free-shipping test excludes freight.</t>
  </si>
  <si>
    <t>MAIL-B body line 14</t>
  </si>
  <si>
    <t>MAIL-B body line 15</t>
  </si>
  <si>
    <t>MAIL-B body line 16</t>
  </si>
  <si>
    <t>Free-shipping rule</t>
  </si>
  <si>
    <t>MAIL-B body line 17</t>
  </si>
  <si>
    <t>MAIL-B body line 18</t>
  </si>
  <si>
    <t>Free shipping applies only when both conditions are satisfied on the same purchase order:</t>
  </si>
  <si>
    <t>MAIL-B body line 19</t>
  </si>
  <si>
    <t>MAIL-B body line 20</t>
  </si>
  <si>
    <t>MAIL-B body line 21</t>
  </si>
  <si>
    <t>Total quantity across all quoted product models is greater than 120 units; and</t>
  </si>
  <si>
    <t>MAIL-B body line 22</t>
  </si>
  <si>
    <t>MAIL-B body line 23</t>
  </si>
  <si>
    <t>MAIL-B body line 24</t>
  </si>
  <si>
    <t>Product subtotal is greater than USD 3,500.</t>
  </si>
  <si>
    <t>MAIL-B body line 25</t>
  </si>
  <si>
    <t>MAIL-B body line 26</t>
  </si>
  <si>
    <t>Meeting only one condition does not qualify for free shipping. For calculation purposes, the practical minimums are 121 units and USD 3,500.01.</t>
  </si>
  <si>
    <t>MAIL-B body line 27</t>
  </si>
  <si>
    <t>MAIL-B body line 28</t>
  </si>
  <si>
    <t>MAIL-B body line 29</t>
  </si>
  <si>
    <t>Payment and exchange rate</t>
  </si>
  <si>
    <t>MAIL-B body line 30</t>
  </si>
  <si>
    <t>MAIL-B body line 31</t>
  </si>
  <si>
    <t>MAIL-B body line 32</t>
  </si>
  <si>
    <t>Payment is due in full on the order date.</t>
  </si>
  <si>
    <t>MAIL-B body line 33</t>
  </si>
  <si>
    <t>MAIL-B body line 34</t>
  </si>
  <si>
    <t>MAIL-B body line 35</t>
  </si>
  <si>
    <t>The quotation does not lock a TWD exchange rate.</t>
  </si>
  <si>
    <t>MAIL-B body line 36</t>
  </si>
  <si>
    <t>MAIL-B body line 37</t>
  </si>
  <si>
    <t>MAIL-B body line 38</t>
  </si>
  <si>
    <t>USD product charges and any payable USD freight will be converted to TWD using the spot USD/TWD exchange rate on the payment date.</t>
  </si>
  <si>
    <t>MAIL-B body line 39</t>
  </si>
  <si>
    <t>MAIL-B body line 40</t>
  </si>
  <si>
    <t>MAIL-B body line 41</t>
  </si>
  <si>
    <t>The final TWD purchasing cost may therefore change with the exchange rate.</t>
  </si>
  <si>
    <t>MAIL-B body line 42</t>
  </si>
  <si>
    <t>MAIL-B body line 43</t>
  </si>
  <si>
    <t>MAIL-B body line 44</t>
  </si>
  <si>
    <t>Standard shipment schedule</t>
  </si>
  <si>
    <t>MAIL-B body line 45</t>
  </si>
  <si>
    <t>MAIL-B body line 46</t>
  </si>
  <si>
    <t>For the demonstration order date of August 5, 2026, quantities within the standard availability shown in the attachment are estimated to:</t>
  </si>
  <si>
    <t>MAIL-B body line 47</t>
  </si>
  <si>
    <t>MAIL-B body line 48</t>
  </si>
  <si>
    <t>MAIL-B body line 49</t>
  </si>
  <si>
    <t>Ship on August 12, 2026; and</t>
  </si>
  <si>
    <t>MAIL-B body line 50</t>
  </si>
  <si>
    <t>MAIL-B body line 51</t>
  </si>
  <si>
    <t>MAIL-B body line 52</t>
  </si>
  <si>
    <t>Arrive on August 19, 2026.</t>
  </si>
  <si>
    <t>MAIL-B body line 53</t>
  </si>
  <si>
    <t>MAIL-B body line 54</t>
  </si>
  <si>
    <t>MAIL-B body line 55</t>
  </si>
  <si>
    <t>MA-01 availability and delayed quantity</t>
  </si>
  <si>
    <t>MAIL-B body line 56</t>
  </si>
  <si>
    <t>MAIL-B body line 57</t>
  </si>
  <si>
    <t>MAIL-B body line 58</t>
  </si>
  <si>
    <t>Only 4 units of MA-01 are available for the standard schedule.</t>
  </si>
  <si>
    <t>MAIL-B body line 59</t>
  </si>
  <si>
    <t>MAIL-B body line 60</t>
  </si>
  <si>
    <t>MAIL-B body line 61</t>
  </si>
  <si>
    <t>Any MA-01 quantity above 4 requires a 30-day restocking period.</t>
  </si>
  <si>
    <t>MAIL-B body line 62</t>
  </si>
  <si>
    <t>MAIL-B body line 63</t>
  </si>
  <si>
    <t>MAIL-B body line 64</t>
  </si>
  <si>
    <t>For an order placed on August 5, additional MA-01 units are estimated to ship on September 4, 2026 and arrive on September 11, 2026.</t>
  </si>
  <si>
    <t>MAIL-B body line 65</t>
  </si>
  <si>
    <t>MAIL-B body line 66</t>
  </si>
  <si>
    <t>MAIL-B body line 67</t>
  </si>
  <si>
    <t>The USD 85 freight rule is applied per purchase order. The delayed MA-01 portion does not create a second order charge by itself.</t>
  </si>
  <si>
    <t>MAIL-B body line 68</t>
  </si>
  <si>
    <t>MAIL-B body line 69</t>
  </si>
  <si>
    <t>Please use the model codes in the attachment as the product-matching keys when comparing this quotation with other suppliers.</t>
  </si>
  <si>
    <t>MAIL-B body line 70</t>
  </si>
  <si>
    <t>MAIL-B body line 71</t>
  </si>
  <si>
    <t>Best regards,</t>
  </si>
  <si>
    <t>MAIL-B body line 72</t>
  </si>
  <si>
    <t>MAIL-B body line 73</t>
  </si>
  <si>
    <t>Hao Chen</t>
  </si>
  <si>
    <t>MAIL-B body line 74</t>
  </si>
  <si>
    <t>MAIL-B body line 75</t>
  </si>
  <si>
    <t>附件 PDF 擷取原文（Page 1 / 1）</t>
  </si>
  <si>
    <t>附件原文</t>
  </si>
  <si>
    <t>BRIGHTPRO BP / INTERNATIONAL SUPPLY</t>
  </si>
  <si>
    <t>SRC-B-ATT p.1 line 1</t>
  </si>
  <si>
    <t>PRODUCT &amp; PRICE SHEET</t>
  </si>
  <si>
    <t>SRC-B-ATT p.1 line 2</t>
  </si>
  <si>
    <t>Quotation BP-26802-R2 ISSUED</t>
  </si>
  <si>
    <t>SRC-B-ATT p.1 line 3</t>
  </si>
  <si>
    <t>SRC-B-ATT p.1 line 4</t>
  </si>
  <si>
    <t>CURRENCY</t>
  </si>
  <si>
    <t>SRC-B-ATT p.1 line 5</t>
  </si>
  <si>
    <t>SRC-B-ATT p.1 line 6</t>
  </si>
  <si>
    <t>Prepared for product comparison and purchasing review.</t>
  </si>
  <si>
    <t>SRC-B-ATT p.1 line 7</t>
  </si>
  <si>
    <t>PRODUCT DESCRIPTION MODEL STANDARD</t>
  </si>
  <si>
    <t>SRC-B-ATT p.1 line 8</t>
  </si>
  <si>
    <t>QTY UNIT PRICE AVAILABILITY</t>
  </si>
  <si>
    <t>SRC-B-ATT p.1 line 9</t>
  </si>
  <si>
    <t>HDMI Cable, 2 m HD-2M 120 $9.80 standard stock</t>
  </si>
  <si>
    <t>SRC-B-ATT p.1 line 10</t>
  </si>
  <si>
    <t>USB-C 7-in-1 Hub UCH-7IN1 45 $37.50 standard stock</t>
  </si>
  <si>
    <t>SRC-B-ATT p.1 line 11</t>
  </si>
  <si>
    <t>Aluminum Notebook Stand NB-STAND-A 50 $23.20 standard stock</t>
  </si>
  <si>
    <t>SRC-B-ATT p.1 line 12</t>
  </si>
  <si>
    <t>Wireless Presenter PR-100 40 $20.50 standard stock</t>
  </si>
  <si>
    <t>SRC-B-ATT p.1 line 13</t>
  </si>
  <si>
    <t>Single Monitor Arm MA-01 4 $52.00 4 units standard stock</t>
  </si>
  <si>
    <t>SRC-B-ATT p.1 line 14</t>
  </si>
  <si>
    <t>PRODUCT NOTE</t>
  </si>
  <si>
    <t>SRC-B-ATT p.1 line 15</t>
  </si>
  <si>
    <t>MA-01 standard-stock availability is limited to four (4) units. Quantities above four require a 30-day restocking period.</t>
  </si>
  <si>
    <t>SRC-B-ATT p.1 line 16</t>
  </si>
  <si>
    <t>Commercial shipping, payment, exchange-rate treatment, and delivery estimates are stated in the accompanying email.</t>
  </si>
  <si>
    <t>SRC-B-ATT p.1 line 17</t>
  </si>
  <si>
    <t>BrightPro Trading Co. | Product Desk | Reference: BP-26802-R2</t>
  </si>
  <si>
    <t>SRC-B-ATT p.1 line 18</t>
  </si>
  <si>
    <t>本機報價與 Gmail 附件原文／人工轉錄</t>
  </si>
  <si>
    <t>PDF 為文字擷取；JPG 為人工視覺轉錄。原始二進位檔、大小與 SHA-256 請見「來源索引」。</t>
  </si>
  <si>
    <t>內容類型</t>
  </si>
  <si>
    <t>原始擷取／轉錄內容</t>
  </si>
  <si>
    <t>PDF 擷取原文</t>
  </si>
  <si>
    <t>報價單</t>
  </si>
  <si>
    <t>SRC-A-PDF line 1</t>
  </si>
  <si>
    <t>SRC-A-PDF line 2</t>
  </si>
  <si>
    <t>QUOTATION</t>
  </si>
  <si>
    <t>SRC-A-PDF line 3</t>
  </si>
  <si>
    <t>報價編號  MS-Q260801-02</t>
  </si>
  <si>
    <t>SRC-A-PDF line 4</t>
  </si>
  <si>
    <t>台北市中正區博愛路 88 號</t>
  </si>
  <si>
    <t>SRC-A-PDF line 5</t>
  </si>
  <si>
    <t>報價日期  2026/08/01</t>
  </si>
  <si>
    <t>SRC-A-PDF line 6</t>
  </si>
  <si>
    <t>業務：林佩瑜｜(02) 2388-7200</t>
  </si>
  <si>
    <t>SRC-A-PDF line 7</t>
  </si>
  <si>
    <t>幣別／稅別  新台幣／未稅</t>
  </si>
  <si>
    <t>SRC-A-PDF line 8</t>
  </si>
  <si>
    <t>品名／規格｜產品型號｜可供數量｜未稅單價</t>
  </si>
  <si>
    <t>SRC-A-PDF line 9</t>
  </si>
  <si>
    <t>HDMI 傳輸線 2M｜HD-2M｜150 件｜NT$ 360</t>
  </si>
  <si>
    <t>SRC-A-PDF line 10</t>
  </si>
  <si>
    <t>USB-C 七合一集線器｜UCH-7IN1｜80 件｜NT$ 1,420</t>
  </si>
  <si>
    <t>SRC-A-PDF line 11</t>
  </si>
  <si>
    <t>鋁合金筆電架 A 型｜NB-STAND-A｜60 件｜NT$ 880</t>
  </si>
  <si>
    <t>SRC-A-PDF line 12</t>
  </si>
  <si>
    <t>無線簡報器｜PR-100｜50 件｜NT$ 760</t>
  </si>
  <si>
    <t>SRC-A-PDF line 13</t>
  </si>
  <si>
    <t>螢幕懸臂支架｜MA-01｜20 件｜NT$ 2,150</t>
  </si>
  <si>
    <t>SRC-A-PDF line 14</t>
  </si>
  <si>
    <t>交貨與運費</t>
  </si>
  <si>
    <t>SRC-A-PDF line 15</t>
  </si>
  <si>
    <t>預計出貨  2026/08/10｜預計到貨  2026/08/12</t>
  </si>
  <si>
    <t>SRC-A-PDF line 16</t>
  </si>
  <si>
    <t>運費  每張訂單 NT$1,200｜免運  商品未稅小計達 NT$90,000</t>
  </si>
  <si>
    <t>SRC-A-PDF line 17</t>
  </si>
  <si>
    <t>付款  下單當日全額付款｜匯率  新台幣計價，無外幣換算</t>
  </si>
  <si>
    <t>SRC-A-PDF line 18</t>
  </si>
  <si>
    <t>晨星辦公用品有限公司｜本頁為電子報價文件｜第 1 頁</t>
  </si>
  <si>
    <t>SRC-A-PDF line 19</t>
  </si>
  <si>
    <t>Gmail 附件 PDF 擷取原文</t>
  </si>
  <si>
    <t>SRC-B-ATT line 1</t>
  </si>
  <si>
    <t>SRC-B-ATT line 2</t>
  </si>
  <si>
    <t>SRC-B-ATT line 3</t>
  </si>
  <si>
    <t>SRC-B-ATT line 4</t>
  </si>
  <si>
    <t>SRC-B-ATT line 5</t>
  </si>
  <si>
    <t>SRC-B-ATT line 6</t>
  </si>
  <si>
    <t>SRC-B-ATT line 7</t>
  </si>
  <si>
    <t>SRC-B-ATT line 8</t>
  </si>
  <si>
    <t>SRC-B-ATT line 9</t>
  </si>
  <si>
    <t>SRC-B-ATT line 10</t>
  </si>
  <si>
    <t>SRC-B-ATT line 11</t>
  </si>
  <si>
    <t>SRC-B-ATT line 12</t>
  </si>
  <si>
    <t>SRC-B-ATT line 13</t>
  </si>
  <si>
    <t>SRC-B-ATT line 14</t>
  </si>
  <si>
    <t>SRC-B-ATT line 15</t>
  </si>
  <si>
    <t>SRC-B-ATT line 16</t>
  </si>
  <si>
    <t>SRC-B-ATT line 17</t>
  </si>
  <si>
    <t>SRC-B-ATT line 18</t>
  </si>
  <si>
    <t>手機照片人工轉錄</t>
  </si>
  <si>
    <t>SRC-C-JPG line 1</t>
  </si>
  <si>
    <t>辦公周邊商品估價單</t>
  </si>
  <si>
    <t>SRC-C-JPG line 2</t>
  </si>
  <si>
    <t>單號：YD-260803-A2</t>
  </si>
  <si>
    <t>SRC-C-JPG line 3</t>
  </si>
  <si>
    <t>日期：2026.08.03</t>
  </si>
  <si>
    <t>SRC-C-JPG line 4</t>
  </si>
  <si>
    <t>金額單位：新台幣／未稅</t>
  </si>
  <si>
    <t>SRC-C-JPG line 5</t>
  </si>
  <si>
    <t>品項｜型號｜可供量｜單價</t>
  </si>
  <si>
    <t>SRC-C-JPG line 6</t>
  </si>
  <si>
    <t>HDMI線(2米)｜HD-2M｜110｜315</t>
  </si>
  <si>
    <t>SRC-C-JPG line 7</t>
  </si>
  <si>
    <t>Type-C HUB 7合1｜UCH-7IN1｜50｜1,250</t>
  </si>
  <si>
    <t>SRC-C-JPG line 8</t>
  </si>
  <si>
    <t>NB鋁架 A款｜NB-STAND-A｜45｜790</t>
  </si>
  <si>
    <t>SRC-C-JPG line 9</t>
  </si>
  <si>
    <t>無線翻頁筆｜PR-100｜35｜690</t>
  </si>
  <si>
    <t>SRC-C-JPG line 10</t>
  </si>
  <si>
    <t>單螢幕支架｜MA-01｜10｜1,880</t>
  </si>
  <si>
    <t>SRC-C-JPG line 11</t>
  </si>
  <si>
    <t>預計出貨：2026.08.11｜預計到貨：2026.08.13</t>
  </si>
  <si>
    <t>SRC-C-JPG line 12</t>
  </si>
  <si>
    <t>運費：每張訂單 900 元；商品未稅小計達 70,000 元免運</t>
  </si>
  <si>
    <t>SRC-C-JPG line 13</t>
  </si>
  <si>
    <t>付款：下單當天全額付清（本單以新台幣計價）</t>
  </si>
  <si>
    <t>SRC-C-JPG line 14</t>
  </si>
  <si>
    <t>經辦：阿哲</t>
  </si>
  <si>
    <t>SRC-C-JPG line 15</t>
  </si>
  <si>
    <t>印章：友達 報價專用</t>
  </si>
  <si>
    <t>SRC-C-JPG line 16</t>
  </si>
  <si>
    <t>來源索引與追溯資訊</t>
  </si>
  <si>
    <t>SHA-256 用於辨識本次核對的檔案版本；Gmail 正文以 message ID、時間及 Gmail 連結追溯。</t>
  </si>
  <si>
    <t>來源類型</t>
  </si>
  <si>
    <t>正式比較</t>
  </si>
  <si>
    <t>檔名／主旨</t>
  </si>
  <si>
    <t>供應商／寄件者</t>
  </si>
  <si>
    <t>文件日期</t>
  </si>
  <si>
    <t>取得／檔案時間</t>
  </si>
  <si>
    <t>原始位置</t>
  </si>
  <si>
    <t>大小(Bytes)</t>
  </si>
  <si>
    <t>SHA-256／Message ID</t>
  </si>
  <si>
    <t>擷取與核對方式</t>
  </si>
  <si>
    <t>本機 PDF</t>
  </si>
  <si>
    <t>是</t>
  </si>
  <si>
    <t>Example04_SupplierA_Digital_Quotation_R2.pdf</t>
  </si>
  <si>
    <t>檔案修改 2026-08-01 13:19:44 +08:00</t>
  </si>
  <si>
    <t>C:\Users\admin\OneDrive\Desktop\F6334\CH04_example04\Example04_SupplierA_Digital_Quotation_R2.pdf</t>
  </si>
  <si>
    <t>F1D1F12A96C183FDC45377DF0432E5532099864CBE4EB4B7644B2B0E4BFD1735</t>
  </si>
  <si>
    <t>pdfplumber 文字／表格擷取；逐頁檢視</t>
  </si>
  <si>
    <t>Gmail 正文</t>
  </si>
  <si>
    <t>何振豪 &lt;chenghao.ho@flag.com.tw&gt;；簽名 Hao Chen／BrightPro</t>
  </si>
  <si>
    <t>正文稱 issued August 2, 2026</t>
  </si>
  <si>
    <t>郵件 2026-08-01 13:32:21 +08:00</t>
  </si>
  <si>
    <t>message/thread 19fbbcf551b788e4</t>
  </si>
  <si>
    <t>Gmail search_emails + read_email；完整正文逐行保存</t>
  </si>
  <si>
    <t>Gmail 附件 PDF</t>
  </si>
  <si>
    <t>Example04_SupplierB_Product_Sheet_BP-26802-R2.pdf</t>
  </si>
  <si>
    <t>由 message 19fbbcf551b788e4 下載</t>
  </si>
  <si>
    <t>C:\Users\admin\OneDrive\Desktop\F6334\CH04_example04\.tmp\sources\Example04_SupplierB_Product_Sheet_BP-26802-R2.pdf</t>
  </si>
  <si>
    <t>27F9F7775EA3929758AFEFE4BBAD1A8BC8A17BDD68CD65F8D7798458C40FC9DA</t>
  </si>
  <si>
    <t>Gmail read_attachment；PDF 解析文字與附件檔案雜湊</t>
  </si>
  <si>
    <t>本機 JPG 手機照片</t>
  </si>
  <si>
    <t>Example04_SupplierC_Phone_Photo_R2.jpg</t>
  </si>
  <si>
    <t>檔案修改 2026-08-01 13:19:49 +08:00</t>
  </si>
  <si>
    <t>C:\Users\admin\OneDrive\Desktop\F6334\CH04_example04\Example04_SupplierC_Phone_Photo_R2.jpg</t>
  </si>
  <si>
    <t>54538BBFBCD2D4630AD1BEB2112A90463E89E5A8B2770C26BF8B44421CC48AF6</t>
  </si>
  <si>
    <t>原圖人工視覺轉錄；照片傾斜風險已標示</t>
  </si>
  <si>
    <t>Gmail 搜尋紀錄</t>
  </si>
  <si>
    <t>搜尋查詢：in:anywhere "Quotation BP-26802"｜回傳 5 筆、無下一頁；正式比較只選最新收件匣 R2。</t>
  </si>
  <si>
    <t>選用</t>
  </si>
  <si>
    <t>標籤／狀態</t>
  </si>
  <si>
    <t>寄件者</t>
  </si>
  <si>
    <t>收件者</t>
  </si>
  <si>
    <t>主旨</t>
  </si>
  <si>
    <t>時間原值</t>
  </si>
  <si>
    <t>附件</t>
  </si>
  <si>
    <t>選用／排除理由</t>
  </si>
  <si>
    <t>正式採用</t>
  </si>
  <si>
    <t>2026-08-01T13:32:21+08:00</t>
  </si>
  <si>
    <t>唯一最新收件匣、非草稿 R2；讀取正文與附件</t>
  </si>
  <si>
    <t>排除</t>
  </si>
  <si>
    <t>19fbbcbc52da9a29</t>
  </si>
  <si>
    <t>DRAFT</t>
  </si>
  <si>
    <t>Cheng Hao Ho howard31526@gmail.com</t>
  </si>
  <si>
    <t>UPDATED — Quotation BP-26802-R2 — Pricing, Freight and Lead-Time Conditions</t>
  </si>
  <si>
    <t>2026-07-31T22:28:41-07:00</t>
  </si>
  <si>
    <t>草稿，未視為已送達正式條件</t>
  </si>
  <si>
    <t>19fbbc592e46086c</t>
  </si>
  <si>
    <t>Quotation BP-26802-R2 — Product Sheet, Shipping and Lead Time</t>
  </si>
  <si>
    <t>2026-07-31T22:21:55-07:00</t>
  </si>
  <si>
    <t>草稿，且時間早於正式採用版本</t>
  </si>
  <si>
    <t>19fbbb4b04908866</t>
  </si>
  <si>
    <t>Quotation BP-26802-R1 - Unified Pricing, Shipping and Stock Details</t>
  </si>
  <si>
    <t>2026-07-31T22:03:28-07:00</t>
  </si>
  <si>
    <t>Example04_SupplierB_Quotation_BP-26802-R1.pdf</t>
  </si>
  <si>
    <t>草稿且為 R1 舊版</t>
  </si>
  <si>
    <t>19f7e0cdeb658d3e</t>
  </si>
  <si>
    <t>19f7e0ba7c0b91dc</t>
  </si>
  <si>
    <t>chenghao.ho@flag.com.tw</t>
  </si>
  <si>
    <t>Quotation BP-26802 - Shipment and Payment Details</t>
  </si>
  <si>
    <t>2026-07-20T13:43:20+08:00</t>
  </si>
  <si>
    <t>無</t>
  </si>
  <si>
    <t>草稿且無附件，版本早於 R1/R2</t>
  </si>
  <si>
    <t>Quotation BP-26802｜獨立最佳採購</t>
  </si>
  <si>
    <t>在本頁直接填入匯率、最晚到貨日與需求量，再執行巨集即可取得最低總成本採購建議。</t>
  </si>
  <si>
    <t>最佳化結果</t>
  </si>
  <si>
    <t>黃色格可直接修改</t>
  </si>
  <si>
    <t>總成本</t>
  </si>
  <si>
    <t>含商品與運費</t>
  </si>
  <si>
    <t>最晚到貨日</t>
  </si>
  <si>
    <t>日期</t>
  </si>
  <si>
    <t>晚於此日的供貨方案不採用</t>
  </si>
  <si>
    <t>商品成本</t>
  </si>
  <si>
    <t>應付運費</t>
  </si>
  <si>
    <t>最終到貨日</t>
  </si>
  <si>
    <t>採購需求（黃色格直接輸入）</t>
  </si>
  <si>
    <t>執行狀態</t>
  </si>
  <si>
    <t>最佳採購建議</t>
  </si>
  <si>
    <t>供貨方案</t>
  </si>
  <si>
    <t>建議採購量</t>
  </si>
  <si>
    <t>期限內上限</t>
  </si>
  <si>
    <t>商品小計</t>
  </si>
  <si>
    <t>到貨日</t>
  </si>
  <si>
    <t>標準</t>
  </si>
  <si>
    <t>標準庫存</t>
  </si>
  <si>
    <t>30 天補貨</t>
  </si>
  <si>
    <t>供應商訂單摘要</t>
  </si>
  <si>
    <t>採購總量</t>
  </si>
  <si>
    <t>訂單總成本</t>
  </si>
  <si>
    <t>免運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</si>
</sst>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8" formatCode="yyyy\-mm\-dd"/>
    <numFmt numFmtId="179" formatCode="#,##0;\(#,##0\);\-"/>
    <numFmt numFmtId="180" formatCode="\$#,##0.00"/>
  </numFmts>
  <fonts count="17">
    <font>
      <sz val="11"/>
      <color theme="1"/>
      <name val="Calibri"/>
    </font>
    <font>
      <b/>
      <sz val="18"/>
      <color rgb="FFFFFFFF"/>
      <name val="Microsoft JhengHei"/>
      <family val="2"/>
      <charset val="136"/>
    </font>
    <font>
      <sz val="10"/>
      <color rgb="FF243447"/>
      <name val="Microsoft JhengHei"/>
      <family val="2"/>
      <charset val="136"/>
    </font>
    <font>
      <b/>
      <sz val="12"/>
      <color rgb="FFFFFFFF"/>
      <name val="Microsoft JhengHei"/>
      <family val="2"/>
      <charset val="136"/>
    </font>
    <font>
      <b/>
      <sz val="10"/>
      <color rgb="FFFFFFFF"/>
      <name val="Microsoft JhengHei"/>
      <family val="2"/>
      <charset val="136"/>
    </font>
    <font>
      <b/>
      <sz val="10"/>
      <color rgb="FF243447"/>
      <name val="Microsoft JhengHei"/>
      <family val="2"/>
      <charset val="136"/>
    </font>
    <font>
      <sz val="12"/>
      <color theme="10"/>
      <name val="Calibri"/>
      <family val="2"/>
    </font>
    <font>
      <sz val="10"/>
      <color rgb="FF0000FF"/>
      <name val="Microsoft JhengHei"/>
      <family val="2"/>
      <charset val="136"/>
    </font>
    <font>
      <sz val="10"/>
      <color rgb="FF000000"/>
      <name val="Microsoft JhengHei"/>
      <family val="2"/>
      <charset val="136"/>
    </font>
    <font>
      <sz val="10"/>
      <color rgb="FF008000"/>
      <name val="Microsoft JhengHei"/>
      <family val="2"/>
      <charset val="136"/>
    </font>
    <font>
      <b/>
      <sz val="11"/>
      <color rgb="FFFFFFFF"/>
      <name val="Microsoft JhengHei"/>
      <family val="2"/>
      <charset val="136"/>
    </font>
    <font>
      <sz val="11"/>
      <color rgb="FF243447"/>
      <name val="Microsoft JhengHei"/>
      <family val="2"/>
      <charset val="136"/>
    </font>
    <font>
      <b/>
      <sz val="11"/>
      <color rgb="FF243447"/>
      <name val="Microsoft JhengHei"/>
      <family val="2"/>
      <charset val="136"/>
    </font>
    <font>
      <b/>
      <sz val="11"/>
      <color rgb="FF0000FF"/>
      <name val="Microsoft JhengHei"/>
      <family val="2"/>
      <charset val="136"/>
    </font>
    <font>
      <sz val="11"/>
      <color rgb="FFFFFFFF"/>
      <name val="Calibri"/>
      <family val="2"/>
    </font>
    <font>
      <sz val="11"/>
      <color theme="1"/>
      <name val="Calibri"/>
      <family val="2"/>
    </font>
    <font>
      <sz val="9"/>
      <name val="細明體"/>
      <family val="3"/>
      <charset val="136"/>
    </font>
  </fonts>
  <fills count="1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EAF3F8"/>
      </patternFill>
    </fill>
    <fill>
      <patternFill patternType="solid">
        <fgColor rgb="FF0F6B78"/>
      </patternFill>
    </fill>
    <fill>
      <patternFill patternType="solid">
        <fgColor rgb="FFE2F0D9"/>
      </patternFill>
    </fill>
    <fill>
      <patternFill patternType="solid">
        <fgColor rgb="FFFFF2CC"/>
      </patternFill>
    </fill>
    <fill>
      <patternFill patternType="solid">
        <fgColor rgb="FFF4CCCC"/>
      </patternFill>
    </fill>
    <fill>
      <patternFill patternType="solid">
        <fgColor rgb="FFE7E6E6"/>
      </patternFill>
    </fill>
    <fill>
      <patternFill patternType="solid">
        <fgColor rgb="FFF7F9FB"/>
      </patternFill>
    </fill>
    <fill>
      <patternFill patternType="solid">
        <fgColor rgb="FF1F4E78"/>
      </patternFill>
    </fill>
    <fill>
      <patternFill patternType="solid">
        <fgColor rgb="FFEAF3F8"/>
      </patternFill>
    </fill>
    <fill>
      <patternFill patternType="solid">
        <fgColor rgb="FF0F6B78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FCE4D6"/>
      </patternFill>
    </fill>
  </fills>
  <borders count="12">
    <border>
      <left/>
      <right/>
      <top/>
      <bottom/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  <border>
      <left/>
      <right/>
      <top/>
      <bottom style="hair">
        <color rgb="FFDCE6EC"/>
      </bottom>
      <diagonal/>
    </border>
    <border>
      <left/>
      <right style="thin">
        <color rgb="FFDCE6EC"/>
      </right>
      <top/>
      <bottom style="thin">
        <color rgb="FFDCE6EC"/>
      </bottom>
      <diagonal/>
    </border>
    <border>
      <left style="thin">
        <color rgb="FFDCE6EC"/>
      </left>
      <right style="thin">
        <color rgb="FFDCE6EC"/>
      </right>
      <top/>
      <bottom style="thin">
        <color rgb="FFDCE6EC"/>
      </bottom>
      <diagonal/>
    </border>
    <border>
      <left style="thin">
        <color rgb="FFDCE6EC"/>
      </left>
      <right/>
      <top/>
      <bottom style="thin">
        <color rgb="FFDCE6EC"/>
      </bottom>
      <diagonal/>
    </border>
    <border>
      <left/>
      <right style="thin">
        <color rgb="FFDCE6EC"/>
      </right>
      <top style="thin">
        <color rgb="FFDCE6EC"/>
      </top>
      <bottom/>
      <diagonal/>
    </border>
    <border>
      <left style="thin">
        <color rgb="FFDCE6EC"/>
      </left>
      <right style="thin">
        <color rgb="FFDCE6EC"/>
      </right>
      <top style="thin">
        <color rgb="FFDCE6EC"/>
      </top>
      <bottom/>
      <diagonal/>
    </border>
    <border>
      <left style="thin">
        <color rgb="FFDCE6EC"/>
      </left>
      <right/>
      <top style="thin">
        <color rgb="FFDCE6EC"/>
      </top>
      <bottom/>
      <diagonal/>
    </border>
    <border>
      <left/>
      <right style="thin">
        <color rgb="FFDCE6EC"/>
      </right>
      <top style="thin">
        <color rgb="FFDCE6EC"/>
      </top>
      <bottom style="thin">
        <color rgb="FFDCE6EC"/>
      </bottom>
      <diagonal/>
    </border>
    <border>
      <left style="thin">
        <color rgb="FFDCE6EC"/>
      </left>
      <right style="thin">
        <color rgb="FFDCE6EC"/>
      </right>
      <top style="thin">
        <color rgb="FFDCE6EC"/>
      </top>
      <bottom style="thin">
        <color rgb="FFDCE6EC"/>
      </bottom>
      <diagonal/>
    </border>
    <border>
      <left style="thin">
        <color rgb="FFDCE6EC"/>
      </left>
      <right/>
      <top style="thin">
        <color rgb="FFDCE6EC"/>
      </top>
      <bottom style="thin">
        <color rgb="FFDCE6EC"/>
      </bottom>
      <diagonal/>
    </border>
  </borders>
  <cellStyleXfs count="3">
    <xf numFmtId="0" fontId="0" fillId="0" borderId="0"/>
    <xf numFmtId="0" fontId="6" fillId="0" borderId="0"/>
    <xf numFmtId="0" fontId="15" fillId="0" borderId="0"/>
  </cellStyleXfs>
  <cellXfs count="66">
    <xf numFmtId="0" fontId="0" fillId="0" borderId="0" xfId="0"/>
    <xf numFmtId="0" fontId="4" fillId="4" borderId="1" xfId="2" applyFont="1" applyFill="1" applyBorder="1" applyAlignment="1">
      <alignment horizontal="center" vertical="center" wrapText="1"/>
    </xf>
    <xf numFmtId="0" fontId="2" fillId="0" borderId="2" xfId="2" applyFont="1" applyBorder="1" applyAlignment="1">
      <alignment vertical="top" wrapText="1"/>
    </xf>
    <xf numFmtId="0" fontId="2" fillId="7" borderId="2" xfId="2" applyFont="1" applyFill="1" applyBorder="1" applyAlignment="1">
      <alignment horizontal="center" vertical="center"/>
    </xf>
    <xf numFmtId="0" fontId="2" fillId="6" borderId="2" xfId="2" applyFont="1" applyFill="1" applyBorder="1" applyAlignment="1">
      <alignment horizontal="center" vertical="center"/>
    </xf>
    <xf numFmtId="3" fontId="2" fillId="0" borderId="2" xfId="2" applyNumberFormat="1" applyFont="1" applyBorder="1" applyAlignment="1">
      <alignment vertical="top" wrapText="1"/>
    </xf>
    <xf numFmtId="0" fontId="2" fillId="5" borderId="2" xfId="2" applyFont="1" applyFill="1" applyBorder="1" applyAlignment="1">
      <alignment horizontal="center" vertical="center"/>
    </xf>
    <xf numFmtId="0" fontId="6" fillId="0" borderId="0" xfId="1"/>
    <xf numFmtId="0" fontId="2" fillId="8" borderId="2" xfId="2" applyFont="1" applyFill="1" applyBorder="1" applyAlignment="1">
      <alignment horizontal="center" vertical="center"/>
    </xf>
    <xf numFmtId="0" fontId="2" fillId="0" borderId="2" xfId="2" applyFont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176" fontId="7" fillId="6" borderId="2" xfId="2" applyNumberFormat="1" applyFont="1" applyFill="1" applyBorder="1" applyAlignment="1">
      <alignment horizontal="left" vertical="top" wrapText="1"/>
    </xf>
    <xf numFmtId="0" fontId="7" fillId="6" borderId="2" xfId="2" applyFont="1" applyFill="1" applyBorder="1" applyAlignment="1">
      <alignment horizontal="center" vertical="top" wrapText="1"/>
    </xf>
    <xf numFmtId="0" fontId="8" fillId="0" borderId="2" xfId="2" applyFont="1" applyBorder="1" applyAlignment="1">
      <alignment horizontal="center" vertical="top" wrapText="1"/>
    </xf>
    <xf numFmtId="179" fontId="9" fillId="0" borderId="2" xfId="2" applyNumberFormat="1" applyFont="1" applyBorder="1" applyAlignment="1">
      <alignment horizontal="center" vertical="top" wrapText="1"/>
    </xf>
    <xf numFmtId="179" fontId="7" fillId="0" borderId="2" xfId="2" applyNumberFormat="1" applyFont="1" applyBorder="1" applyAlignment="1">
      <alignment horizontal="left" vertical="top" wrapText="1"/>
    </xf>
    <xf numFmtId="179" fontId="8" fillId="0" borderId="2" xfId="2" applyNumberFormat="1" applyFont="1" applyBorder="1" applyAlignment="1">
      <alignment horizontal="center" vertical="top" wrapText="1"/>
    </xf>
    <xf numFmtId="0" fontId="7" fillId="0" borderId="2" xfId="2" applyFont="1" applyBorder="1" applyAlignment="1">
      <alignment horizontal="left" vertical="top" wrapText="1"/>
    </xf>
    <xf numFmtId="176" fontId="9" fillId="0" borderId="2" xfId="2" applyNumberFormat="1" applyFont="1" applyBorder="1" applyAlignment="1">
      <alignment horizontal="center" vertical="top" wrapText="1"/>
    </xf>
    <xf numFmtId="0" fontId="8" fillId="0" borderId="2" xfId="2" applyFont="1" applyBorder="1" applyAlignment="1">
      <alignment horizontal="right" vertical="top" wrapText="1"/>
    </xf>
    <xf numFmtId="178" fontId="7" fillId="0" borderId="2" xfId="2" applyNumberFormat="1" applyFont="1" applyBorder="1" applyAlignment="1">
      <alignment horizontal="left" vertical="top" wrapText="1"/>
    </xf>
    <xf numFmtId="180" fontId="7" fillId="0" borderId="2" xfId="2" applyNumberFormat="1" applyFont="1" applyBorder="1" applyAlignment="1">
      <alignment horizontal="left" vertical="top" wrapText="1"/>
    </xf>
    <xf numFmtId="0" fontId="9" fillId="0" borderId="2" xfId="2" applyFont="1" applyBorder="1" applyAlignment="1">
      <alignment horizontal="right" vertical="top" wrapText="1"/>
    </xf>
    <xf numFmtId="0" fontId="11" fillId="0" borderId="4" xfId="2" applyFont="1" applyBorder="1" applyAlignment="1">
      <alignment vertical="center"/>
    </xf>
    <xf numFmtId="0" fontId="11" fillId="0" borderId="5" xfId="2" applyFont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8" xfId="2" applyFont="1" applyBorder="1" applyAlignment="1">
      <alignment vertical="center"/>
    </xf>
    <xf numFmtId="0" fontId="12" fillId="0" borderId="3" xfId="2" applyFont="1" applyBorder="1" applyAlignment="1">
      <alignment vertical="center"/>
    </xf>
    <xf numFmtId="0" fontId="12" fillId="0" borderId="6" xfId="2" applyFont="1" applyBorder="1" applyAlignment="1">
      <alignment vertical="center"/>
    </xf>
    <xf numFmtId="2" fontId="13" fillId="13" borderId="4" xfId="2" applyNumberFormat="1" applyFont="1" applyFill="1" applyBorder="1" applyAlignment="1">
      <alignment vertical="center"/>
    </xf>
    <xf numFmtId="178" fontId="13" fillId="13" borderId="7" xfId="2" applyNumberFormat="1" applyFont="1" applyFill="1" applyBorder="1" applyAlignment="1">
      <alignment vertical="center"/>
    </xf>
    <xf numFmtId="0" fontId="11" fillId="0" borderId="10" xfId="2" applyFont="1" applyBorder="1" applyAlignment="1">
      <alignment vertical="center"/>
    </xf>
    <xf numFmtId="0" fontId="11" fillId="0" borderId="11" xfId="2" applyFont="1" applyBorder="1" applyAlignment="1">
      <alignment vertical="center"/>
    </xf>
    <xf numFmtId="0" fontId="12" fillId="0" borderId="9" xfId="2" applyFont="1" applyBorder="1" applyAlignment="1">
      <alignment vertical="center"/>
    </xf>
    <xf numFmtId="0" fontId="11" fillId="14" borderId="7" xfId="2" applyFont="1" applyFill="1" applyBorder="1" applyAlignment="1">
      <alignment vertical="center"/>
    </xf>
    <xf numFmtId="4" fontId="11" fillId="14" borderId="4" xfId="2" applyNumberFormat="1" applyFont="1" applyFill="1" applyBorder="1" applyAlignment="1">
      <alignment vertical="center"/>
    </xf>
    <xf numFmtId="4" fontId="11" fillId="14" borderId="10" xfId="2" applyNumberFormat="1" applyFont="1" applyFill="1" applyBorder="1" applyAlignment="1">
      <alignment vertical="center"/>
    </xf>
    <xf numFmtId="178" fontId="11" fillId="14" borderId="10" xfId="2" applyNumberFormat="1" applyFont="1" applyFill="1" applyBorder="1" applyAlignment="1">
      <alignment vertical="center"/>
    </xf>
    <xf numFmtId="0" fontId="10" fillId="12" borderId="10" xfId="2" applyFont="1" applyFill="1" applyBorder="1" applyAlignment="1">
      <alignment horizontal="center" vertical="center"/>
    </xf>
    <xf numFmtId="3" fontId="13" fillId="13" borderId="10" xfId="2" applyNumberFormat="1" applyFont="1" applyFill="1" applyBorder="1" applyAlignment="1">
      <alignment vertical="center"/>
    </xf>
    <xf numFmtId="0" fontId="10" fillId="12" borderId="10" xfId="2" applyFont="1" applyFill="1" applyBorder="1" applyAlignment="1">
      <alignment horizontal="center" vertical="center" wrapText="1"/>
    </xf>
    <xf numFmtId="3" fontId="13" fillId="15" borderId="10" xfId="2" applyNumberFormat="1" applyFont="1" applyFill="1" applyBorder="1" applyAlignment="1">
      <alignment vertical="center"/>
    </xf>
    <xf numFmtId="3" fontId="11" fillId="0" borderId="10" xfId="2" applyNumberFormat="1" applyFont="1" applyBorder="1" applyAlignment="1">
      <alignment vertical="center"/>
    </xf>
    <xf numFmtId="4" fontId="11" fillId="0" borderId="10" xfId="2" applyNumberFormat="1" applyFont="1" applyBorder="1" applyAlignment="1">
      <alignment vertical="center"/>
    </xf>
    <xf numFmtId="178" fontId="11" fillId="0" borderId="10" xfId="2" applyNumberFormat="1" applyFont="1" applyBorder="1" applyAlignment="1">
      <alignment vertical="center"/>
    </xf>
    <xf numFmtId="0" fontId="14" fillId="0" borderId="0" xfId="2" applyFont="1"/>
    <xf numFmtId="0" fontId="11" fillId="0" borderId="10" xfId="2" applyFont="1" applyBorder="1" applyAlignment="1">
      <alignment vertical="center" wrapText="1"/>
    </xf>
    <xf numFmtId="0" fontId="11" fillId="0" borderId="3" xfId="2" applyFont="1" applyBorder="1" applyAlignment="1">
      <alignment vertical="center" wrapText="1"/>
    </xf>
    <xf numFmtId="0" fontId="11" fillId="0" borderId="5" xfId="2" applyFont="1" applyBorder="1" applyAlignment="1">
      <alignment vertical="center" wrapText="1"/>
    </xf>
    <xf numFmtId="0" fontId="11" fillId="0" borderId="9" xfId="2" applyFont="1" applyBorder="1" applyAlignment="1">
      <alignment vertical="center" wrapText="1"/>
    </xf>
    <xf numFmtId="0" fontId="11" fillId="0" borderId="11" xfId="2" applyFont="1" applyBorder="1" applyAlignment="1">
      <alignment vertical="center" wrapText="1"/>
    </xf>
    <xf numFmtId="0" fontId="11" fillId="0" borderId="6" xfId="2" applyFont="1" applyBorder="1" applyAlignment="1">
      <alignment vertical="center" wrapText="1"/>
    </xf>
    <xf numFmtId="0" fontId="11" fillId="0" borderId="8" xfId="2" applyFont="1" applyBorder="1" applyAlignment="1">
      <alignment vertical="center" wrapText="1"/>
    </xf>
    <xf numFmtId="0" fontId="12" fillId="0" borderId="4" xfId="2" applyFont="1" applyBorder="1" applyAlignment="1">
      <alignment vertical="center" wrapText="1"/>
    </xf>
    <xf numFmtId="0" fontId="12" fillId="0" borderId="10" xfId="2" applyFont="1" applyBorder="1" applyAlignment="1">
      <alignment vertical="center" wrapText="1"/>
    </xf>
    <xf numFmtId="0" fontId="12" fillId="0" borderId="7" xfId="2" applyFont="1" applyBorder="1" applyAlignment="1">
      <alignment vertical="center" wrapText="1"/>
    </xf>
    <xf numFmtId="0" fontId="3" fillId="4" borderId="0" xfId="2" applyFont="1" applyFill="1" applyAlignment="1">
      <alignment vertical="center"/>
    </xf>
    <xf numFmtId="0" fontId="0" fillId="0" borderId="0" xfId="0"/>
    <xf numFmtId="0" fontId="2" fillId="9" borderId="2" xfId="2" applyFont="1" applyFill="1" applyBorder="1" applyAlignment="1">
      <alignment horizontal="left" vertical="top" wrapText="1"/>
    </xf>
    <xf numFmtId="0" fontId="2" fillId="3" borderId="0" xfId="2" applyFont="1" applyFill="1" applyAlignment="1">
      <alignment vertical="center" wrapText="1"/>
    </xf>
    <xf numFmtId="0" fontId="1" fillId="2" borderId="0" xfId="2" applyFont="1" applyFill="1" applyAlignment="1">
      <alignment vertical="center"/>
    </xf>
    <xf numFmtId="0" fontId="10" fillId="12" borderId="0" xfId="2" applyFont="1" applyFill="1"/>
    <xf numFmtId="0" fontId="10" fillId="10" borderId="0" xfId="2" applyFont="1" applyFill="1" applyAlignment="1">
      <alignment vertical="center"/>
    </xf>
    <xf numFmtId="0" fontId="10" fillId="10" borderId="0" xfId="2" applyFont="1" applyFill="1" applyAlignment="1">
      <alignment vertical="center" wrapText="1"/>
    </xf>
    <xf numFmtId="0" fontId="11" fillId="11" borderId="0" xfId="2" applyFont="1" applyFill="1" applyAlignment="1">
      <alignment vertical="center" wrapText="1"/>
    </xf>
    <xf numFmtId="0" fontId="10" fillId="12" borderId="0" xfId="2" applyFont="1" applyFill="1" applyAlignment="1">
      <alignment vertical="center"/>
    </xf>
  </cellXfs>
  <cellStyles count="3">
    <cellStyle name="Hyperlink" xfId="1" xr:uid="{00000000-0005-0000-0000-000001000000}"/>
    <cellStyle name="Normal" xfId="2" xr:uid="{00000000-0005-0000-0000-000000000000}"/>
    <cellStyle name="一般" xfId="0" builtinId="0"/>
  </cellStyles>
  <dxfs count="9">
    <dxf>
      <font>
        <color rgb="FF006100"/>
      </font>
      <fill>
        <patternFill patternType="solid">
          <bgColor rgb="FFE2F0D9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color rgb="FF006100"/>
      </font>
      <fill>
        <patternFill patternType="solid"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82deb552867b4e2f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1653540</xdr:colOff>
      <xdr:row>27</xdr:row>
      <xdr:rowOff>0</xdr:rowOff>
    </xdr:to>
    <xdr:sp macro="" textlink="">
      <xdr:nvSpPr>
        <xdr:cNvPr id="1031" name="Text Box 7" hidden="1">
          <a:extLst>
            <a:ext uri="{FF2B5EF4-FFF2-40B4-BE49-F238E27FC236}">
              <a16:creationId xmlns:a16="http://schemas.microsoft.com/office/drawing/2014/main" id="{EF29FA24-2F39-3DF8-5CC2-DD604710831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967740</xdr:colOff>
      <xdr:row>13</xdr:row>
      <xdr:rowOff>464820</xdr:rowOff>
    </xdr:to>
    <xdr:sp macro="" textlink="">
      <xdr:nvSpPr>
        <xdr:cNvPr id="2169" name="Text Box 121" hidden="1">
          <a:extLst>
            <a:ext uri="{FF2B5EF4-FFF2-40B4-BE49-F238E27FC236}">
              <a16:creationId xmlns:a16="http://schemas.microsoft.com/office/drawing/2014/main" id="{E895CB26-9FC2-D0B4-E9FB-A635F9B5F256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762000</xdr:colOff>
      <xdr:row>29</xdr:row>
      <xdr:rowOff>76200</xdr:rowOff>
    </xdr:to>
    <xdr:sp macro="" textlink="">
      <xdr:nvSpPr>
        <xdr:cNvPr id="3088" name="Text Box 16" hidden="1">
          <a:extLst>
            <a:ext uri="{FF2B5EF4-FFF2-40B4-BE49-F238E27FC236}">
              <a16:creationId xmlns:a16="http://schemas.microsoft.com/office/drawing/2014/main" id="{A7BAA8B5-EF98-2C17-95A6-EB1B5CC6F79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281940</xdr:colOff>
      <xdr:row>33</xdr:row>
      <xdr:rowOff>152400</xdr:rowOff>
    </xdr:to>
    <xdr:sp macro="" textlink="">
      <xdr:nvSpPr>
        <xdr:cNvPr id="4100" name="Text Box 4" hidden="1">
          <a:extLst>
            <a:ext uri="{FF2B5EF4-FFF2-40B4-BE49-F238E27FC236}">
              <a16:creationId xmlns:a16="http://schemas.microsoft.com/office/drawing/2014/main" id="{1217AF60-8009-84DF-4CC8-B8510DCA21C7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persons/person.xml><?xml version="1.0" encoding="utf-8"?>
<xltc:personList xmlns:xltc="http://schemas.microsoft.com/office/spreadsheetml/2018/threadedcomments">
  <xltc:person displayName="User" id="{3B2FE3B9-4751-473F-A59B-7CDC796185BF}"/>
</xltc: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.xml><?xml version="1.0" encoding="utf-8"?>
<xltc:ThreadedComments xmlns:xltc="http://schemas.microsoft.com/office/spreadsheetml/2018/threadedcomments">
  <xltc:threadedComment ref="B5" dT="2026-08-01T08:22:13.203" personId="{3B2FE3B9-4751-473F-A59B-7CDC796185BF}" id="{E0FAEE9B-50C4-AE4A-EF14-7839D63E3111}">
    <xltc:text>本頁匯率獨立使用，不連結「需求與匯率」工作表。修改後重新執行巨集即可重算。</xltc:text>
  </xltc:threadedComment>
  <xltc:threadedComment ref="B6" dT="2026-08-01T08:22:13.208" personId="{3B2FE3B9-4751-473F-A59B-7CDC796185BF}" id="{83E23C89-9EBD-E86F-9F07-20C94E16F8B0}">
    <xltc:text>晚於此日期的供貨方案會被排除。BrightPro 的 MA-01 補貨到貨日為 2026-09-11。</xltc:text>
  </xltc:threadedComment>
  <xltc:threadedComment ref="C11" dT="2026-08-01T08:22:13.208" personId="{3B2FE3B9-4751-473F-A59B-7CDC796185BF}" id="{D05B6D20-E173-D772-6B6B-A231EC8A306F}">
    <xltc:text>C11:C15 是本頁獨立需求輸入，巨集會以這五格作為採購需求。</xltc:text>
  </xltc:threadedComment>
</xltc: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mail.google.com/mail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.tmp/sources/Example04_SupplierB_Product_Sheet_BP-26802-R2.pdf" TargetMode="External"/><Relationship Id="rId2" Type="http://schemas.openxmlformats.org/officeDocument/2006/relationships/hyperlink" Target="https://mail.google.com/mail/" TargetMode="External"/><Relationship Id="rId1" Type="http://schemas.openxmlformats.org/officeDocument/2006/relationships/hyperlink" Target="Example04_SupplierA_Digital_Quotation_R2.pdf" TargetMode="External"/><Relationship Id="rId4" Type="http://schemas.openxmlformats.org/officeDocument/2006/relationships/hyperlink" Target="Example04_SupplierC_Phone_Photo_R2.jpg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f2ad4adc5a7449f7" Type="http://schemas.microsoft.com/office/2017/10/relationships/threadedComment" Target="../threadedcomments/threadedcomment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F4E78"/>
  </sheetPr>
  <dimension ref="A1:H22"/>
  <sheetViews>
    <sheetView showGridLines="0" workbookViewId="0">
      <selection sqref="A1:H1"/>
    </sheetView>
  </sheetViews>
  <sheetFormatPr defaultRowHeight="14.4"/>
  <cols>
    <col min="1" max="1" width="10" customWidth="1"/>
    <col min="2" max="2" width="22" customWidth="1"/>
    <col min="3" max="3" width="86" customWidth="1"/>
    <col min="4" max="8" width="14" customWidth="1"/>
  </cols>
  <sheetData>
    <row r="1" spans="1:8" ht="34.049999999999997" customHeight="1">
      <c r="A1" s="60" t="s">
        <v>0</v>
      </c>
      <c r="B1" s="57"/>
      <c r="C1" s="57"/>
      <c r="D1" s="57"/>
      <c r="E1" s="57"/>
      <c r="F1" s="57"/>
      <c r="G1" s="57"/>
      <c r="H1" s="57"/>
    </row>
    <row r="2" spans="1:8" ht="34.049999999999997" customHeight="1">
      <c r="A2" s="59" t="s">
        <v>1</v>
      </c>
      <c r="B2" s="57"/>
      <c r="C2" s="57"/>
      <c r="D2" s="57"/>
      <c r="E2" s="57"/>
      <c r="F2" s="57"/>
      <c r="G2" s="57"/>
      <c r="H2" s="57"/>
    </row>
    <row r="4" spans="1:8" ht="25.95" customHeight="1">
      <c r="A4" s="56" t="s">
        <v>2</v>
      </c>
      <c r="B4" s="57"/>
      <c r="C4" s="57"/>
      <c r="D4" s="57"/>
      <c r="E4" s="57"/>
      <c r="F4" s="57"/>
      <c r="G4" s="57"/>
      <c r="H4" s="57"/>
    </row>
    <row r="5" spans="1:8" ht="34.049999999999997" customHeight="1">
      <c r="A5" s="1" t="s">
        <v>3</v>
      </c>
      <c r="B5" s="1" t="s">
        <v>4</v>
      </c>
      <c r="C5" s="1" t="s">
        <v>5</v>
      </c>
    </row>
    <row r="6" spans="1:8" ht="48" customHeight="1">
      <c r="A6" s="9" t="s">
        <v>6</v>
      </c>
      <c r="B6" s="10" t="s">
        <v>7</v>
      </c>
      <c r="C6" s="9" t="s">
        <v>8</v>
      </c>
    </row>
    <row r="7" spans="1:8" ht="48" customHeight="1">
      <c r="A7" s="9" t="s">
        <v>9</v>
      </c>
      <c r="B7" s="10" t="s">
        <v>10</v>
      </c>
      <c r="C7" s="9" t="s">
        <v>11</v>
      </c>
    </row>
    <row r="8" spans="1:8" ht="48" customHeight="1">
      <c r="A8" s="9" t="s">
        <v>12</v>
      </c>
      <c r="B8" s="10" t="s">
        <v>13</v>
      </c>
      <c r="C8" s="9" t="s">
        <v>14</v>
      </c>
    </row>
    <row r="9" spans="1:8" ht="48" customHeight="1">
      <c r="A9" s="9" t="s">
        <v>15</v>
      </c>
      <c r="B9" s="10" t="s">
        <v>16</v>
      </c>
      <c r="C9" s="9" t="s">
        <v>17</v>
      </c>
    </row>
    <row r="10" spans="1:8" ht="48" customHeight="1">
      <c r="A10" s="9" t="s">
        <v>18</v>
      </c>
      <c r="B10" s="10" t="s">
        <v>19</v>
      </c>
      <c r="C10" s="9" t="s">
        <v>20</v>
      </c>
    </row>
    <row r="12" spans="1:8" ht="25.95" customHeight="1">
      <c r="A12" s="56" t="s">
        <v>21</v>
      </c>
      <c r="B12" s="57"/>
      <c r="C12" s="57"/>
      <c r="D12" s="57"/>
      <c r="E12" s="57"/>
      <c r="F12" s="57"/>
      <c r="G12" s="57"/>
      <c r="H12" s="57"/>
    </row>
    <row r="13" spans="1:8" ht="34.049999999999997" customHeight="1">
      <c r="A13" s="58" t="s">
        <v>22</v>
      </c>
      <c r="B13" s="57"/>
      <c r="C13" s="57"/>
      <c r="D13" s="57"/>
      <c r="E13" s="57"/>
      <c r="F13" s="57"/>
      <c r="G13" s="57"/>
      <c r="H13" s="57"/>
    </row>
    <row r="14" spans="1:8" ht="34.049999999999997" customHeight="1">
      <c r="A14" s="58" t="s">
        <v>23</v>
      </c>
      <c r="B14" s="57"/>
      <c r="C14" s="57"/>
      <c r="D14" s="57"/>
      <c r="E14" s="57"/>
      <c r="F14" s="57"/>
      <c r="G14" s="57"/>
      <c r="H14" s="57"/>
    </row>
    <row r="15" spans="1:8" ht="34.049999999999997" customHeight="1">
      <c r="A15" s="58" t="s">
        <v>24</v>
      </c>
      <c r="B15" s="57"/>
      <c r="C15" s="57"/>
      <c r="D15" s="57"/>
      <c r="E15" s="57"/>
      <c r="F15" s="57"/>
      <c r="G15" s="57"/>
      <c r="H15" s="57"/>
    </row>
    <row r="16" spans="1:8" ht="34.049999999999997" customHeight="1">
      <c r="A16" s="58" t="s">
        <v>25</v>
      </c>
      <c r="B16" s="57"/>
      <c r="C16" s="57"/>
      <c r="D16" s="57"/>
      <c r="E16" s="57"/>
      <c r="F16" s="57"/>
      <c r="G16" s="57"/>
      <c r="H16" s="57"/>
    </row>
    <row r="17" spans="1:8" ht="34.049999999999997" customHeight="1">
      <c r="A17" s="58" t="s">
        <v>26</v>
      </c>
      <c r="B17" s="57"/>
      <c r="C17" s="57"/>
      <c r="D17" s="57"/>
      <c r="E17" s="57"/>
      <c r="F17" s="57"/>
      <c r="G17" s="57"/>
      <c r="H17" s="57"/>
    </row>
    <row r="19" spans="1:8">
      <c r="A19" s="61" t="s">
        <v>27</v>
      </c>
      <c r="B19" s="61"/>
      <c r="C19" s="61"/>
    </row>
    <row r="20" spans="1:8" ht="37.950000000000003" customHeight="1">
      <c r="A20" s="47" t="s">
        <v>6</v>
      </c>
      <c r="B20" s="53" t="s">
        <v>28</v>
      </c>
      <c r="C20" s="48" t="s">
        <v>29</v>
      </c>
    </row>
    <row r="21" spans="1:8" ht="37.950000000000003" customHeight="1">
      <c r="A21" s="49" t="s">
        <v>9</v>
      </c>
      <c r="B21" s="54" t="s">
        <v>30</v>
      </c>
      <c r="C21" s="50" t="s">
        <v>31</v>
      </c>
    </row>
    <row r="22" spans="1:8" ht="37.950000000000003" customHeight="1">
      <c r="A22" s="51" t="s">
        <v>12</v>
      </c>
      <c r="B22" s="55" t="s">
        <v>32</v>
      </c>
      <c r="C22" s="52" t="s">
        <v>33</v>
      </c>
    </row>
  </sheetData>
  <mergeCells count="10">
    <mergeCell ref="A1:H1"/>
    <mergeCell ref="A17:H17"/>
    <mergeCell ref="A19:C19"/>
    <mergeCell ref="A12:H12"/>
    <mergeCell ref="A4:H4"/>
    <mergeCell ref="A15:H15"/>
    <mergeCell ref="A2:H2"/>
    <mergeCell ref="A16:H16"/>
    <mergeCell ref="A13:H13"/>
    <mergeCell ref="A14:H14"/>
  </mergeCells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C000"/>
  </sheetPr>
  <dimension ref="A1:G13"/>
  <sheetViews>
    <sheetView showGridLines="0" workbookViewId="0"/>
  </sheetViews>
  <sheetFormatPr defaultRowHeight="14.4"/>
  <cols>
    <col min="1" max="1" width="31" customWidth="1"/>
    <col min="2" max="2" width="17" customWidth="1"/>
    <col min="3" max="3" width="13" customWidth="1"/>
    <col min="4" max="4" width="11" customWidth="1"/>
    <col min="5" max="5" width="15" customWidth="1"/>
    <col min="6" max="6" width="46" customWidth="1"/>
    <col min="7" max="7" width="23" customWidth="1"/>
  </cols>
  <sheetData>
    <row r="1" spans="1:7" ht="34.049999999999997" customHeight="1">
      <c r="A1" s="60" t="s">
        <v>34</v>
      </c>
      <c r="B1" s="57"/>
      <c r="C1" s="57"/>
      <c r="D1" s="57"/>
      <c r="E1" s="57"/>
      <c r="F1" s="57"/>
      <c r="G1" s="57"/>
    </row>
    <row r="2" spans="1:7" ht="34.049999999999997" customHeight="1">
      <c r="A2" s="59" t="s">
        <v>35</v>
      </c>
      <c r="B2" s="57"/>
      <c r="C2" s="57"/>
      <c r="D2" s="57"/>
      <c r="E2" s="57"/>
      <c r="F2" s="57"/>
      <c r="G2" s="57"/>
    </row>
    <row r="4" spans="1:7" ht="34.049999999999997" customHeight="1">
      <c r="A4" s="1" t="s">
        <v>36</v>
      </c>
      <c r="B4" s="1" t="s">
        <v>37</v>
      </c>
      <c r="C4" s="1" t="s">
        <v>38</v>
      </c>
      <c r="D4" s="1" t="s">
        <v>39</v>
      </c>
      <c r="E4" s="1" t="s">
        <v>5</v>
      </c>
    </row>
    <row r="5" spans="1:7" ht="41.4">
      <c r="A5" s="9" t="s">
        <v>40</v>
      </c>
      <c r="B5" s="11">
        <v>31.8</v>
      </c>
      <c r="C5" s="9" t="s">
        <v>41</v>
      </c>
      <c r="D5" s="9" t="s">
        <v>42</v>
      </c>
      <c r="E5" s="9" t="s">
        <v>43</v>
      </c>
    </row>
    <row r="7" spans="1:7" ht="25.95" customHeight="1">
      <c r="A7" s="56" t="s">
        <v>44</v>
      </c>
      <c r="B7" s="57"/>
      <c r="C7" s="57"/>
      <c r="D7" s="57"/>
      <c r="E7" s="57"/>
      <c r="F7" s="57"/>
      <c r="G7" s="57"/>
    </row>
    <row r="8" spans="1:7" ht="34.049999999999997" customHeight="1">
      <c r="A8" s="1" t="s">
        <v>45</v>
      </c>
      <c r="B8" s="1" t="s">
        <v>46</v>
      </c>
      <c r="C8" s="1" t="s">
        <v>47</v>
      </c>
      <c r="D8" s="1" t="s">
        <v>38</v>
      </c>
      <c r="E8" s="1" t="s">
        <v>48</v>
      </c>
      <c r="F8" s="1" t="s">
        <v>49</v>
      </c>
      <c r="G8" s="1" t="s">
        <v>39</v>
      </c>
    </row>
    <row r="9" spans="1:7" ht="34.049999999999997" customHeight="1">
      <c r="A9" s="9" t="s">
        <v>50</v>
      </c>
      <c r="B9" s="9" t="s">
        <v>51</v>
      </c>
      <c r="C9" s="12"/>
      <c r="D9" s="9" t="s">
        <v>52</v>
      </c>
      <c r="E9" s="13" t="str">
        <f>IF(C9="","待輸入","已輸入")</f>
        <v>待輸入</v>
      </c>
      <c r="F9" s="9" t="s">
        <v>53</v>
      </c>
      <c r="G9" s="9" t="s">
        <v>54</v>
      </c>
    </row>
    <row r="10" spans="1:7" ht="34.049999999999997" customHeight="1">
      <c r="A10" s="9" t="s">
        <v>55</v>
      </c>
      <c r="B10" s="9" t="s">
        <v>56</v>
      </c>
      <c r="C10" s="12"/>
      <c r="D10" s="9" t="s">
        <v>52</v>
      </c>
      <c r="E10" s="13" t="str">
        <f>IF(C10="","待輸入","已輸入")</f>
        <v>待輸入</v>
      </c>
      <c r="F10" s="9" t="s">
        <v>53</v>
      </c>
      <c r="G10" s="9" t="s">
        <v>54</v>
      </c>
    </row>
    <row r="11" spans="1:7" ht="34.049999999999997" customHeight="1">
      <c r="A11" s="9" t="s">
        <v>57</v>
      </c>
      <c r="B11" s="9" t="s">
        <v>58</v>
      </c>
      <c r="C11" s="12"/>
      <c r="D11" s="9" t="s">
        <v>52</v>
      </c>
      <c r="E11" s="13" t="str">
        <f>IF(C11="","待輸入","已輸入")</f>
        <v>待輸入</v>
      </c>
      <c r="F11" s="9" t="s">
        <v>53</v>
      </c>
      <c r="G11" s="9" t="s">
        <v>54</v>
      </c>
    </row>
    <row r="12" spans="1:7" ht="34.049999999999997" customHeight="1">
      <c r="A12" s="9" t="s">
        <v>59</v>
      </c>
      <c r="B12" s="9" t="s">
        <v>60</v>
      </c>
      <c r="C12" s="12"/>
      <c r="D12" s="9" t="s">
        <v>52</v>
      </c>
      <c r="E12" s="13" t="str">
        <f>IF(C12="","待輸入","已輸入")</f>
        <v>待輸入</v>
      </c>
      <c r="F12" s="9" t="s">
        <v>53</v>
      </c>
      <c r="G12" s="9" t="s">
        <v>54</v>
      </c>
    </row>
    <row r="13" spans="1:7" ht="34.049999999999997" customHeight="1">
      <c r="A13" s="9" t="s">
        <v>61</v>
      </c>
      <c r="B13" s="9" t="s">
        <v>62</v>
      </c>
      <c r="C13" s="12"/>
      <c r="D13" s="9" t="s">
        <v>52</v>
      </c>
      <c r="E13" s="13" t="str">
        <f>IF(C13="","待輸入","已輸入")</f>
        <v>待輸入</v>
      </c>
      <c r="F13" s="9" t="s">
        <v>53</v>
      </c>
      <c r="G13" s="9" t="s">
        <v>54</v>
      </c>
    </row>
  </sheetData>
  <mergeCells count="3">
    <mergeCell ref="A2:G2"/>
    <mergeCell ref="A1:G1"/>
    <mergeCell ref="A7:G7"/>
  </mergeCells>
  <phoneticPr fontId="16" type="noConversion"/>
  <conditionalFormatting sqref="E9:E13">
    <cfRule type="expression" dxfId="8" priority="1">
      <formula>$E9="待輸入"</formula>
    </cfRule>
    <cfRule type="expression" dxfId="7" priority="2">
      <formula>$E9="已輸入"</formula>
    </cfRule>
  </conditionalFormatting>
  <dataValidations count="1">
    <dataValidation type="whole" operator="greaterThanOrEqual" allowBlank="1" errorTitle="需求量格式錯誤" error="請輸入 0 或正整數。" sqref="C9:C13" xr:uid="{00000000-0002-0000-0100-000000000000}">
      <formula1>0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472C4"/>
  </sheetPr>
  <dimension ref="A1:W19"/>
  <sheetViews>
    <sheetView showGridLines="0" workbookViewId="0"/>
  </sheetViews>
  <sheetFormatPr defaultRowHeight="14.4"/>
  <cols>
    <col min="1" max="1" width="13" customWidth="1"/>
    <col min="2" max="2" width="27" customWidth="1"/>
    <col min="3" max="3" width="29" customWidth="1"/>
    <col min="4" max="4" width="17" customWidth="1"/>
    <col min="5" max="5" width="11" customWidth="1"/>
    <col min="6" max="6" width="16" customWidth="1"/>
    <col min="7" max="7" width="15" customWidth="1"/>
    <col min="8" max="8" width="17" customWidth="1"/>
    <col min="9" max="9" width="11" customWidth="1"/>
    <col min="10" max="10" width="14" customWidth="1"/>
    <col min="11" max="11" width="12" customWidth="1"/>
    <col min="12" max="12" width="16" customWidth="1"/>
    <col min="13" max="13" width="18" customWidth="1"/>
    <col min="14" max="17" width="15" customWidth="1"/>
    <col min="18" max="18" width="13" customWidth="1"/>
    <col min="19" max="19" width="15" customWidth="1"/>
    <col min="20" max="20" width="19" customWidth="1"/>
    <col min="21" max="21" width="24" customWidth="1"/>
    <col min="22" max="22" width="29" customWidth="1"/>
    <col min="23" max="23" width="55" customWidth="1"/>
  </cols>
  <sheetData>
    <row r="1" spans="1:23" ht="34.049999999999997" customHeight="1">
      <c r="A1" s="60" t="s">
        <v>63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</row>
    <row r="2" spans="1:23" ht="34.049999999999997" customHeight="1">
      <c r="A2" s="59" t="s">
        <v>64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</row>
    <row r="4" spans="1:23" ht="34.049999999999997" customHeight="1">
      <c r="A4" s="1" t="s">
        <v>65</v>
      </c>
      <c r="B4" s="1" t="s">
        <v>66</v>
      </c>
      <c r="C4" s="1" t="s">
        <v>45</v>
      </c>
      <c r="D4" s="1" t="s">
        <v>46</v>
      </c>
      <c r="E4" s="1" t="s">
        <v>47</v>
      </c>
      <c r="F4" s="1" t="s">
        <v>67</v>
      </c>
      <c r="G4" s="1" t="s">
        <v>68</v>
      </c>
      <c r="H4" s="1" t="s">
        <v>69</v>
      </c>
      <c r="I4" s="1" t="s">
        <v>70</v>
      </c>
      <c r="J4" s="1" t="s">
        <v>71</v>
      </c>
      <c r="K4" s="1" t="s">
        <v>72</v>
      </c>
      <c r="L4" s="1" t="s">
        <v>73</v>
      </c>
      <c r="M4" s="1" t="s">
        <v>74</v>
      </c>
      <c r="N4" s="1" t="s">
        <v>75</v>
      </c>
      <c r="O4" s="1" t="s">
        <v>76</v>
      </c>
      <c r="P4" s="1" t="s">
        <v>77</v>
      </c>
      <c r="Q4" s="1" t="s">
        <v>78</v>
      </c>
      <c r="R4" s="1" t="s">
        <v>79</v>
      </c>
      <c r="S4" s="1" t="s">
        <v>80</v>
      </c>
      <c r="T4" s="1" t="s">
        <v>81</v>
      </c>
      <c r="U4" s="1" t="s">
        <v>82</v>
      </c>
      <c r="V4" s="1" t="s">
        <v>83</v>
      </c>
      <c r="W4" s="1" t="s">
        <v>84</v>
      </c>
    </row>
    <row r="5" spans="1:23" ht="49.95" customHeight="1">
      <c r="A5" s="9" t="s">
        <v>85</v>
      </c>
      <c r="B5" s="9" t="s">
        <v>86</v>
      </c>
      <c r="C5" s="9" t="s">
        <v>50</v>
      </c>
      <c r="D5" s="9" t="s">
        <v>51</v>
      </c>
      <c r="E5" s="14" t="str">
        <f>IF(需求與匯率!$C$9="","",需求與匯率!$C$9)</f>
        <v/>
      </c>
      <c r="F5" s="15">
        <v>150</v>
      </c>
      <c r="G5" s="16" t="str">
        <f t="shared" ref="G5:G19" si="0">IF(E5="","",MIN(E5,F5))</f>
        <v/>
      </c>
      <c r="H5" s="16" t="str">
        <f t="shared" ref="H5:H19" si="1">IF(E5="","",MAX(E5-F5,0))</f>
        <v/>
      </c>
      <c r="I5" s="17" t="s">
        <v>87</v>
      </c>
      <c r="J5" s="17">
        <v>360</v>
      </c>
      <c r="K5" s="18">
        <f>IF(I5="USD",需求與匯率!$B$5,1)</f>
        <v>1</v>
      </c>
      <c r="L5" s="19">
        <f t="shared" ref="L5:L19" si="2">J5*K5</f>
        <v>360</v>
      </c>
      <c r="M5" s="19" t="str">
        <f t="shared" ref="M5:M19" si="3">IF(E5="","",E5*L5)</f>
        <v/>
      </c>
      <c r="N5" s="20">
        <v>46235</v>
      </c>
      <c r="O5" s="20">
        <v>46244</v>
      </c>
      <c r="P5" s="20">
        <v>46246</v>
      </c>
      <c r="Q5" s="16">
        <f t="shared" ref="Q5:Q19" si="4">P5-N5</f>
        <v>11</v>
      </c>
      <c r="R5" s="15"/>
      <c r="S5" s="20"/>
      <c r="T5" s="9" t="s">
        <v>88</v>
      </c>
      <c r="U5" s="9" t="s">
        <v>89</v>
      </c>
      <c r="V5" s="9" t="s">
        <v>90</v>
      </c>
      <c r="W5" s="9" t="s">
        <v>91</v>
      </c>
    </row>
    <row r="6" spans="1:23" ht="49.95" customHeight="1">
      <c r="A6" s="9" t="s">
        <v>85</v>
      </c>
      <c r="B6" s="9" t="s">
        <v>86</v>
      </c>
      <c r="C6" s="9" t="s">
        <v>55</v>
      </c>
      <c r="D6" s="9" t="s">
        <v>56</v>
      </c>
      <c r="E6" s="14" t="str">
        <f>IF(需求與匯率!$C$10="","",需求與匯率!$C$10)</f>
        <v/>
      </c>
      <c r="F6" s="15">
        <v>80</v>
      </c>
      <c r="G6" s="16" t="str">
        <f t="shared" si="0"/>
        <v/>
      </c>
      <c r="H6" s="16" t="str">
        <f t="shared" si="1"/>
        <v/>
      </c>
      <c r="I6" s="17" t="s">
        <v>87</v>
      </c>
      <c r="J6" s="17">
        <v>1420</v>
      </c>
      <c r="K6" s="18">
        <f>IF(I6="USD",需求與匯率!$B$5,1)</f>
        <v>1</v>
      </c>
      <c r="L6" s="19">
        <f t="shared" si="2"/>
        <v>1420</v>
      </c>
      <c r="M6" s="19" t="str">
        <f t="shared" si="3"/>
        <v/>
      </c>
      <c r="N6" s="20">
        <v>46235</v>
      </c>
      <c r="O6" s="20">
        <v>46244</v>
      </c>
      <c r="P6" s="20">
        <v>46246</v>
      </c>
      <c r="Q6" s="16">
        <f t="shared" si="4"/>
        <v>11</v>
      </c>
      <c r="R6" s="15"/>
      <c r="S6" s="20"/>
      <c r="T6" s="9" t="s">
        <v>88</v>
      </c>
      <c r="U6" s="9" t="s">
        <v>92</v>
      </c>
      <c r="V6" s="9" t="s">
        <v>93</v>
      </c>
      <c r="W6" s="9" t="s">
        <v>91</v>
      </c>
    </row>
    <row r="7" spans="1:23" ht="49.95" customHeight="1">
      <c r="A7" s="9" t="s">
        <v>85</v>
      </c>
      <c r="B7" s="9" t="s">
        <v>86</v>
      </c>
      <c r="C7" s="9" t="s">
        <v>57</v>
      </c>
      <c r="D7" s="9" t="s">
        <v>58</v>
      </c>
      <c r="E7" s="14" t="str">
        <f>IF(需求與匯率!$C$11="","",需求與匯率!$C$11)</f>
        <v/>
      </c>
      <c r="F7" s="15">
        <v>60</v>
      </c>
      <c r="G7" s="16" t="str">
        <f t="shared" si="0"/>
        <v/>
      </c>
      <c r="H7" s="16" t="str">
        <f t="shared" si="1"/>
        <v/>
      </c>
      <c r="I7" s="17" t="s">
        <v>87</v>
      </c>
      <c r="J7" s="17">
        <v>880</v>
      </c>
      <c r="K7" s="18">
        <f>IF(I7="USD",需求與匯率!$B$5,1)</f>
        <v>1</v>
      </c>
      <c r="L7" s="19">
        <f t="shared" si="2"/>
        <v>880</v>
      </c>
      <c r="M7" s="19" t="str">
        <f t="shared" si="3"/>
        <v/>
      </c>
      <c r="N7" s="20">
        <v>46235</v>
      </c>
      <c r="O7" s="20">
        <v>46244</v>
      </c>
      <c r="P7" s="20">
        <v>46246</v>
      </c>
      <c r="Q7" s="16">
        <f t="shared" si="4"/>
        <v>11</v>
      </c>
      <c r="R7" s="15"/>
      <c r="S7" s="20"/>
      <c r="T7" s="9" t="s">
        <v>88</v>
      </c>
      <c r="U7" s="9" t="s">
        <v>94</v>
      </c>
      <c r="V7" s="9" t="s">
        <v>95</v>
      </c>
      <c r="W7" s="9" t="s">
        <v>91</v>
      </c>
    </row>
    <row r="8" spans="1:23" ht="49.95" customHeight="1">
      <c r="A8" s="9" t="s">
        <v>85</v>
      </c>
      <c r="B8" s="9" t="s">
        <v>86</v>
      </c>
      <c r="C8" s="9" t="s">
        <v>59</v>
      </c>
      <c r="D8" s="9" t="s">
        <v>60</v>
      </c>
      <c r="E8" s="14" t="str">
        <f>IF(需求與匯率!$C$12="","",需求與匯率!$C$12)</f>
        <v/>
      </c>
      <c r="F8" s="15">
        <v>50</v>
      </c>
      <c r="G8" s="16" t="str">
        <f t="shared" si="0"/>
        <v/>
      </c>
      <c r="H8" s="16" t="str">
        <f t="shared" si="1"/>
        <v/>
      </c>
      <c r="I8" s="17" t="s">
        <v>87</v>
      </c>
      <c r="J8" s="17">
        <v>760</v>
      </c>
      <c r="K8" s="18">
        <f>IF(I8="USD",需求與匯率!$B$5,1)</f>
        <v>1</v>
      </c>
      <c r="L8" s="19">
        <f t="shared" si="2"/>
        <v>760</v>
      </c>
      <c r="M8" s="19" t="str">
        <f t="shared" si="3"/>
        <v/>
      </c>
      <c r="N8" s="20">
        <v>46235</v>
      </c>
      <c r="O8" s="20">
        <v>46244</v>
      </c>
      <c r="P8" s="20">
        <v>46246</v>
      </c>
      <c r="Q8" s="16">
        <f t="shared" si="4"/>
        <v>11</v>
      </c>
      <c r="R8" s="15"/>
      <c r="S8" s="20"/>
      <c r="T8" s="9" t="s">
        <v>88</v>
      </c>
      <c r="U8" s="9" t="s">
        <v>96</v>
      </c>
      <c r="V8" s="9" t="s">
        <v>59</v>
      </c>
      <c r="W8" s="9" t="s">
        <v>91</v>
      </c>
    </row>
    <row r="9" spans="1:23" ht="49.95" customHeight="1">
      <c r="A9" s="9" t="s">
        <v>85</v>
      </c>
      <c r="B9" s="9" t="s">
        <v>86</v>
      </c>
      <c r="C9" s="9" t="s">
        <v>61</v>
      </c>
      <c r="D9" s="9" t="s">
        <v>62</v>
      </c>
      <c r="E9" s="14" t="str">
        <f>IF(需求與匯率!$C$13="","",需求與匯率!$C$13)</f>
        <v/>
      </c>
      <c r="F9" s="15">
        <v>20</v>
      </c>
      <c r="G9" s="16" t="str">
        <f t="shared" si="0"/>
        <v/>
      </c>
      <c r="H9" s="16" t="str">
        <f t="shared" si="1"/>
        <v/>
      </c>
      <c r="I9" s="17" t="s">
        <v>87</v>
      </c>
      <c r="J9" s="17">
        <v>2150</v>
      </c>
      <c r="K9" s="18">
        <f>IF(I9="USD",需求與匯率!$B$5,1)</f>
        <v>1</v>
      </c>
      <c r="L9" s="19">
        <f t="shared" si="2"/>
        <v>2150</v>
      </c>
      <c r="M9" s="19" t="str">
        <f t="shared" si="3"/>
        <v/>
      </c>
      <c r="N9" s="20">
        <v>46235</v>
      </c>
      <c r="O9" s="20">
        <v>46244</v>
      </c>
      <c r="P9" s="20">
        <v>46246</v>
      </c>
      <c r="Q9" s="16">
        <f t="shared" si="4"/>
        <v>11</v>
      </c>
      <c r="R9" s="15"/>
      <c r="S9" s="20"/>
      <c r="T9" s="9" t="s">
        <v>88</v>
      </c>
      <c r="U9" s="9" t="s">
        <v>97</v>
      </c>
      <c r="V9" s="9" t="s">
        <v>98</v>
      </c>
      <c r="W9" s="9" t="s">
        <v>91</v>
      </c>
    </row>
    <row r="10" spans="1:23" ht="49.95" customHeight="1">
      <c r="A10" s="9" t="s">
        <v>99</v>
      </c>
      <c r="B10" s="9" t="s">
        <v>100</v>
      </c>
      <c r="C10" s="9" t="s">
        <v>50</v>
      </c>
      <c r="D10" s="9" t="s">
        <v>51</v>
      </c>
      <c r="E10" s="14" t="str">
        <f>IF(需求與匯率!$C$9="","",需求與匯率!$C$9)</f>
        <v/>
      </c>
      <c r="F10" s="15">
        <v>120</v>
      </c>
      <c r="G10" s="16" t="str">
        <f t="shared" si="0"/>
        <v/>
      </c>
      <c r="H10" s="16" t="str">
        <f t="shared" si="1"/>
        <v/>
      </c>
      <c r="I10" s="17" t="s">
        <v>101</v>
      </c>
      <c r="J10" s="21">
        <v>9.8000000000000007</v>
      </c>
      <c r="K10" s="18">
        <f>IF(I10="USD",需求與匯率!$B$5,1)</f>
        <v>31.8</v>
      </c>
      <c r="L10" s="19">
        <f t="shared" si="2"/>
        <v>311.64000000000004</v>
      </c>
      <c r="M10" s="19" t="str">
        <f t="shared" si="3"/>
        <v/>
      </c>
      <c r="N10" s="20">
        <v>46239</v>
      </c>
      <c r="O10" s="20">
        <v>46246</v>
      </c>
      <c r="P10" s="20">
        <v>46253</v>
      </c>
      <c r="Q10" s="16">
        <f t="shared" si="4"/>
        <v>14</v>
      </c>
      <c r="R10" s="15"/>
      <c r="S10" s="20"/>
      <c r="T10" s="9" t="s">
        <v>102</v>
      </c>
      <c r="U10" s="9" t="s">
        <v>103</v>
      </c>
      <c r="V10" s="9" t="s">
        <v>104</v>
      </c>
      <c r="W10" s="9" t="s">
        <v>105</v>
      </c>
    </row>
    <row r="11" spans="1:23" ht="49.95" customHeight="1">
      <c r="A11" s="9" t="s">
        <v>99</v>
      </c>
      <c r="B11" s="9" t="s">
        <v>100</v>
      </c>
      <c r="C11" s="9" t="s">
        <v>55</v>
      </c>
      <c r="D11" s="9" t="s">
        <v>56</v>
      </c>
      <c r="E11" s="14" t="str">
        <f>IF(需求與匯率!$C$10="","",需求與匯率!$C$10)</f>
        <v/>
      </c>
      <c r="F11" s="15">
        <v>45</v>
      </c>
      <c r="G11" s="16" t="str">
        <f t="shared" si="0"/>
        <v/>
      </c>
      <c r="H11" s="16" t="str">
        <f t="shared" si="1"/>
        <v/>
      </c>
      <c r="I11" s="17" t="s">
        <v>101</v>
      </c>
      <c r="J11" s="21">
        <v>37.5</v>
      </c>
      <c r="K11" s="18">
        <f>IF(I11="USD",需求與匯率!$B$5,1)</f>
        <v>31.8</v>
      </c>
      <c r="L11" s="19">
        <f t="shared" si="2"/>
        <v>1192.5</v>
      </c>
      <c r="M11" s="19" t="str">
        <f t="shared" si="3"/>
        <v/>
      </c>
      <c r="N11" s="20">
        <v>46239</v>
      </c>
      <c r="O11" s="20">
        <v>46246</v>
      </c>
      <c r="P11" s="20">
        <v>46253</v>
      </c>
      <c r="Q11" s="16">
        <f t="shared" si="4"/>
        <v>14</v>
      </c>
      <c r="R11" s="15"/>
      <c r="S11" s="20"/>
      <c r="T11" s="9" t="s">
        <v>102</v>
      </c>
      <c r="U11" s="9" t="s">
        <v>106</v>
      </c>
      <c r="V11" s="9" t="s">
        <v>107</v>
      </c>
      <c r="W11" s="9" t="s">
        <v>105</v>
      </c>
    </row>
    <row r="12" spans="1:23" ht="49.95" customHeight="1">
      <c r="A12" s="9" t="s">
        <v>99</v>
      </c>
      <c r="B12" s="9" t="s">
        <v>100</v>
      </c>
      <c r="C12" s="9" t="s">
        <v>57</v>
      </c>
      <c r="D12" s="9" t="s">
        <v>58</v>
      </c>
      <c r="E12" s="14" t="str">
        <f>IF(需求與匯率!$C$11="","",需求與匯率!$C$11)</f>
        <v/>
      </c>
      <c r="F12" s="15">
        <v>50</v>
      </c>
      <c r="G12" s="16" t="str">
        <f t="shared" si="0"/>
        <v/>
      </c>
      <c r="H12" s="16" t="str">
        <f t="shared" si="1"/>
        <v/>
      </c>
      <c r="I12" s="17" t="s">
        <v>101</v>
      </c>
      <c r="J12" s="21">
        <v>23.2</v>
      </c>
      <c r="K12" s="18">
        <f>IF(I12="USD",需求與匯率!$B$5,1)</f>
        <v>31.8</v>
      </c>
      <c r="L12" s="19">
        <f t="shared" si="2"/>
        <v>737.76</v>
      </c>
      <c r="M12" s="19" t="str">
        <f t="shared" si="3"/>
        <v/>
      </c>
      <c r="N12" s="20">
        <v>46239</v>
      </c>
      <c r="O12" s="20">
        <v>46246</v>
      </c>
      <c r="P12" s="20">
        <v>46253</v>
      </c>
      <c r="Q12" s="16">
        <f t="shared" si="4"/>
        <v>14</v>
      </c>
      <c r="R12" s="15"/>
      <c r="S12" s="20"/>
      <c r="T12" s="9" t="s">
        <v>102</v>
      </c>
      <c r="U12" s="9" t="s">
        <v>108</v>
      </c>
      <c r="V12" s="9" t="s">
        <v>109</v>
      </c>
      <c r="W12" s="9" t="s">
        <v>105</v>
      </c>
    </row>
    <row r="13" spans="1:23" ht="49.95" customHeight="1">
      <c r="A13" s="9" t="s">
        <v>99</v>
      </c>
      <c r="B13" s="9" t="s">
        <v>100</v>
      </c>
      <c r="C13" s="9" t="s">
        <v>59</v>
      </c>
      <c r="D13" s="9" t="s">
        <v>60</v>
      </c>
      <c r="E13" s="14" t="str">
        <f>IF(需求與匯率!$C$12="","",需求與匯率!$C$12)</f>
        <v/>
      </c>
      <c r="F13" s="15">
        <v>40</v>
      </c>
      <c r="G13" s="16" t="str">
        <f t="shared" si="0"/>
        <v/>
      </c>
      <c r="H13" s="16" t="str">
        <f t="shared" si="1"/>
        <v/>
      </c>
      <c r="I13" s="17" t="s">
        <v>101</v>
      </c>
      <c r="J13" s="21">
        <v>20.5</v>
      </c>
      <c r="K13" s="18">
        <f>IF(I13="USD",需求與匯率!$B$5,1)</f>
        <v>31.8</v>
      </c>
      <c r="L13" s="19">
        <f t="shared" si="2"/>
        <v>651.9</v>
      </c>
      <c r="M13" s="19" t="str">
        <f t="shared" si="3"/>
        <v/>
      </c>
      <c r="N13" s="20">
        <v>46239</v>
      </c>
      <c r="O13" s="20">
        <v>46246</v>
      </c>
      <c r="P13" s="20">
        <v>46253</v>
      </c>
      <c r="Q13" s="16">
        <f t="shared" si="4"/>
        <v>14</v>
      </c>
      <c r="R13" s="15"/>
      <c r="S13" s="20"/>
      <c r="T13" s="9" t="s">
        <v>102</v>
      </c>
      <c r="U13" s="9" t="s">
        <v>110</v>
      </c>
      <c r="V13" s="9" t="s">
        <v>111</v>
      </c>
      <c r="W13" s="9" t="s">
        <v>105</v>
      </c>
    </row>
    <row r="14" spans="1:23" ht="49.95" customHeight="1">
      <c r="A14" s="9" t="s">
        <v>99</v>
      </c>
      <c r="B14" s="9" t="s">
        <v>100</v>
      </c>
      <c r="C14" s="9" t="s">
        <v>61</v>
      </c>
      <c r="D14" s="9" t="s">
        <v>62</v>
      </c>
      <c r="E14" s="14" t="str">
        <f>IF(需求與匯率!$C$13="","",需求與匯率!$C$13)</f>
        <v/>
      </c>
      <c r="F14" s="15">
        <v>4</v>
      </c>
      <c r="G14" s="16" t="str">
        <f t="shared" si="0"/>
        <v/>
      </c>
      <c r="H14" s="16" t="str">
        <f t="shared" si="1"/>
        <v/>
      </c>
      <c r="I14" s="17" t="s">
        <v>101</v>
      </c>
      <c r="J14" s="21">
        <v>52</v>
      </c>
      <c r="K14" s="18">
        <f>IF(I14="USD",需求與匯率!$B$5,1)</f>
        <v>31.8</v>
      </c>
      <c r="L14" s="19">
        <f t="shared" si="2"/>
        <v>1653.6000000000001</v>
      </c>
      <c r="M14" s="19" t="str">
        <f t="shared" si="3"/>
        <v/>
      </c>
      <c r="N14" s="20">
        <v>46239</v>
      </c>
      <c r="O14" s="20">
        <v>46246</v>
      </c>
      <c r="P14" s="20">
        <v>46253</v>
      </c>
      <c r="Q14" s="16">
        <f t="shared" si="4"/>
        <v>14</v>
      </c>
      <c r="R14" s="15">
        <v>30</v>
      </c>
      <c r="S14" s="20">
        <v>46276</v>
      </c>
      <c r="T14" s="9" t="s">
        <v>102</v>
      </c>
      <c r="U14" s="9" t="s">
        <v>112</v>
      </c>
      <c r="V14" s="9" t="s">
        <v>113</v>
      </c>
      <c r="W14" s="9" t="s">
        <v>114</v>
      </c>
    </row>
    <row r="15" spans="1:23" ht="49.95" customHeight="1">
      <c r="A15" s="9" t="s">
        <v>115</v>
      </c>
      <c r="B15" s="9" t="s">
        <v>116</v>
      </c>
      <c r="C15" s="9" t="s">
        <v>50</v>
      </c>
      <c r="D15" s="9" t="s">
        <v>51</v>
      </c>
      <c r="E15" s="14" t="str">
        <f>IF(需求與匯率!$C$9="","",需求與匯率!$C$9)</f>
        <v/>
      </c>
      <c r="F15" s="15">
        <v>110</v>
      </c>
      <c r="G15" s="16" t="str">
        <f t="shared" si="0"/>
        <v/>
      </c>
      <c r="H15" s="16" t="str">
        <f t="shared" si="1"/>
        <v/>
      </c>
      <c r="I15" s="17" t="s">
        <v>87</v>
      </c>
      <c r="J15" s="17">
        <v>315</v>
      </c>
      <c r="K15" s="18">
        <f>IF(I15="USD",需求與匯率!$B$5,1)</f>
        <v>1</v>
      </c>
      <c r="L15" s="19">
        <f t="shared" si="2"/>
        <v>315</v>
      </c>
      <c r="M15" s="19" t="str">
        <f t="shared" si="3"/>
        <v/>
      </c>
      <c r="N15" s="20">
        <v>46237</v>
      </c>
      <c r="O15" s="20">
        <v>46245</v>
      </c>
      <c r="P15" s="20">
        <v>46247</v>
      </c>
      <c r="Q15" s="16">
        <f t="shared" si="4"/>
        <v>10</v>
      </c>
      <c r="R15" s="15"/>
      <c r="S15" s="20"/>
      <c r="T15" s="9" t="s">
        <v>117</v>
      </c>
      <c r="U15" s="9" t="s">
        <v>118</v>
      </c>
      <c r="V15" s="9" t="s">
        <v>119</v>
      </c>
      <c r="W15" s="9" t="s">
        <v>120</v>
      </c>
    </row>
    <row r="16" spans="1:23" ht="49.95" customHeight="1">
      <c r="A16" s="9" t="s">
        <v>115</v>
      </c>
      <c r="B16" s="9" t="s">
        <v>116</v>
      </c>
      <c r="C16" s="9" t="s">
        <v>55</v>
      </c>
      <c r="D16" s="9" t="s">
        <v>56</v>
      </c>
      <c r="E16" s="14" t="str">
        <f>IF(需求與匯率!$C$10="","",需求與匯率!$C$10)</f>
        <v/>
      </c>
      <c r="F16" s="15">
        <v>50</v>
      </c>
      <c r="G16" s="16" t="str">
        <f t="shared" si="0"/>
        <v/>
      </c>
      <c r="H16" s="16" t="str">
        <f t="shared" si="1"/>
        <v/>
      </c>
      <c r="I16" s="17" t="s">
        <v>87</v>
      </c>
      <c r="J16" s="17">
        <v>1250</v>
      </c>
      <c r="K16" s="18">
        <f>IF(I16="USD",需求與匯率!$B$5,1)</f>
        <v>1</v>
      </c>
      <c r="L16" s="19">
        <f t="shared" si="2"/>
        <v>1250</v>
      </c>
      <c r="M16" s="19" t="str">
        <f t="shared" si="3"/>
        <v/>
      </c>
      <c r="N16" s="20">
        <v>46237</v>
      </c>
      <c r="O16" s="20">
        <v>46245</v>
      </c>
      <c r="P16" s="20">
        <v>46247</v>
      </c>
      <c r="Q16" s="16">
        <f t="shared" si="4"/>
        <v>10</v>
      </c>
      <c r="R16" s="15"/>
      <c r="S16" s="20"/>
      <c r="T16" s="9" t="s">
        <v>117</v>
      </c>
      <c r="U16" s="9" t="s">
        <v>121</v>
      </c>
      <c r="V16" s="9" t="s">
        <v>122</v>
      </c>
      <c r="W16" s="9" t="s">
        <v>120</v>
      </c>
    </row>
    <row r="17" spans="1:23" ht="49.95" customHeight="1">
      <c r="A17" s="9" t="s">
        <v>115</v>
      </c>
      <c r="B17" s="9" t="s">
        <v>116</v>
      </c>
      <c r="C17" s="9" t="s">
        <v>57</v>
      </c>
      <c r="D17" s="9" t="s">
        <v>58</v>
      </c>
      <c r="E17" s="14" t="str">
        <f>IF(需求與匯率!$C$11="","",需求與匯率!$C$11)</f>
        <v/>
      </c>
      <c r="F17" s="15">
        <v>45</v>
      </c>
      <c r="G17" s="16" t="str">
        <f t="shared" si="0"/>
        <v/>
      </c>
      <c r="H17" s="16" t="str">
        <f t="shared" si="1"/>
        <v/>
      </c>
      <c r="I17" s="17" t="s">
        <v>87</v>
      </c>
      <c r="J17" s="17">
        <v>790</v>
      </c>
      <c r="K17" s="18">
        <f>IF(I17="USD",需求與匯率!$B$5,1)</f>
        <v>1</v>
      </c>
      <c r="L17" s="19">
        <f t="shared" si="2"/>
        <v>790</v>
      </c>
      <c r="M17" s="19" t="str">
        <f t="shared" si="3"/>
        <v/>
      </c>
      <c r="N17" s="20">
        <v>46237</v>
      </c>
      <c r="O17" s="20">
        <v>46245</v>
      </c>
      <c r="P17" s="20">
        <v>46247</v>
      </c>
      <c r="Q17" s="16">
        <f t="shared" si="4"/>
        <v>10</v>
      </c>
      <c r="R17" s="15"/>
      <c r="S17" s="20"/>
      <c r="T17" s="9" t="s">
        <v>117</v>
      </c>
      <c r="U17" s="9" t="s">
        <v>123</v>
      </c>
      <c r="V17" s="9" t="s">
        <v>124</v>
      </c>
      <c r="W17" s="9" t="s">
        <v>120</v>
      </c>
    </row>
    <row r="18" spans="1:23" ht="49.95" customHeight="1">
      <c r="A18" s="9" t="s">
        <v>115</v>
      </c>
      <c r="B18" s="9" t="s">
        <v>116</v>
      </c>
      <c r="C18" s="9" t="s">
        <v>59</v>
      </c>
      <c r="D18" s="9" t="s">
        <v>60</v>
      </c>
      <c r="E18" s="14" t="str">
        <f>IF(需求與匯率!$C$12="","",需求與匯率!$C$12)</f>
        <v/>
      </c>
      <c r="F18" s="15">
        <v>35</v>
      </c>
      <c r="G18" s="16" t="str">
        <f t="shared" si="0"/>
        <v/>
      </c>
      <c r="H18" s="16" t="str">
        <f t="shared" si="1"/>
        <v/>
      </c>
      <c r="I18" s="17" t="s">
        <v>87</v>
      </c>
      <c r="J18" s="17">
        <v>690</v>
      </c>
      <c r="K18" s="18">
        <f>IF(I18="USD",需求與匯率!$B$5,1)</f>
        <v>1</v>
      </c>
      <c r="L18" s="19">
        <f t="shared" si="2"/>
        <v>690</v>
      </c>
      <c r="M18" s="19" t="str">
        <f t="shared" si="3"/>
        <v/>
      </c>
      <c r="N18" s="20">
        <v>46237</v>
      </c>
      <c r="O18" s="20">
        <v>46245</v>
      </c>
      <c r="P18" s="20">
        <v>46247</v>
      </c>
      <c r="Q18" s="16">
        <f t="shared" si="4"/>
        <v>10</v>
      </c>
      <c r="R18" s="15"/>
      <c r="S18" s="20"/>
      <c r="T18" s="9" t="s">
        <v>117</v>
      </c>
      <c r="U18" s="9" t="s">
        <v>125</v>
      </c>
      <c r="V18" s="9" t="s">
        <v>126</v>
      </c>
      <c r="W18" s="9" t="s">
        <v>120</v>
      </c>
    </row>
    <row r="19" spans="1:23" ht="49.95" customHeight="1">
      <c r="A19" s="9" t="s">
        <v>115</v>
      </c>
      <c r="B19" s="9" t="s">
        <v>116</v>
      </c>
      <c r="C19" s="9" t="s">
        <v>61</v>
      </c>
      <c r="D19" s="9" t="s">
        <v>62</v>
      </c>
      <c r="E19" s="14" t="str">
        <f>IF(需求與匯率!$C$13="","",需求與匯率!$C$13)</f>
        <v/>
      </c>
      <c r="F19" s="15">
        <v>10</v>
      </c>
      <c r="G19" s="16" t="str">
        <f t="shared" si="0"/>
        <v/>
      </c>
      <c r="H19" s="16" t="str">
        <f t="shared" si="1"/>
        <v/>
      </c>
      <c r="I19" s="17" t="s">
        <v>87</v>
      </c>
      <c r="J19" s="17">
        <v>1880</v>
      </c>
      <c r="K19" s="18">
        <f>IF(I19="USD",需求與匯率!$B$5,1)</f>
        <v>1</v>
      </c>
      <c r="L19" s="19">
        <f t="shared" si="2"/>
        <v>1880</v>
      </c>
      <c r="M19" s="19" t="str">
        <f t="shared" si="3"/>
        <v/>
      </c>
      <c r="N19" s="20">
        <v>46237</v>
      </c>
      <c r="O19" s="20">
        <v>46245</v>
      </c>
      <c r="P19" s="20">
        <v>46247</v>
      </c>
      <c r="Q19" s="16">
        <f t="shared" si="4"/>
        <v>10</v>
      </c>
      <c r="R19" s="15"/>
      <c r="S19" s="20"/>
      <c r="T19" s="9" t="s">
        <v>117</v>
      </c>
      <c r="U19" s="9" t="s">
        <v>127</v>
      </c>
      <c r="V19" s="9" t="s">
        <v>128</v>
      </c>
      <c r="W19" s="9" t="s">
        <v>120</v>
      </c>
    </row>
  </sheetData>
  <mergeCells count="2">
    <mergeCell ref="A2:W2"/>
    <mergeCell ref="A1:W1"/>
  </mergeCells>
  <phoneticPr fontId="16" type="noConversion"/>
  <conditionalFormatting sqref="H5:H19">
    <cfRule type="expression" dxfId="6" priority="1">
      <formula>H5&gt;0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0AD47"/>
  </sheetPr>
  <dimension ref="A1:Q7"/>
  <sheetViews>
    <sheetView showGridLines="0" workbookViewId="0"/>
  </sheetViews>
  <sheetFormatPr defaultRowHeight="14.4"/>
  <cols>
    <col min="1" max="1" width="13" customWidth="1"/>
    <col min="2" max="2" width="28" customWidth="1"/>
    <col min="3" max="3" width="13" customWidth="1"/>
    <col min="4" max="4" width="19" customWidth="1"/>
    <col min="5" max="5" width="15" customWidth="1"/>
    <col min="6" max="6" width="12" customWidth="1"/>
    <col min="7" max="7" width="17" customWidth="1"/>
    <col min="8" max="8" width="22" customWidth="1"/>
    <col min="9" max="9" width="13" customWidth="1"/>
    <col min="10" max="10" width="23" customWidth="1"/>
    <col min="11" max="11" width="39" customWidth="1"/>
    <col min="12" max="12" width="18" customWidth="1"/>
    <col min="13" max="13" width="19" customWidth="1"/>
    <col min="14" max="14" width="20" customWidth="1"/>
    <col min="15" max="15" width="15" customWidth="1"/>
    <col min="16" max="16" width="26" customWidth="1"/>
    <col min="17" max="17" width="20" customWidth="1"/>
  </cols>
  <sheetData>
    <row r="1" spans="1:17" ht="34.049999999999997" customHeight="1">
      <c r="A1" s="60" t="s">
        <v>129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 ht="34.049999999999997" customHeight="1">
      <c r="A2" s="59" t="s">
        <v>130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4" spans="1:17" ht="34.049999999999997" customHeight="1">
      <c r="A4" s="1" t="s">
        <v>65</v>
      </c>
      <c r="B4" s="1" t="s">
        <v>66</v>
      </c>
      <c r="C4" s="1" t="s">
        <v>131</v>
      </c>
      <c r="D4" s="1" t="s">
        <v>74</v>
      </c>
      <c r="E4" s="1" t="s">
        <v>132</v>
      </c>
      <c r="F4" s="1" t="s">
        <v>133</v>
      </c>
      <c r="G4" s="1" t="s">
        <v>134</v>
      </c>
      <c r="H4" s="1" t="s">
        <v>135</v>
      </c>
      <c r="I4" s="1" t="s">
        <v>136</v>
      </c>
      <c r="J4" s="1" t="s">
        <v>137</v>
      </c>
      <c r="K4" s="1" t="s">
        <v>138</v>
      </c>
      <c r="L4" s="1" t="s">
        <v>139</v>
      </c>
      <c r="M4" s="1" t="s">
        <v>140</v>
      </c>
      <c r="N4" s="1" t="s">
        <v>141</v>
      </c>
      <c r="O4" s="1" t="s">
        <v>142</v>
      </c>
      <c r="P4" s="1" t="s">
        <v>143</v>
      </c>
      <c r="Q4" s="1" t="s">
        <v>39</v>
      </c>
    </row>
    <row r="5" spans="1:17" ht="54" customHeight="1">
      <c r="A5" s="9" t="s">
        <v>85</v>
      </c>
      <c r="B5" s="9" t="s">
        <v>86</v>
      </c>
      <c r="C5" s="14" t="str">
        <f>IF(COUNT(需求與匯率!$C$9:$C$13)&lt;5,"",SUM(需求與匯率!$C$9:$C$13))</f>
        <v/>
      </c>
      <c r="D5" s="22" t="str">
        <f>IF(COUNT(需求與匯率!$C$9:$C$13)&lt;5,"",SUM(標準化明細!$M$5:$M$9))</f>
        <v/>
      </c>
      <c r="E5" s="17">
        <v>1200</v>
      </c>
      <c r="F5" s="17" t="s">
        <v>87</v>
      </c>
      <c r="G5" s="19">
        <f>E5*IF(F5="USD",需求與匯率!$B$5,1)</f>
        <v>1200</v>
      </c>
      <c r="H5" s="17">
        <v>90000</v>
      </c>
      <c r="I5" s="17" t="s">
        <v>87</v>
      </c>
      <c r="J5" s="19">
        <f>H5*IF(I5="USD",需求與匯率!$B$5,1)</f>
        <v>90000</v>
      </c>
      <c r="K5" s="17" t="s">
        <v>144</v>
      </c>
      <c r="L5" s="13" t="str">
        <f>IF(COUNT(需求與匯率!$C$9:$C$13)&lt;5,"待輸入需求量",IF(D5&gt;=J5,"符合","不符合"))</f>
        <v>待輸入需求量</v>
      </c>
      <c r="M5" s="19" t="str">
        <f>IF(OR(L5="待輸入需求量",D5=""),"",IF(L5="符合",0,G5))</f>
        <v/>
      </c>
      <c r="N5" s="19" t="str">
        <f>IF(OR(D5="",M5=""),"",D5+M5)</f>
        <v/>
      </c>
      <c r="O5" s="14" t="str">
        <f>IF(COUNT(需求與匯率!$C$9:$C$13)&lt;5,"",SUM(標準化明細!$H$5:$H$9))</f>
        <v/>
      </c>
      <c r="P5" s="13" t="str">
        <f>IF(COUNT(需求與匯率!$C$9:$C$13)&lt;5,"待輸入需求量",IF(O5&gt;0,"需確認補貨","2026-08-12"))</f>
        <v>待輸入需求量</v>
      </c>
      <c r="Q5" s="9" t="s">
        <v>88</v>
      </c>
    </row>
    <row r="6" spans="1:17" ht="54" customHeight="1">
      <c r="A6" s="9" t="s">
        <v>99</v>
      </c>
      <c r="B6" s="9" t="s">
        <v>100</v>
      </c>
      <c r="C6" s="14" t="str">
        <f>IF(COUNT(需求與匯率!$C$9:$C$13)&lt;5,"",SUM(需求與匯率!$C$9:$C$13))</f>
        <v/>
      </c>
      <c r="D6" s="22" t="str">
        <f>IF(COUNT(需求與匯率!$C$9:$C$13)&lt;5,"",SUM(標準化明細!$M$10:$M$14))</f>
        <v/>
      </c>
      <c r="E6" s="21">
        <v>85</v>
      </c>
      <c r="F6" s="17" t="s">
        <v>101</v>
      </c>
      <c r="G6" s="19">
        <f>E6*IF(F6="USD",需求與匯率!$B$5,1)</f>
        <v>2703</v>
      </c>
      <c r="H6" s="21">
        <v>3500</v>
      </c>
      <c r="I6" s="17" t="s">
        <v>101</v>
      </c>
      <c r="J6" s="19">
        <f>H6*IF(I6="USD",需求與匯率!$B$5,1)</f>
        <v>111300</v>
      </c>
      <c r="K6" s="17" t="s">
        <v>145</v>
      </c>
      <c r="L6" s="13" t="str">
        <f>IF(COUNT(需求與匯率!$C$9:$C$13)&lt;5,"待輸入需求量",IF(AND(C6&gt;120,D6&gt;J6),"符合","不符合"))</f>
        <v>待輸入需求量</v>
      </c>
      <c r="M6" s="19" t="str">
        <f>IF(OR(L6="待輸入需求量",D6=""),"",IF(L6="符合",0,G6))</f>
        <v/>
      </c>
      <c r="N6" s="19" t="str">
        <f>IF(OR(D6="",M6=""),"",D6+M6)</f>
        <v/>
      </c>
      <c r="O6" s="14" t="str">
        <f>IF(COUNT(需求與匯率!$C$9:$C$13)&lt;5,"",SUM(標準化明細!$H$10:$H$14))</f>
        <v/>
      </c>
      <c r="P6" s="13" t="str">
        <f>IF(COUNT(需求與匯率!$C$9:$C$13)&lt;5,"待輸入需求量",IF(SUM(標準化明細!$H$10:$H$13)&gt;0,"需確認非 MA-01 補貨",IF(需求與匯率!$C$13&gt;4,"2026-09-11","2026-08-19")))</f>
        <v>待輸入需求量</v>
      </c>
      <c r="Q6" s="9" t="s">
        <v>146</v>
      </c>
    </row>
    <row r="7" spans="1:17" ht="54" customHeight="1">
      <c r="A7" s="9" t="s">
        <v>115</v>
      </c>
      <c r="B7" s="9" t="s">
        <v>116</v>
      </c>
      <c r="C7" s="14" t="str">
        <f>IF(COUNT(需求與匯率!$C$9:$C$13)&lt;5,"",SUM(需求與匯率!$C$9:$C$13))</f>
        <v/>
      </c>
      <c r="D7" s="22" t="str">
        <f>IF(COUNT(需求與匯率!$C$9:$C$13)&lt;5,"",SUM(標準化明細!$M$15:$M$19))</f>
        <v/>
      </c>
      <c r="E7" s="17">
        <v>900</v>
      </c>
      <c r="F7" s="17" t="s">
        <v>87</v>
      </c>
      <c r="G7" s="19">
        <f>E7*IF(F7="USD",需求與匯率!$B$5,1)</f>
        <v>900</v>
      </c>
      <c r="H7" s="17">
        <v>70000</v>
      </c>
      <c r="I7" s="17" t="s">
        <v>87</v>
      </c>
      <c r="J7" s="19">
        <f>H7*IF(I7="USD",需求與匯率!$B$5,1)</f>
        <v>70000</v>
      </c>
      <c r="K7" s="17" t="s">
        <v>147</v>
      </c>
      <c r="L7" s="13" t="str">
        <f>IF(COUNT(需求與匯率!$C$9:$C$13)&lt;5,"待輸入需求量",IF(D7&gt;=J7,"符合","不符合"))</f>
        <v>待輸入需求量</v>
      </c>
      <c r="M7" s="19" t="str">
        <f>IF(OR(L7="待輸入需求量",D7=""),"",IF(L7="符合",0,G7))</f>
        <v/>
      </c>
      <c r="N7" s="19" t="str">
        <f>IF(OR(D7="",M7=""),"",D7+M7)</f>
        <v/>
      </c>
      <c r="O7" s="14" t="str">
        <f>IF(COUNT(需求與匯率!$C$9:$C$13)&lt;5,"",SUM(標準化明細!$H$15:$H$19))</f>
        <v/>
      </c>
      <c r="P7" s="13" t="str">
        <f>IF(COUNT(需求與匯率!$C$9:$C$13)&lt;5,"待輸入需求量",IF(O7&gt;0,"需確認補貨","2026-08-13"))</f>
        <v>待輸入需求量</v>
      </c>
      <c r="Q7" s="9" t="s">
        <v>117</v>
      </c>
    </row>
  </sheetData>
  <mergeCells count="2">
    <mergeCell ref="A2:Q2"/>
    <mergeCell ref="A1:Q1"/>
  </mergeCells>
  <phoneticPr fontId="16" type="noConversion"/>
  <conditionalFormatting sqref="L5:L7">
    <cfRule type="expression" dxfId="5" priority="1">
      <formula>$L5="符合"</formula>
    </cfRule>
    <cfRule type="expression" dxfId="4" priority="2">
      <formula>$L5="不符合"</formula>
    </cfRule>
  </conditionalFormatting>
  <conditionalFormatting sqref="O5:O7">
    <cfRule type="expression" dxfId="3" priority="3">
      <formula>$O5&gt;0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C65911"/>
  </sheetPr>
  <dimension ref="A1:I11"/>
  <sheetViews>
    <sheetView showGridLines="0" workbookViewId="0"/>
  </sheetViews>
  <sheetFormatPr defaultRowHeight="14.4"/>
  <cols>
    <col min="1" max="1" width="11" customWidth="1"/>
    <col min="2" max="2" width="16" customWidth="1"/>
    <col min="3" max="3" width="10" customWidth="1"/>
    <col min="4" max="4" width="24" customWidth="1"/>
    <col min="5" max="5" width="47" customWidth="1"/>
    <col min="6" max="6" width="45" customWidth="1"/>
    <col min="7" max="7" width="39" customWidth="1"/>
    <col min="8" max="8" width="24" customWidth="1"/>
    <col min="9" max="9" width="14" customWidth="1"/>
  </cols>
  <sheetData>
    <row r="1" spans="1:9" ht="34.049999999999997" customHeight="1">
      <c r="A1" s="60" t="s">
        <v>148</v>
      </c>
      <c r="B1" s="57"/>
      <c r="C1" s="57"/>
      <c r="D1" s="57"/>
      <c r="E1" s="57"/>
      <c r="F1" s="57"/>
      <c r="G1" s="57"/>
      <c r="H1" s="57"/>
      <c r="I1" s="57"/>
    </row>
    <row r="2" spans="1:9" ht="34.049999999999997" customHeight="1">
      <c r="A2" s="59" t="s">
        <v>149</v>
      </c>
      <c r="B2" s="57"/>
      <c r="C2" s="57"/>
      <c r="D2" s="57"/>
      <c r="E2" s="57"/>
      <c r="F2" s="57"/>
      <c r="G2" s="57"/>
      <c r="H2" s="57"/>
      <c r="I2" s="57"/>
    </row>
    <row r="4" spans="1:9" ht="34.049999999999997" customHeight="1">
      <c r="A4" s="1" t="s">
        <v>150</v>
      </c>
      <c r="B4" s="1" t="s">
        <v>151</v>
      </c>
      <c r="C4" s="1" t="s">
        <v>152</v>
      </c>
      <c r="D4" s="1" t="s">
        <v>153</v>
      </c>
      <c r="E4" s="1" t="s">
        <v>154</v>
      </c>
      <c r="F4" s="1" t="s">
        <v>155</v>
      </c>
      <c r="G4" s="1" t="s">
        <v>156</v>
      </c>
      <c r="H4" s="1" t="s">
        <v>157</v>
      </c>
      <c r="I4" s="1" t="s">
        <v>158</v>
      </c>
    </row>
    <row r="5" spans="1:9" ht="48" customHeight="1">
      <c r="A5" s="10" t="s">
        <v>159</v>
      </c>
      <c r="B5" s="9" t="s">
        <v>160</v>
      </c>
      <c r="C5" s="3" t="s">
        <v>161</v>
      </c>
      <c r="D5" s="9" t="s">
        <v>162</v>
      </c>
      <c r="E5" s="9" t="s">
        <v>163</v>
      </c>
      <c r="F5" s="9" t="s">
        <v>164</v>
      </c>
      <c r="G5" s="9" t="s">
        <v>165</v>
      </c>
      <c r="H5" s="9" t="s">
        <v>166</v>
      </c>
      <c r="I5" s="9" t="s">
        <v>167</v>
      </c>
    </row>
    <row r="6" spans="1:9" ht="48" customHeight="1">
      <c r="A6" s="10" t="s">
        <v>168</v>
      </c>
      <c r="B6" s="9" t="s">
        <v>169</v>
      </c>
      <c r="C6" s="3" t="s">
        <v>161</v>
      </c>
      <c r="D6" s="9" t="s">
        <v>170</v>
      </c>
      <c r="E6" s="9" t="s">
        <v>171</v>
      </c>
      <c r="F6" s="9" t="s">
        <v>172</v>
      </c>
      <c r="G6" s="9" t="s">
        <v>173</v>
      </c>
      <c r="H6" s="9" t="s">
        <v>174</v>
      </c>
      <c r="I6" s="9" t="s">
        <v>175</v>
      </c>
    </row>
    <row r="7" spans="1:9" ht="48" customHeight="1">
      <c r="A7" s="10" t="s">
        <v>176</v>
      </c>
      <c r="B7" s="9" t="s">
        <v>169</v>
      </c>
      <c r="C7" s="3" t="s">
        <v>161</v>
      </c>
      <c r="D7" s="9" t="s">
        <v>177</v>
      </c>
      <c r="E7" s="9" t="s">
        <v>178</v>
      </c>
      <c r="F7" s="9" t="s">
        <v>179</v>
      </c>
      <c r="G7" s="9" t="s">
        <v>180</v>
      </c>
      <c r="H7" s="9" t="s">
        <v>146</v>
      </c>
      <c r="I7" s="9" t="s">
        <v>175</v>
      </c>
    </row>
    <row r="8" spans="1:9" ht="48" customHeight="1">
      <c r="A8" s="10" t="s">
        <v>181</v>
      </c>
      <c r="B8" s="9" t="s">
        <v>169</v>
      </c>
      <c r="C8" s="4" t="s">
        <v>182</v>
      </c>
      <c r="D8" s="9" t="s">
        <v>183</v>
      </c>
      <c r="E8" s="9" t="s">
        <v>184</v>
      </c>
      <c r="F8" s="9" t="s">
        <v>185</v>
      </c>
      <c r="G8" s="9" t="s">
        <v>186</v>
      </c>
      <c r="H8" s="9" t="s">
        <v>117</v>
      </c>
      <c r="I8" s="9" t="s">
        <v>175</v>
      </c>
    </row>
    <row r="9" spans="1:9" ht="48" customHeight="1">
      <c r="A9" s="10" t="s">
        <v>187</v>
      </c>
      <c r="B9" s="9" t="s">
        <v>188</v>
      </c>
      <c r="C9" s="4" t="s">
        <v>182</v>
      </c>
      <c r="D9" s="9" t="s">
        <v>189</v>
      </c>
      <c r="E9" s="9" t="s">
        <v>190</v>
      </c>
      <c r="F9" s="9" t="s">
        <v>191</v>
      </c>
      <c r="G9" s="9" t="s">
        <v>192</v>
      </c>
      <c r="H9" s="9" t="s">
        <v>193</v>
      </c>
      <c r="I9" s="9" t="s">
        <v>175</v>
      </c>
    </row>
    <row r="10" spans="1:9" ht="48" customHeight="1">
      <c r="A10" s="10" t="s">
        <v>194</v>
      </c>
      <c r="B10" s="9" t="s">
        <v>195</v>
      </c>
      <c r="C10" s="4" t="s">
        <v>182</v>
      </c>
      <c r="D10" s="9" t="s">
        <v>196</v>
      </c>
      <c r="E10" s="9" t="s">
        <v>197</v>
      </c>
      <c r="F10" s="9" t="s">
        <v>198</v>
      </c>
      <c r="G10" s="9" t="s">
        <v>199</v>
      </c>
      <c r="H10" s="9" t="s">
        <v>174</v>
      </c>
      <c r="I10" s="9" t="s">
        <v>200</v>
      </c>
    </row>
    <row r="11" spans="1:9" ht="48" customHeight="1">
      <c r="A11" s="10" t="s">
        <v>201</v>
      </c>
      <c r="B11" s="9" t="s">
        <v>202</v>
      </c>
      <c r="C11" s="6" t="s">
        <v>203</v>
      </c>
      <c r="D11" s="9" t="s">
        <v>204</v>
      </c>
      <c r="E11" s="9" t="s">
        <v>205</v>
      </c>
      <c r="F11" s="9" t="s">
        <v>206</v>
      </c>
      <c r="G11" s="9" t="s">
        <v>207</v>
      </c>
      <c r="H11" s="9" t="s">
        <v>208</v>
      </c>
      <c r="I11" s="9" t="s">
        <v>209</v>
      </c>
    </row>
  </sheetData>
  <mergeCells count="2">
    <mergeCell ref="A1:I1"/>
    <mergeCell ref="A2:I2"/>
  </mergeCells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0AD47"/>
  </sheetPr>
  <dimension ref="A1:K19"/>
  <sheetViews>
    <sheetView showGridLines="0" workbookViewId="0"/>
  </sheetViews>
  <sheetFormatPr defaultRowHeight="14.4"/>
  <cols>
    <col min="1" max="1" width="15" customWidth="1"/>
    <col min="2" max="2" width="27" customWidth="1"/>
    <col min="3" max="3" width="18" customWidth="1"/>
    <col min="4" max="4" width="20" customWidth="1"/>
    <col min="5" max="5" width="28" customWidth="1"/>
    <col min="6" max="7" width="17" customWidth="1"/>
    <col min="8" max="8" width="13" customWidth="1"/>
    <col min="9" max="9" width="12" customWidth="1"/>
    <col min="10" max="10" width="15" customWidth="1"/>
    <col min="11" max="11" width="18" customWidth="1"/>
  </cols>
  <sheetData>
    <row r="1" spans="1:11" ht="34.049999999999997" customHeight="1">
      <c r="A1" s="60" t="s">
        <v>210</v>
      </c>
      <c r="B1" s="57"/>
      <c r="C1" s="57"/>
      <c r="D1" s="57"/>
      <c r="E1" s="57"/>
      <c r="F1" s="57"/>
      <c r="G1" s="57"/>
      <c r="H1" s="57"/>
      <c r="I1" s="57"/>
      <c r="J1" s="57"/>
      <c r="K1" s="57"/>
    </row>
    <row r="2" spans="1:11" ht="31.95" customHeight="1">
      <c r="A2" s="59" t="s">
        <v>211</v>
      </c>
      <c r="B2" s="57"/>
      <c r="C2" s="57"/>
      <c r="D2" s="57"/>
      <c r="E2" s="57"/>
      <c r="F2" s="57"/>
      <c r="G2" s="57"/>
      <c r="H2" s="57"/>
      <c r="I2" s="57"/>
      <c r="J2" s="57"/>
      <c r="K2" s="57"/>
    </row>
    <row r="4" spans="1:11" ht="31.95" customHeight="1">
      <c r="A4" s="1" t="s">
        <v>81</v>
      </c>
      <c r="B4" s="1" t="s">
        <v>66</v>
      </c>
      <c r="C4" s="1" t="s">
        <v>212</v>
      </c>
      <c r="D4" s="1" t="s">
        <v>213</v>
      </c>
      <c r="E4" s="1" t="s">
        <v>214</v>
      </c>
      <c r="F4" s="1" t="s">
        <v>215</v>
      </c>
      <c r="G4" s="1" t="s">
        <v>46</v>
      </c>
      <c r="H4" s="1" t="s">
        <v>216</v>
      </c>
      <c r="I4" s="1" t="s">
        <v>217</v>
      </c>
      <c r="J4" s="1" t="s">
        <v>218</v>
      </c>
      <c r="K4" s="1" t="s">
        <v>219</v>
      </c>
    </row>
    <row r="5" spans="1:11" ht="36" customHeight="1">
      <c r="A5" s="2" t="s">
        <v>88</v>
      </c>
      <c r="B5" s="2" t="s">
        <v>86</v>
      </c>
      <c r="C5" s="2" t="s">
        <v>220</v>
      </c>
      <c r="D5" s="2" t="s">
        <v>221</v>
      </c>
      <c r="E5" s="2" t="s">
        <v>90</v>
      </c>
      <c r="F5" s="2" t="s">
        <v>51</v>
      </c>
      <c r="G5" s="2" t="s">
        <v>51</v>
      </c>
      <c r="H5" s="2" t="s">
        <v>222</v>
      </c>
      <c r="I5" s="5">
        <v>150</v>
      </c>
      <c r="J5" s="2" t="s">
        <v>223</v>
      </c>
      <c r="K5" s="2" t="s">
        <v>224</v>
      </c>
    </row>
    <row r="6" spans="1:11" ht="36" customHeight="1">
      <c r="A6" s="2" t="s">
        <v>88</v>
      </c>
      <c r="B6" s="2" t="s">
        <v>86</v>
      </c>
      <c r="C6" s="2" t="s">
        <v>220</v>
      </c>
      <c r="D6" s="2" t="s">
        <v>221</v>
      </c>
      <c r="E6" s="2" t="s">
        <v>93</v>
      </c>
      <c r="F6" s="2" t="s">
        <v>56</v>
      </c>
      <c r="G6" s="2" t="s">
        <v>56</v>
      </c>
      <c r="H6" s="2" t="s">
        <v>225</v>
      </c>
      <c r="I6" s="5">
        <v>80</v>
      </c>
      <c r="J6" s="2" t="s">
        <v>226</v>
      </c>
      <c r="K6" s="2" t="s">
        <v>224</v>
      </c>
    </row>
    <row r="7" spans="1:11" ht="36" customHeight="1">
      <c r="A7" s="2" t="s">
        <v>88</v>
      </c>
      <c r="B7" s="2" t="s">
        <v>86</v>
      </c>
      <c r="C7" s="2" t="s">
        <v>220</v>
      </c>
      <c r="D7" s="2" t="s">
        <v>221</v>
      </c>
      <c r="E7" s="2" t="s">
        <v>95</v>
      </c>
      <c r="F7" s="2" t="s">
        <v>58</v>
      </c>
      <c r="G7" s="2" t="s">
        <v>58</v>
      </c>
      <c r="H7" s="2" t="s">
        <v>227</v>
      </c>
      <c r="I7" s="5">
        <v>60</v>
      </c>
      <c r="J7" s="2" t="s">
        <v>228</v>
      </c>
      <c r="K7" s="2" t="s">
        <v>224</v>
      </c>
    </row>
    <row r="8" spans="1:11" ht="36" customHeight="1">
      <c r="A8" s="2" t="s">
        <v>88</v>
      </c>
      <c r="B8" s="2" t="s">
        <v>86</v>
      </c>
      <c r="C8" s="2" t="s">
        <v>220</v>
      </c>
      <c r="D8" s="2" t="s">
        <v>221</v>
      </c>
      <c r="E8" s="2" t="s">
        <v>59</v>
      </c>
      <c r="F8" s="2" t="s">
        <v>60</v>
      </c>
      <c r="G8" s="2" t="s">
        <v>60</v>
      </c>
      <c r="H8" s="2" t="s">
        <v>229</v>
      </c>
      <c r="I8" s="5">
        <v>50</v>
      </c>
      <c r="J8" s="2" t="s">
        <v>230</v>
      </c>
      <c r="K8" s="2" t="s">
        <v>224</v>
      </c>
    </row>
    <row r="9" spans="1:11" ht="36" customHeight="1">
      <c r="A9" s="2" t="s">
        <v>88</v>
      </c>
      <c r="B9" s="2" t="s">
        <v>86</v>
      </c>
      <c r="C9" s="2" t="s">
        <v>220</v>
      </c>
      <c r="D9" s="2" t="s">
        <v>221</v>
      </c>
      <c r="E9" s="2" t="s">
        <v>98</v>
      </c>
      <c r="F9" s="2" t="s">
        <v>62</v>
      </c>
      <c r="G9" s="2" t="s">
        <v>62</v>
      </c>
      <c r="H9" s="2" t="s">
        <v>231</v>
      </c>
      <c r="I9" s="5">
        <v>20</v>
      </c>
      <c r="J9" s="2" t="s">
        <v>232</v>
      </c>
      <c r="K9" s="2" t="s">
        <v>224</v>
      </c>
    </row>
    <row r="10" spans="1:11" ht="36" customHeight="1">
      <c r="A10" s="2" t="s">
        <v>193</v>
      </c>
      <c r="B10" s="2" t="s">
        <v>100</v>
      </c>
      <c r="C10" s="2" t="s">
        <v>233</v>
      </c>
      <c r="D10" s="2" t="s">
        <v>234</v>
      </c>
      <c r="E10" s="2" t="s">
        <v>104</v>
      </c>
      <c r="F10" s="2" t="s">
        <v>51</v>
      </c>
      <c r="G10" s="2" t="s">
        <v>51</v>
      </c>
      <c r="H10" s="2" t="s">
        <v>235</v>
      </c>
      <c r="I10" s="5">
        <v>120</v>
      </c>
      <c r="J10" s="2" t="s">
        <v>236</v>
      </c>
      <c r="K10" s="2" t="s">
        <v>237</v>
      </c>
    </row>
    <row r="11" spans="1:11" ht="36" customHeight="1">
      <c r="A11" s="2" t="s">
        <v>193</v>
      </c>
      <c r="B11" s="2" t="s">
        <v>100</v>
      </c>
      <c r="C11" s="2" t="s">
        <v>233</v>
      </c>
      <c r="D11" s="2" t="s">
        <v>234</v>
      </c>
      <c r="E11" s="2" t="s">
        <v>107</v>
      </c>
      <c r="F11" s="2" t="s">
        <v>56</v>
      </c>
      <c r="G11" s="2" t="s">
        <v>56</v>
      </c>
      <c r="H11" s="2" t="s">
        <v>238</v>
      </c>
      <c r="I11" s="5">
        <v>45</v>
      </c>
      <c r="J11" s="2" t="s">
        <v>239</v>
      </c>
      <c r="K11" s="2" t="s">
        <v>237</v>
      </c>
    </row>
    <row r="12" spans="1:11" ht="36" customHeight="1">
      <c r="A12" s="2" t="s">
        <v>193</v>
      </c>
      <c r="B12" s="2" t="s">
        <v>100</v>
      </c>
      <c r="C12" s="2" t="s">
        <v>233</v>
      </c>
      <c r="D12" s="2" t="s">
        <v>234</v>
      </c>
      <c r="E12" s="2" t="s">
        <v>109</v>
      </c>
      <c r="F12" s="2" t="s">
        <v>58</v>
      </c>
      <c r="G12" s="2" t="s">
        <v>58</v>
      </c>
      <c r="H12" s="2" t="s">
        <v>240</v>
      </c>
      <c r="I12" s="5">
        <v>50</v>
      </c>
      <c r="J12" s="2" t="s">
        <v>241</v>
      </c>
      <c r="K12" s="2" t="s">
        <v>237</v>
      </c>
    </row>
    <row r="13" spans="1:11" ht="36" customHeight="1">
      <c r="A13" s="2" t="s">
        <v>193</v>
      </c>
      <c r="B13" s="2" t="s">
        <v>100</v>
      </c>
      <c r="C13" s="2" t="s">
        <v>233</v>
      </c>
      <c r="D13" s="2" t="s">
        <v>234</v>
      </c>
      <c r="E13" s="2" t="s">
        <v>111</v>
      </c>
      <c r="F13" s="2" t="s">
        <v>60</v>
      </c>
      <c r="G13" s="2" t="s">
        <v>60</v>
      </c>
      <c r="H13" s="2" t="s">
        <v>242</v>
      </c>
      <c r="I13" s="5">
        <v>40</v>
      </c>
      <c r="J13" s="2" t="s">
        <v>243</v>
      </c>
      <c r="K13" s="2" t="s">
        <v>237</v>
      </c>
    </row>
    <row r="14" spans="1:11" ht="36" customHeight="1">
      <c r="A14" s="2" t="s">
        <v>193</v>
      </c>
      <c r="B14" s="2" t="s">
        <v>100</v>
      </c>
      <c r="C14" s="2" t="s">
        <v>233</v>
      </c>
      <c r="D14" s="2" t="s">
        <v>234</v>
      </c>
      <c r="E14" s="2" t="s">
        <v>113</v>
      </c>
      <c r="F14" s="2" t="s">
        <v>62</v>
      </c>
      <c r="G14" s="2" t="s">
        <v>62</v>
      </c>
      <c r="H14" s="2" t="s">
        <v>15</v>
      </c>
      <c r="I14" s="5">
        <v>4</v>
      </c>
      <c r="J14" s="2" t="s">
        <v>244</v>
      </c>
      <c r="K14" s="2" t="s">
        <v>237</v>
      </c>
    </row>
    <row r="15" spans="1:11" ht="36" customHeight="1">
      <c r="A15" s="2" t="s">
        <v>117</v>
      </c>
      <c r="B15" s="2" t="s">
        <v>116</v>
      </c>
      <c r="C15" s="2" t="s">
        <v>245</v>
      </c>
      <c r="D15" s="2" t="s">
        <v>246</v>
      </c>
      <c r="E15" s="2" t="s">
        <v>119</v>
      </c>
      <c r="F15" s="2" t="s">
        <v>51</v>
      </c>
      <c r="G15" s="2" t="s">
        <v>51</v>
      </c>
      <c r="H15" s="2" t="s">
        <v>247</v>
      </c>
      <c r="I15" s="5">
        <v>110</v>
      </c>
      <c r="J15" s="2" t="s">
        <v>248</v>
      </c>
      <c r="K15" s="2" t="s">
        <v>224</v>
      </c>
    </row>
    <row r="16" spans="1:11" ht="36" customHeight="1">
      <c r="A16" s="2" t="s">
        <v>117</v>
      </c>
      <c r="B16" s="2" t="s">
        <v>116</v>
      </c>
      <c r="C16" s="2" t="s">
        <v>245</v>
      </c>
      <c r="D16" s="2" t="s">
        <v>246</v>
      </c>
      <c r="E16" s="2" t="s">
        <v>122</v>
      </c>
      <c r="F16" s="2" t="s">
        <v>56</v>
      </c>
      <c r="G16" s="2" t="s">
        <v>56</v>
      </c>
      <c r="H16" s="2" t="s">
        <v>240</v>
      </c>
      <c r="I16" s="5">
        <v>50</v>
      </c>
      <c r="J16" s="2" t="s">
        <v>249</v>
      </c>
      <c r="K16" s="2" t="s">
        <v>224</v>
      </c>
    </row>
    <row r="17" spans="1:11" ht="36" customHeight="1">
      <c r="A17" s="2" t="s">
        <v>117</v>
      </c>
      <c r="B17" s="2" t="s">
        <v>116</v>
      </c>
      <c r="C17" s="2" t="s">
        <v>245</v>
      </c>
      <c r="D17" s="2" t="s">
        <v>246</v>
      </c>
      <c r="E17" s="2" t="s">
        <v>124</v>
      </c>
      <c r="F17" s="2" t="s">
        <v>58</v>
      </c>
      <c r="G17" s="2" t="s">
        <v>58</v>
      </c>
      <c r="H17" s="2" t="s">
        <v>238</v>
      </c>
      <c r="I17" s="5">
        <v>45</v>
      </c>
      <c r="J17" s="2" t="s">
        <v>250</v>
      </c>
      <c r="K17" s="2" t="s">
        <v>224</v>
      </c>
    </row>
    <row r="18" spans="1:11" ht="36" customHeight="1">
      <c r="A18" s="2" t="s">
        <v>117</v>
      </c>
      <c r="B18" s="2" t="s">
        <v>116</v>
      </c>
      <c r="C18" s="2" t="s">
        <v>245</v>
      </c>
      <c r="D18" s="2" t="s">
        <v>246</v>
      </c>
      <c r="E18" s="2" t="s">
        <v>126</v>
      </c>
      <c r="F18" s="2" t="s">
        <v>60</v>
      </c>
      <c r="G18" s="2" t="s">
        <v>60</v>
      </c>
      <c r="H18" s="2" t="s">
        <v>251</v>
      </c>
      <c r="I18" s="5">
        <v>35</v>
      </c>
      <c r="J18" s="2" t="s">
        <v>252</v>
      </c>
      <c r="K18" s="2" t="s">
        <v>224</v>
      </c>
    </row>
    <row r="19" spans="1:11" ht="36" customHeight="1">
      <c r="A19" s="2" t="s">
        <v>117</v>
      </c>
      <c r="B19" s="2" t="s">
        <v>116</v>
      </c>
      <c r="C19" s="2" t="s">
        <v>245</v>
      </c>
      <c r="D19" s="2" t="s">
        <v>246</v>
      </c>
      <c r="E19" s="2" t="s">
        <v>128</v>
      </c>
      <c r="F19" s="2" t="s">
        <v>62</v>
      </c>
      <c r="G19" s="2" t="s">
        <v>62</v>
      </c>
      <c r="H19" s="2" t="s">
        <v>253</v>
      </c>
      <c r="I19" s="5">
        <v>10</v>
      </c>
      <c r="J19" s="2" t="s">
        <v>254</v>
      </c>
      <c r="K19" s="2" t="s">
        <v>224</v>
      </c>
    </row>
  </sheetData>
  <mergeCells count="2">
    <mergeCell ref="A2:K2"/>
    <mergeCell ref="A1:K1"/>
  </mergeCells>
  <phoneticPr fontId="1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8064A2"/>
  </sheetPr>
  <dimension ref="A1:F112"/>
  <sheetViews>
    <sheetView showGridLines="0" workbookViewId="0"/>
  </sheetViews>
  <sheetFormatPr defaultRowHeight="14.4"/>
  <cols>
    <col min="1" max="1" width="10" customWidth="1"/>
    <col min="2" max="2" width="105" customWidth="1"/>
    <col min="3" max="3" width="28" customWidth="1"/>
    <col min="4" max="6" width="15" customWidth="1"/>
  </cols>
  <sheetData>
    <row r="1" spans="1:6" ht="34.049999999999997" customHeight="1">
      <c r="A1" s="60" t="s">
        <v>255</v>
      </c>
      <c r="B1" s="57"/>
      <c r="C1" s="57"/>
      <c r="D1" s="57"/>
      <c r="E1" s="57"/>
      <c r="F1" s="57"/>
    </row>
    <row r="2" spans="1:6" ht="31.95" customHeight="1">
      <c r="A2" s="59" t="s">
        <v>256</v>
      </c>
      <c r="B2" s="57"/>
      <c r="C2" s="57"/>
      <c r="D2" s="57"/>
      <c r="E2" s="57"/>
      <c r="F2" s="57"/>
    </row>
    <row r="4" spans="1:6" ht="31.95" customHeight="1">
      <c r="A4" s="1" t="s">
        <v>257</v>
      </c>
      <c r="B4" s="1" t="s">
        <v>258</v>
      </c>
    </row>
    <row r="5" spans="1:6" ht="36" customHeight="1">
      <c r="A5" s="2" t="s">
        <v>259</v>
      </c>
      <c r="B5" s="2" t="s">
        <v>260</v>
      </c>
    </row>
    <row r="6" spans="1:6" ht="36" customHeight="1">
      <c r="A6" s="2" t="s">
        <v>261</v>
      </c>
      <c r="B6" s="2" t="s">
        <v>260</v>
      </c>
    </row>
    <row r="7" spans="1:6" ht="36" customHeight="1">
      <c r="A7" s="2" t="s">
        <v>262</v>
      </c>
      <c r="B7" s="2" t="s">
        <v>263</v>
      </c>
    </row>
    <row r="8" spans="1:6" ht="36" customHeight="1">
      <c r="A8" s="2" t="s">
        <v>264</v>
      </c>
      <c r="B8" s="2" t="s">
        <v>265</v>
      </c>
    </row>
    <row r="9" spans="1:6" ht="36" customHeight="1">
      <c r="A9" s="2" t="s">
        <v>266</v>
      </c>
      <c r="B9" s="2" t="s">
        <v>267</v>
      </c>
    </row>
    <row r="10" spans="1:6" ht="36" customHeight="1">
      <c r="A10" s="2" t="s">
        <v>268</v>
      </c>
      <c r="B10" s="2" t="s">
        <v>269</v>
      </c>
    </row>
    <row r="11" spans="1:6" ht="36" customHeight="1">
      <c r="A11" s="2" t="s">
        <v>270</v>
      </c>
      <c r="B11" s="2" t="s">
        <v>271</v>
      </c>
    </row>
    <row r="12" spans="1:6" ht="36" customHeight="1">
      <c r="A12" s="2" t="s">
        <v>272</v>
      </c>
      <c r="B12" s="2" t="s">
        <v>273</v>
      </c>
    </row>
    <row r="13" spans="1:6" ht="36" customHeight="1">
      <c r="A13" s="2" t="s">
        <v>274</v>
      </c>
      <c r="B13" s="7" t="s">
        <v>275</v>
      </c>
    </row>
    <row r="15" spans="1:6" ht="25.95" customHeight="1">
      <c r="A15" s="56" t="s">
        <v>276</v>
      </c>
      <c r="B15" s="57"/>
      <c r="C15" s="57"/>
      <c r="D15" s="57"/>
      <c r="E15" s="57"/>
      <c r="F15" s="57"/>
    </row>
    <row r="16" spans="1:6" ht="31.95" customHeight="1">
      <c r="A16" s="1" t="s">
        <v>277</v>
      </c>
      <c r="B16" s="1" t="s">
        <v>278</v>
      </c>
      <c r="C16" s="1" t="s">
        <v>82</v>
      </c>
    </row>
    <row r="17" spans="1:3" ht="22.05" customHeight="1">
      <c r="A17" s="2">
        <v>1</v>
      </c>
      <c r="B17" s="2" t="s">
        <v>279</v>
      </c>
      <c r="C17" s="2" t="s">
        <v>280</v>
      </c>
    </row>
    <row r="18" spans="1:3" ht="10.050000000000001" customHeight="1">
      <c r="A18" s="2">
        <v>2</v>
      </c>
      <c r="B18" s="2" t="s">
        <v>281</v>
      </c>
      <c r="C18" s="2" t="s">
        <v>282</v>
      </c>
    </row>
    <row r="19" spans="1:3" ht="22.05" customHeight="1">
      <c r="A19" s="2">
        <v>3</v>
      </c>
      <c r="B19" s="2" t="s">
        <v>283</v>
      </c>
      <c r="C19" s="2" t="s">
        <v>284</v>
      </c>
    </row>
    <row r="20" spans="1:3" ht="10.050000000000001" customHeight="1">
      <c r="A20" s="2">
        <v>4</v>
      </c>
      <c r="B20" s="2" t="s">
        <v>281</v>
      </c>
      <c r="C20" s="2" t="s">
        <v>285</v>
      </c>
    </row>
    <row r="21" spans="1:3" ht="22.05" customHeight="1">
      <c r="A21" s="2">
        <v>5</v>
      </c>
      <c r="B21" s="2" t="s">
        <v>286</v>
      </c>
      <c r="C21" s="2" t="s">
        <v>287</v>
      </c>
    </row>
    <row r="22" spans="1:3" ht="10.050000000000001" customHeight="1">
      <c r="A22" s="2">
        <v>6</v>
      </c>
      <c r="B22" s="2" t="s">
        <v>281</v>
      </c>
      <c r="C22" s="2" t="s">
        <v>288</v>
      </c>
    </row>
    <row r="23" spans="1:3" ht="22.05" customHeight="1">
      <c r="A23" s="2">
        <v>7</v>
      </c>
      <c r="B23" s="2" t="s">
        <v>289</v>
      </c>
      <c r="C23" s="2" t="s">
        <v>290</v>
      </c>
    </row>
    <row r="24" spans="1:3" ht="22.05" customHeight="1">
      <c r="A24" s="2">
        <v>8</v>
      </c>
      <c r="B24" s="2" t="s">
        <v>291</v>
      </c>
      <c r="C24" s="2" t="s">
        <v>292</v>
      </c>
    </row>
    <row r="25" spans="1:3" ht="10.050000000000001" customHeight="1">
      <c r="A25" s="2">
        <v>9</v>
      </c>
      <c r="B25" s="2" t="s">
        <v>281</v>
      </c>
      <c r="C25" s="2" t="s">
        <v>293</v>
      </c>
    </row>
    <row r="26" spans="1:3" ht="22.05" customHeight="1">
      <c r="A26" s="2">
        <v>10</v>
      </c>
      <c r="B26" s="2" t="s">
        <v>289</v>
      </c>
      <c r="C26" s="2" t="s">
        <v>294</v>
      </c>
    </row>
    <row r="27" spans="1:3" ht="22.05" customHeight="1">
      <c r="A27" s="2">
        <v>11</v>
      </c>
      <c r="B27" s="2" t="s">
        <v>295</v>
      </c>
      <c r="C27" s="2" t="s">
        <v>296</v>
      </c>
    </row>
    <row r="28" spans="1:3" ht="10.050000000000001" customHeight="1">
      <c r="A28" s="2">
        <v>12</v>
      </c>
      <c r="B28" s="2" t="s">
        <v>281</v>
      </c>
      <c r="C28" s="2" t="s">
        <v>297</v>
      </c>
    </row>
    <row r="29" spans="1:3" ht="22.05" customHeight="1">
      <c r="A29" s="2">
        <v>13</v>
      </c>
      <c r="B29" s="2" t="s">
        <v>289</v>
      </c>
      <c r="C29" s="2" t="s">
        <v>298</v>
      </c>
    </row>
    <row r="30" spans="1:3" ht="22.05" customHeight="1">
      <c r="A30" s="2">
        <v>14</v>
      </c>
      <c r="B30" s="2" t="s">
        <v>299</v>
      </c>
      <c r="C30" s="2" t="s">
        <v>300</v>
      </c>
    </row>
    <row r="31" spans="1:3" ht="10.050000000000001" customHeight="1">
      <c r="A31" s="2">
        <v>15</v>
      </c>
      <c r="B31" s="2" t="s">
        <v>281</v>
      </c>
      <c r="C31" s="2" t="s">
        <v>301</v>
      </c>
    </row>
    <row r="32" spans="1:3" ht="22.05" customHeight="1">
      <c r="A32" s="2">
        <v>16</v>
      </c>
      <c r="B32" s="2" t="s">
        <v>289</v>
      </c>
      <c r="C32" s="2" t="s">
        <v>302</v>
      </c>
    </row>
    <row r="33" spans="1:3" ht="22.05" customHeight="1">
      <c r="A33" s="2">
        <v>17</v>
      </c>
      <c r="B33" s="2" t="s">
        <v>303</v>
      </c>
      <c r="C33" s="2" t="s">
        <v>304</v>
      </c>
    </row>
    <row r="34" spans="1:3" ht="10.050000000000001" customHeight="1">
      <c r="A34" s="2">
        <v>18</v>
      </c>
      <c r="B34" s="2" t="s">
        <v>281</v>
      </c>
      <c r="C34" s="2" t="s">
        <v>305</v>
      </c>
    </row>
    <row r="35" spans="1:3" ht="22.05" customHeight="1">
      <c r="A35" s="2">
        <v>19</v>
      </c>
      <c r="B35" s="2" t="s">
        <v>306</v>
      </c>
      <c r="C35" s="2" t="s">
        <v>307</v>
      </c>
    </row>
    <row r="36" spans="1:3" ht="10.050000000000001" customHeight="1">
      <c r="A36" s="2">
        <v>20</v>
      </c>
      <c r="B36" s="2" t="s">
        <v>281</v>
      </c>
      <c r="C36" s="2" t="s">
        <v>308</v>
      </c>
    </row>
    <row r="37" spans="1:3" ht="22.05" customHeight="1">
      <c r="A37" s="2">
        <v>21</v>
      </c>
      <c r="B37" s="2" t="s">
        <v>289</v>
      </c>
      <c r="C37" s="2" t="s">
        <v>309</v>
      </c>
    </row>
    <row r="38" spans="1:3" ht="22.05" customHeight="1">
      <c r="A38" s="2">
        <v>22</v>
      </c>
      <c r="B38" s="2" t="s">
        <v>310</v>
      </c>
      <c r="C38" s="2" t="s">
        <v>311</v>
      </c>
    </row>
    <row r="39" spans="1:3" ht="10.050000000000001" customHeight="1">
      <c r="A39" s="2">
        <v>23</v>
      </c>
      <c r="B39" s="2" t="s">
        <v>281</v>
      </c>
      <c r="C39" s="2" t="s">
        <v>312</v>
      </c>
    </row>
    <row r="40" spans="1:3" ht="22.05" customHeight="1">
      <c r="A40" s="2">
        <v>24</v>
      </c>
      <c r="B40" s="2" t="s">
        <v>289</v>
      </c>
      <c r="C40" s="2" t="s">
        <v>313</v>
      </c>
    </row>
    <row r="41" spans="1:3" ht="22.05" customHeight="1">
      <c r="A41" s="2">
        <v>25</v>
      </c>
      <c r="B41" s="2" t="s">
        <v>314</v>
      </c>
      <c r="C41" s="2" t="s">
        <v>315</v>
      </c>
    </row>
    <row r="42" spans="1:3" ht="10.050000000000001" customHeight="1">
      <c r="A42" s="2">
        <v>26</v>
      </c>
      <c r="B42" s="2" t="s">
        <v>281</v>
      </c>
      <c r="C42" s="2" t="s">
        <v>316</v>
      </c>
    </row>
    <row r="43" spans="1:3" ht="22.05" customHeight="1">
      <c r="A43" s="2">
        <v>27</v>
      </c>
      <c r="B43" s="2" t="s">
        <v>317</v>
      </c>
      <c r="C43" s="2" t="s">
        <v>318</v>
      </c>
    </row>
    <row r="44" spans="1:3" ht="10.050000000000001" customHeight="1">
      <c r="A44" s="2">
        <v>28</v>
      </c>
      <c r="B44" s="2" t="s">
        <v>281</v>
      </c>
      <c r="C44" s="2" t="s">
        <v>319</v>
      </c>
    </row>
    <row r="45" spans="1:3" ht="22.05" customHeight="1">
      <c r="A45" s="2">
        <v>29</v>
      </c>
      <c r="B45" s="2" t="s">
        <v>289</v>
      </c>
      <c r="C45" s="2" t="s">
        <v>320</v>
      </c>
    </row>
    <row r="46" spans="1:3" ht="22.05" customHeight="1">
      <c r="A46" s="2">
        <v>30</v>
      </c>
      <c r="B46" s="2" t="s">
        <v>321</v>
      </c>
      <c r="C46" s="2" t="s">
        <v>322</v>
      </c>
    </row>
    <row r="47" spans="1:3" ht="10.050000000000001" customHeight="1">
      <c r="A47" s="2">
        <v>31</v>
      </c>
      <c r="B47" s="2" t="s">
        <v>281</v>
      </c>
      <c r="C47" s="2" t="s">
        <v>323</v>
      </c>
    </row>
    <row r="48" spans="1:3" ht="22.05" customHeight="1">
      <c r="A48" s="2">
        <v>32</v>
      </c>
      <c r="B48" s="2" t="s">
        <v>289</v>
      </c>
      <c r="C48" s="2" t="s">
        <v>324</v>
      </c>
    </row>
    <row r="49" spans="1:3" ht="22.05" customHeight="1">
      <c r="A49" s="2">
        <v>33</v>
      </c>
      <c r="B49" s="2" t="s">
        <v>325</v>
      </c>
      <c r="C49" s="2" t="s">
        <v>326</v>
      </c>
    </row>
    <row r="50" spans="1:3" ht="10.050000000000001" customHeight="1">
      <c r="A50" s="2">
        <v>34</v>
      </c>
      <c r="B50" s="2" t="s">
        <v>281</v>
      </c>
      <c r="C50" s="2" t="s">
        <v>327</v>
      </c>
    </row>
    <row r="51" spans="1:3" ht="22.05" customHeight="1">
      <c r="A51" s="2">
        <v>35</v>
      </c>
      <c r="B51" s="2" t="s">
        <v>289</v>
      </c>
      <c r="C51" s="2" t="s">
        <v>328</v>
      </c>
    </row>
    <row r="52" spans="1:3" ht="22.05" customHeight="1">
      <c r="A52" s="2">
        <v>36</v>
      </c>
      <c r="B52" s="2" t="s">
        <v>329</v>
      </c>
      <c r="C52" s="2" t="s">
        <v>330</v>
      </c>
    </row>
    <row r="53" spans="1:3" ht="10.050000000000001" customHeight="1">
      <c r="A53" s="2">
        <v>37</v>
      </c>
      <c r="B53" s="2" t="s">
        <v>281</v>
      </c>
      <c r="C53" s="2" t="s">
        <v>331</v>
      </c>
    </row>
    <row r="54" spans="1:3" ht="22.05" customHeight="1">
      <c r="A54" s="2">
        <v>38</v>
      </c>
      <c r="B54" s="2" t="s">
        <v>289</v>
      </c>
      <c r="C54" s="2" t="s">
        <v>332</v>
      </c>
    </row>
    <row r="55" spans="1:3" ht="22.05" customHeight="1">
      <c r="A55" s="2">
        <v>39</v>
      </c>
      <c r="B55" s="2" t="s">
        <v>333</v>
      </c>
      <c r="C55" s="2" t="s">
        <v>334</v>
      </c>
    </row>
    <row r="56" spans="1:3" ht="10.050000000000001" customHeight="1">
      <c r="A56" s="2">
        <v>40</v>
      </c>
      <c r="B56" s="2" t="s">
        <v>281</v>
      </c>
      <c r="C56" s="2" t="s">
        <v>335</v>
      </c>
    </row>
    <row r="57" spans="1:3" ht="22.05" customHeight="1">
      <c r="A57" s="2">
        <v>41</v>
      </c>
      <c r="B57" s="2" t="s">
        <v>289</v>
      </c>
      <c r="C57" s="2" t="s">
        <v>336</v>
      </c>
    </row>
    <row r="58" spans="1:3" ht="22.05" customHeight="1">
      <c r="A58" s="2">
        <v>42</v>
      </c>
      <c r="B58" s="2" t="s">
        <v>337</v>
      </c>
      <c r="C58" s="2" t="s">
        <v>338</v>
      </c>
    </row>
    <row r="59" spans="1:3" ht="10.050000000000001" customHeight="1">
      <c r="A59" s="2">
        <v>43</v>
      </c>
      <c r="B59" s="2" t="s">
        <v>281</v>
      </c>
      <c r="C59" s="2" t="s">
        <v>339</v>
      </c>
    </row>
    <row r="60" spans="1:3" ht="22.05" customHeight="1">
      <c r="A60" s="2">
        <v>44</v>
      </c>
      <c r="B60" s="2" t="s">
        <v>289</v>
      </c>
      <c r="C60" s="2" t="s">
        <v>340</v>
      </c>
    </row>
    <row r="61" spans="1:3" ht="22.05" customHeight="1">
      <c r="A61" s="2">
        <v>45</v>
      </c>
      <c r="B61" s="2" t="s">
        <v>341</v>
      </c>
      <c r="C61" s="2" t="s">
        <v>342</v>
      </c>
    </row>
    <row r="62" spans="1:3" ht="10.050000000000001" customHeight="1">
      <c r="A62" s="2">
        <v>46</v>
      </c>
      <c r="B62" s="2" t="s">
        <v>281</v>
      </c>
      <c r="C62" s="2" t="s">
        <v>343</v>
      </c>
    </row>
    <row r="63" spans="1:3" ht="22.05" customHeight="1">
      <c r="A63" s="2">
        <v>47</v>
      </c>
      <c r="B63" s="2" t="s">
        <v>344</v>
      </c>
      <c r="C63" s="2" t="s">
        <v>345</v>
      </c>
    </row>
    <row r="64" spans="1:3" ht="10.050000000000001" customHeight="1">
      <c r="A64" s="2">
        <v>48</v>
      </c>
      <c r="B64" s="2" t="s">
        <v>281</v>
      </c>
      <c r="C64" s="2" t="s">
        <v>346</v>
      </c>
    </row>
    <row r="65" spans="1:3" ht="22.05" customHeight="1">
      <c r="A65" s="2">
        <v>49</v>
      </c>
      <c r="B65" s="2" t="s">
        <v>289</v>
      </c>
      <c r="C65" s="2" t="s">
        <v>347</v>
      </c>
    </row>
    <row r="66" spans="1:3" ht="22.05" customHeight="1">
      <c r="A66" s="2">
        <v>50</v>
      </c>
      <c r="B66" s="2" t="s">
        <v>348</v>
      </c>
      <c r="C66" s="2" t="s">
        <v>349</v>
      </c>
    </row>
    <row r="67" spans="1:3" ht="10.050000000000001" customHeight="1">
      <c r="A67" s="2">
        <v>51</v>
      </c>
      <c r="B67" s="2" t="s">
        <v>281</v>
      </c>
      <c r="C67" s="2" t="s">
        <v>350</v>
      </c>
    </row>
    <row r="68" spans="1:3" ht="22.05" customHeight="1">
      <c r="A68" s="2">
        <v>52</v>
      </c>
      <c r="B68" s="2" t="s">
        <v>289</v>
      </c>
      <c r="C68" s="2" t="s">
        <v>351</v>
      </c>
    </row>
    <row r="69" spans="1:3" ht="22.05" customHeight="1">
      <c r="A69" s="2">
        <v>53</v>
      </c>
      <c r="B69" s="2" t="s">
        <v>352</v>
      </c>
      <c r="C69" s="2" t="s">
        <v>353</v>
      </c>
    </row>
    <row r="70" spans="1:3" ht="10.050000000000001" customHeight="1">
      <c r="A70" s="2">
        <v>54</v>
      </c>
      <c r="B70" s="2" t="s">
        <v>281</v>
      </c>
      <c r="C70" s="2" t="s">
        <v>354</v>
      </c>
    </row>
    <row r="71" spans="1:3" ht="22.05" customHeight="1">
      <c r="A71" s="2">
        <v>55</v>
      </c>
      <c r="B71" s="2" t="s">
        <v>289</v>
      </c>
      <c r="C71" s="2" t="s">
        <v>355</v>
      </c>
    </row>
    <row r="72" spans="1:3" ht="22.05" customHeight="1">
      <c r="A72" s="2">
        <v>56</v>
      </c>
      <c r="B72" s="2" t="s">
        <v>356</v>
      </c>
      <c r="C72" s="2" t="s">
        <v>357</v>
      </c>
    </row>
    <row r="73" spans="1:3" ht="10.050000000000001" customHeight="1">
      <c r="A73" s="2">
        <v>57</v>
      </c>
      <c r="B73" s="2" t="s">
        <v>281</v>
      </c>
      <c r="C73" s="2" t="s">
        <v>358</v>
      </c>
    </row>
    <row r="74" spans="1:3" ht="22.05" customHeight="1">
      <c r="A74" s="2">
        <v>58</v>
      </c>
      <c r="B74" s="2" t="s">
        <v>289</v>
      </c>
      <c r="C74" s="2" t="s">
        <v>359</v>
      </c>
    </row>
    <row r="75" spans="1:3" ht="22.05" customHeight="1">
      <c r="A75" s="2">
        <v>59</v>
      </c>
      <c r="B75" s="2" t="s">
        <v>360</v>
      </c>
      <c r="C75" s="2" t="s">
        <v>361</v>
      </c>
    </row>
    <row r="76" spans="1:3" ht="10.050000000000001" customHeight="1">
      <c r="A76" s="2">
        <v>60</v>
      </c>
      <c r="B76" s="2" t="s">
        <v>281</v>
      </c>
      <c r="C76" s="2" t="s">
        <v>362</v>
      </c>
    </row>
    <row r="77" spans="1:3" ht="22.05" customHeight="1">
      <c r="A77" s="2">
        <v>61</v>
      </c>
      <c r="B77" s="2" t="s">
        <v>289</v>
      </c>
      <c r="C77" s="2" t="s">
        <v>363</v>
      </c>
    </row>
    <row r="78" spans="1:3" ht="22.05" customHeight="1">
      <c r="A78" s="2">
        <v>62</v>
      </c>
      <c r="B78" s="2" t="s">
        <v>364</v>
      </c>
      <c r="C78" s="2" t="s">
        <v>365</v>
      </c>
    </row>
    <row r="79" spans="1:3" ht="10.050000000000001" customHeight="1">
      <c r="A79" s="2">
        <v>63</v>
      </c>
      <c r="B79" s="2" t="s">
        <v>281</v>
      </c>
      <c r="C79" s="2" t="s">
        <v>366</v>
      </c>
    </row>
    <row r="80" spans="1:3" ht="22.05" customHeight="1">
      <c r="A80" s="2">
        <v>64</v>
      </c>
      <c r="B80" s="2" t="s">
        <v>289</v>
      </c>
      <c r="C80" s="2" t="s">
        <v>367</v>
      </c>
    </row>
    <row r="81" spans="1:6" ht="22.05" customHeight="1">
      <c r="A81" s="2">
        <v>65</v>
      </c>
      <c r="B81" s="2" t="s">
        <v>368</v>
      </c>
      <c r="C81" s="2" t="s">
        <v>369</v>
      </c>
    </row>
    <row r="82" spans="1:6" ht="10.050000000000001" customHeight="1">
      <c r="A82" s="2">
        <v>66</v>
      </c>
      <c r="B82" s="2" t="s">
        <v>281</v>
      </c>
      <c r="C82" s="2" t="s">
        <v>370</v>
      </c>
    </row>
    <row r="83" spans="1:6" ht="22.05" customHeight="1">
      <c r="A83" s="2">
        <v>67</v>
      </c>
      <c r="B83" s="2" t="s">
        <v>289</v>
      </c>
      <c r="C83" s="2" t="s">
        <v>371</v>
      </c>
    </row>
    <row r="84" spans="1:6" ht="22.05" customHeight="1">
      <c r="A84" s="2">
        <v>68</v>
      </c>
      <c r="B84" s="2" t="s">
        <v>372</v>
      </c>
      <c r="C84" s="2" t="s">
        <v>373</v>
      </c>
    </row>
    <row r="85" spans="1:6" ht="10.050000000000001" customHeight="1">
      <c r="A85" s="2">
        <v>69</v>
      </c>
      <c r="B85" s="2" t="s">
        <v>281</v>
      </c>
      <c r="C85" s="2" t="s">
        <v>374</v>
      </c>
    </row>
    <row r="86" spans="1:6" ht="22.05" customHeight="1">
      <c r="A86" s="2">
        <v>70</v>
      </c>
      <c r="B86" s="2" t="s">
        <v>375</v>
      </c>
      <c r="C86" s="2" t="s">
        <v>376</v>
      </c>
    </row>
    <row r="87" spans="1:6" ht="10.050000000000001" customHeight="1">
      <c r="A87" s="2">
        <v>71</v>
      </c>
      <c r="B87" s="2" t="s">
        <v>281</v>
      </c>
      <c r="C87" s="2" t="s">
        <v>377</v>
      </c>
    </row>
    <row r="88" spans="1:6" ht="22.05" customHeight="1">
      <c r="A88" s="2">
        <v>72</v>
      </c>
      <c r="B88" s="2" t="s">
        <v>378</v>
      </c>
      <c r="C88" s="2" t="s">
        <v>379</v>
      </c>
    </row>
    <row r="89" spans="1:6" ht="10.050000000000001" customHeight="1">
      <c r="A89" s="2">
        <v>73</v>
      </c>
      <c r="B89" s="2" t="s">
        <v>281</v>
      </c>
      <c r="C89" s="2" t="s">
        <v>380</v>
      </c>
    </row>
    <row r="90" spans="1:6" ht="22.05" customHeight="1">
      <c r="A90" s="2">
        <v>74</v>
      </c>
      <c r="B90" s="2" t="s">
        <v>381</v>
      </c>
      <c r="C90" s="2" t="s">
        <v>382</v>
      </c>
    </row>
    <row r="91" spans="1:6" ht="22.05" customHeight="1">
      <c r="A91" s="2">
        <v>75</v>
      </c>
      <c r="B91" s="2" t="s">
        <v>100</v>
      </c>
      <c r="C91" s="2" t="s">
        <v>383</v>
      </c>
    </row>
    <row r="93" spans="1:6" ht="25.95" customHeight="1">
      <c r="A93" s="56" t="s">
        <v>384</v>
      </c>
      <c r="B93" s="57"/>
      <c r="C93" s="57"/>
      <c r="D93" s="57"/>
      <c r="E93" s="57"/>
      <c r="F93" s="57"/>
    </row>
    <row r="94" spans="1:6" ht="31.95" customHeight="1">
      <c r="A94" s="1" t="s">
        <v>277</v>
      </c>
      <c r="B94" s="1" t="s">
        <v>385</v>
      </c>
      <c r="C94" s="1" t="s">
        <v>82</v>
      </c>
    </row>
    <row r="95" spans="1:6" ht="24" customHeight="1">
      <c r="A95" s="2">
        <v>1</v>
      </c>
      <c r="B95" s="2" t="s">
        <v>386</v>
      </c>
      <c r="C95" s="2" t="s">
        <v>387</v>
      </c>
    </row>
    <row r="96" spans="1:6" ht="24" customHeight="1">
      <c r="A96" s="2">
        <v>2</v>
      </c>
      <c r="B96" s="2" t="s">
        <v>388</v>
      </c>
      <c r="C96" s="2" t="s">
        <v>389</v>
      </c>
    </row>
    <row r="97" spans="1:3" ht="24" customHeight="1">
      <c r="A97" s="2">
        <v>3</v>
      </c>
      <c r="B97" s="2" t="s">
        <v>390</v>
      </c>
      <c r="C97" s="2" t="s">
        <v>391</v>
      </c>
    </row>
    <row r="98" spans="1:3" ht="24" customHeight="1">
      <c r="A98" s="2">
        <v>4</v>
      </c>
      <c r="B98" s="2" t="s">
        <v>234</v>
      </c>
      <c r="C98" s="2" t="s">
        <v>392</v>
      </c>
    </row>
    <row r="99" spans="1:3" ht="24" customHeight="1">
      <c r="A99" s="2">
        <v>5</v>
      </c>
      <c r="B99" s="2" t="s">
        <v>393</v>
      </c>
      <c r="C99" s="2" t="s">
        <v>394</v>
      </c>
    </row>
    <row r="100" spans="1:3" ht="24" customHeight="1">
      <c r="A100" s="2">
        <v>6</v>
      </c>
      <c r="B100" s="2" t="s">
        <v>101</v>
      </c>
      <c r="C100" s="2" t="s">
        <v>395</v>
      </c>
    </row>
    <row r="101" spans="1:3" ht="24" customHeight="1">
      <c r="A101" s="2">
        <v>7</v>
      </c>
      <c r="B101" s="2" t="s">
        <v>396</v>
      </c>
      <c r="C101" s="2" t="s">
        <v>397</v>
      </c>
    </row>
    <row r="102" spans="1:3" ht="24" customHeight="1">
      <c r="A102" s="2">
        <v>8</v>
      </c>
      <c r="B102" s="2" t="s">
        <v>398</v>
      </c>
      <c r="C102" s="2" t="s">
        <v>399</v>
      </c>
    </row>
    <row r="103" spans="1:3" ht="24" customHeight="1">
      <c r="A103" s="2">
        <v>9</v>
      </c>
      <c r="B103" s="2" t="s">
        <v>400</v>
      </c>
      <c r="C103" s="2" t="s">
        <v>401</v>
      </c>
    </row>
    <row r="104" spans="1:3" ht="24" customHeight="1">
      <c r="A104" s="2">
        <v>10</v>
      </c>
      <c r="B104" s="2" t="s">
        <v>402</v>
      </c>
      <c r="C104" s="2" t="s">
        <v>403</v>
      </c>
    </row>
    <row r="105" spans="1:3" ht="24" customHeight="1">
      <c r="A105" s="2">
        <v>11</v>
      </c>
      <c r="B105" s="2" t="s">
        <v>404</v>
      </c>
      <c r="C105" s="2" t="s">
        <v>405</v>
      </c>
    </row>
    <row r="106" spans="1:3" ht="24" customHeight="1">
      <c r="A106" s="2">
        <v>12</v>
      </c>
      <c r="B106" s="2" t="s">
        <v>406</v>
      </c>
      <c r="C106" s="2" t="s">
        <v>407</v>
      </c>
    </row>
    <row r="107" spans="1:3" ht="24" customHeight="1">
      <c r="A107" s="2">
        <v>13</v>
      </c>
      <c r="B107" s="2" t="s">
        <v>408</v>
      </c>
      <c r="C107" s="2" t="s">
        <v>409</v>
      </c>
    </row>
    <row r="108" spans="1:3" ht="24" customHeight="1">
      <c r="A108" s="2">
        <v>14</v>
      </c>
      <c r="B108" s="2" t="s">
        <v>410</v>
      </c>
      <c r="C108" s="2" t="s">
        <v>411</v>
      </c>
    </row>
    <row r="109" spans="1:3" ht="24" customHeight="1">
      <c r="A109" s="2">
        <v>15</v>
      </c>
      <c r="B109" s="2" t="s">
        <v>412</v>
      </c>
      <c r="C109" s="2" t="s">
        <v>413</v>
      </c>
    </row>
    <row r="110" spans="1:3" ht="24" customHeight="1">
      <c r="A110" s="2">
        <v>16</v>
      </c>
      <c r="B110" s="2" t="s">
        <v>414</v>
      </c>
      <c r="C110" s="2" t="s">
        <v>415</v>
      </c>
    </row>
    <row r="111" spans="1:3" ht="24" customHeight="1">
      <c r="A111" s="2">
        <v>17</v>
      </c>
      <c r="B111" s="2" t="s">
        <v>416</v>
      </c>
      <c r="C111" s="2" t="s">
        <v>417</v>
      </c>
    </row>
    <row r="112" spans="1:3" ht="24" customHeight="1">
      <c r="A112" s="2">
        <v>18</v>
      </c>
      <c r="B112" s="2" t="s">
        <v>418</v>
      </c>
      <c r="C112" s="2" t="s">
        <v>419</v>
      </c>
    </row>
  </sheetData>
  <mergeCells count="4">
    <mergeCell ref="A1:F1"/>
    <mergeCell ref="A2:F2"/>
    <mergeCell ref="A15:F15"/>
    <mergeCell ref="A93:F93"/>
  </mergeCells>
  <phoneticPr fontId="16" type="noConversion"/>
  <hyperlinks>
    <hyperlink ref="B13" r:id="rId1" location="all/19fbbcf551b788e4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548235"/>
  </sheetPr>
  <dimension ref="A1:E57"/>
  <sheetViews>
    <sheetView showGridLines="0" workbookViewId="0"/>
  </sheetViews>
  <sheetFormatPr defaultRowHeight="14.4"/>
  <cols>
    <col min="1" max="1" width="16" customWidth="1"/>
    <col min="2" max="2" width="9" customWidth="1"/>
    <col min="3" max="3" width="30" customWidth="1"/>
    <col min="4" max="4" width="100" customWidth="1"/>
    <col min="5" max="5" width="25" customWidth="1"/>
  </cols>
  <sheetData>
    <row r="1" spans="1:5" ht="34.049999999999997" customHeight="1">
      <c r="A1" s="60" t="s">
        <v>420</v>
      </c>
      <c r="B1" s="57"/>
      <c r="C1" s="57"/>
      <c r="D1" s="57"/>
      <c r="E1" s="57"/>
    </row>
    <row r="2" spans="1:5" ht="31.95" customHeight="1">
      <c r="A2" s="59" t="s">
        <v>421</v>
      </c>
      <c r="B2" s="57"/>
      <c r="C2" s="57"/>
      <c r="D2" s="57"/>
      <c r="E2" s="57"/>
    </row>
    <row r="4" spans="1:5" ht="31.95" customHeight="1">
      <c r="A4" s="1" t="s">
        <v>81</v>
      </c>
      <c r="B4" s="1" t="s">
        <v>277</v>
      </c>
      <c r="C4" s="1" t="s">
        <v>422</v>
      </c>
      <c r="D4" s="1" t="s">
        <v>423</v>
      </c>
      <c r="E4" s="1" t="s">
        <v>82</v>
      </c>
    </row>
    <row r="5" spans="1:5" ht="24" customHeight="1">
      <c r="A5" s="2" t="s">
        <v>88</v>
      </c>
      <c r="B5" s="2">
        <v>1</v>
      </c>
      <c r="C5" s="2" t="s">
        <v>424</v>
      </c>
      <c r="D5" s="2" t="s">
        <v>425</v>
      </c>
      <c r="E5" s="2" t="s">
        <v>426</v>
      </c>
    </row>
    <row r="6" spans="1:5" ht="24" customHeight="1">
      <c r="A6" s="2" t="s">
        <v>88</v>
      </c>
      <c r="B6" s="2">
        <v>2</v>
      </c>
      <c r="C6" s="2" t="s">
        <v>424</v>
      </c>
      <c r="D6" s="2" t="s">
        <v>86</v>
      </c>
      <c r="E6" s="2" t="s">
        <v>427</v>
      </c>
    </row>
    <row r="7" spans="1:5" ht="24" customHeight="1">
      <c r="A7" s="2" t="s">
        <v>88</v>
      </c>
      <c r="B7" s="2">
        <v>3</v>
      </c>
      <c r="C7" s="2" t="s">
        <v>424</v>
      </c>
      <c r="D7" s="2" t="s">
        <v>428</v>
      </c>
      <c r="E7" s="2" t="s">
        <v>429</v>
      </c>
    </row>
    <row r="8" spans="1:5" ht="24" customHeight="1">
      <c r="A8" s="2" t="s">
        <v>88</v>
      </c>
      <c r="B8" s="2">
        <v>4</v>
      </c>
      <c r="C8" s="2" t="s">
        <v>424</v>
      </c>
      <c r="D8" s="2" t="s">
        <v>430</v>
      </c>
      <c r="E8" s="2" t="s">
        <v>431</v>
      </c>
    </row>
    <row r="9" spans="1:5" ht="24" customHeight="1">
      <c r="A9" s="2" t="s">
        <v>88</v>
      </c>
      <c r="B9" s="2">
        <v>5</v>
      </c>
      <c r="C9" s="2" t="s">
        <v>424</v>
      </c>
      <c r="D9" s="2" t="s">
        <v>432</v>
      </c>
      <c r="E9" s="2" t="s">
        <v>433</v>
      </c>
    </row>
    <row r="10" spans="1:5" ht="24" customHeight="1">
      <c r="A10" s="2" t="s">
        <v>88</v>
      </c>
      <c r="B10" s="2">
        <v>6</v>
      </c>
      <c r="C10" s="2" t="s">
        <v>424</v>
      </c>
      <c r="D10" s="2" t="s">
        <v>434</v>
      </c>
      <c r="E10" s="2" t="s">
        <v>435</v>
      </c>
    </row>
    <row r="11" spans="1:5" ht="24" customHeight="1">
      <c r="A11" s="2" t="s">
        <v>88</v>
      </c>
      <c r="B11" s="2">
        <v>7</v>
      </c>
      <c r="C11" s="2" t="s">
        <v>424</v>
      </c>
      <c r="D11" s="2" t="s">
        <v>436</v>
      </c>
      <c r="E11" s="2" t="s">
        <v>437</v>
      </c>
    </row>
    <row r="12" spans="1:5" ht="24" customHeight="1">
      <c r="A12" s="2" t="s">
        <v>88</v>
      </c>
      <c r="B12" s="2">
        <v>8</v>
      </c>
      <c r="C12" s="2" t="s">
        <v>424</v>
      </c>
      <c r="D12" s="2" t="s">
        <v>438</v>
      </c>
      <c r="E12" s="2" t="s">
        <v>439</v>
      </c>
    </row>
    <row r="13" spans="1:5" ht="24" customHeight="1">
      <c r="A13" s="2" t="s">
        <v>88</v>
      </c>
      <c r="B13" s="2">
        <v>9</v>
      </c>
      <c r="C13" s="2" t="s">
        <v>424</v>
      </c>
      <c r="D13" s="2" t="s">
        <v>440</v>
      </c>
      <c r="E13" s="2" t="s">
        <v>441</v>
      </c>
    </row>
    <row r="14" spans="1:5" ht="24" customHeight="1">
      <c r="A14" s="2" t="s">
        <v>88</v>
      </c>
      <c r="B14" s="2">
        <v>10</v>
      </c>
      <c r="C14" s="2" t="s">
        <v>424</v>
      </c>
      <c r="D14" s="2" t="s">
        <v>442</v>
      </c>
      <c r="E14" s="2" t="s">
        <v>443</v>
      </c>
    </row>
    <row r="15" spans="1:5" ht="24" customHeight="1">
      <c r="A15" s="2" t="s">
        <v>88</v>
      </c>
      <c r="B15" s="2">
        <v>11</v>
      </c>
      <c r="C15" s="2" t="s">
        <v>424</v>
      </c>
      <c r="D15" s="2" t="s">
        <v>444</v>
      </c>
      <c r="E15" s="2" t="s">
        <v>445</v>
      </c>
    </row>
    <row r="16" spans="1:5" ht="24" customHeight="1">
      <c r="A16" s="2" t="s">
        <v>88</v>
      </c>
      <c r="B16" s="2">
        <v>12</v>
      </c>
      <c r="C16" s="2" t="s">
        <v>424</v>
      </c>
      <c r="D16" s="2" t="s">
        <v>446</v>
      </c>
      <c r="E16" s="2" t="s">
        <v>447</v>
      </c>
    </row>
    <row r="17" spans="1:5" ht="24" customHeight="1">
      <c r="A17" s="2" t="s">
        <v>88</v>
      </c>
      <c r="B17" s="2">
        <v>13</v>
      </c>
      <c r="C17" s="2" t="s">
        <v>424</v>
      </c>
      <c r="D17" s="2" t="s">
        <v>448</v>
      </c>
      <c r="E17" s="2" t="s">
        <v>449</v>
      </c>
    </row>
    <row r="18" spans="1:5" ht="24" customHeight="1">
      <c r="A18" s="2" t="s">
        <v>88</v>
      </c>
      <c r="B18" s="2">
        <v>14</v>
      </c>
      <c r="C18" s="2" t="s">
        <v>424</v>
      </c>
      <c r="D18" s="2" t="s">
        <v>450</v>
      </c>
      <c r="E18" s="2" t="s">
        <v>451</v>
      </c>
    </row>
    <row r="19" spans="1:5" ht="24" customHeight="1">
      <c r="A19" s="2" t="s">
        <v>88</v>
      </c>
      <c r="B19" s="2">
        <v>15</v>
      </c>
      <c r="C19" s="2" t="s">
        <v>424</v>
      </c>
      <c r="D19" s="2" t="s">
        <v>452</v>
      </c>
      <c r="E19" s="2" t="s">
        <v>453</v>
      </c>
    </row>
    <row r="20" spans="1:5" ht="24" customHeight="1">
      <c r="A20" s="2" t="s">
        <v>88</v>
      </c>
      <c r="B20" s="2">
        <v>16</v>
      </c>
      <c r="C20" s="2" t="s">
        <v>424</v>
      </c>
      <c r="D20" s="2" t="s">
        <v>454</v>
      </c>
      <c r="E20" s="2" t="s">
        <v>455</v>
      </c>
    </row>
    <row r="21" spans="1:5" ht="24" customHeight="1">
      <c r="A21" s="2" t="s">
        <v>88</v>
      </c>
      <c r="B21" s="2">
        <v>17</v>
      </c>
      <c r="C21" s="2" t="s">
        <v>424</v>
      </c>
      <c r="D21" s="2" t="s">
        <v>456</v>
      </c>
      <c r="E21" s="2" t="s">
        <v>457</v>
      </c>
    </row>
    <row r="22" spans="1:5" ht="24" customHeight="1">
      <c r="A22" s="2" t="s">
        <v>88</v>
      </c>
      <c r="B22" s="2">
        <v>18</v>
      </c>
      <c r="C22" s="2" t="s">
        <v>424</v>
      </c>
      <c r="D22" s="2" t="s">
        <v>458</v>
      </c>
      <c r="E22" s="2" t="s">
        <v>459</v>
      </c>
    </row>
    <row r="23" spans="1:5" ht="24" customHeight="1">
      <c r="A23" s="2" t="s">
        <v>88</v>
      </c>
      <c r="B23" s="2">
        <v>19</v>
      </c>
      <c r="C23" s="2" t="s">
        <v>424</v>
      </c>
      <c r="D23" s="2" t="s">
        <v>460</v>
      </c>
      <c r="E23" s="2" t="s">
        <v>461</v>
      </c>
    </row>
    <row r="24" spans="1:5" ht="24" customHeight="1">
      <c r="A24" s="2" t="s">
        <v>193</v>
      </c>
      <c r="B24" s="2">
        <v>1</v>
      </c>
      <c r="C24" s="2" t="s">
        <v>462</v>
      </c>
      <c r="D24" s="2" t="s">
        <v>386</v>
      </c>
      <c r="E24" s="2" t="s">
        <v>463</v>
      </c>
    </row>
    <row r="25" spans="1:5" ht="24" customHeight="1">
      <c r="A25" s="2" t="s">
        <v>193</v>
      </c>
      <c r="B25" s="2">
        <v>2</v>
      </c>
      <c r="C25" s="2" t="s">
        <v>462</v>
      </c>
      <c r="D25" s="2" t="s">
        <v>388</v>
      </c>
      <c r="E25" s="2" t="s">
        <v>464</v>
      </c>
    </row>
    <row r="26" spans="1:5" ht="24" customHeight="1">
      <c r="A26" s="2" t="s">
        <v>193</v>
      </c>
      <c r="B26" s="2">
        <v>3</v>
      </c>
      <c r="C26" s="2" t="s">
        <v>462</v>
      </c>
      <c r="D26" s="2" t="s">
        <v>390</v>
      </c>
      <c r="E26" s="2" t="s">
        <v>465</v>
      </c>
    </row>
    <row r="27" spans="1:5" ht="24" customHeight="1">
      <c r="A27" s="2" t="s">
        <v>193</v>
      </c>
      <c r="B27" s="2">
        <v>4</v>
      </c>
      <c r="C27" s="2" t="s">
        <v>462</v>
      </c>
      <c r="D27" s="2" t="s">
        <v>234</v>
      </c>
      <c r="E27" s="2" t="s">
        <v>466</v>
      </c>
    </row>
    <row r="28" spans="1:5" ht="24" customHeight="1">
      <c r="A28" s="2" t="s">
        <v>193</v>
      </c>
      <c r="B28" s="2">
        <v>5</v>
      </c>
      <c r="C28" s="2" t="s">
        <v>462</v>
      </c>
      <c r="D28" s="2" t="s">
        <v>393</v>
      </c>
      <c r="E28" s="2" t="s">
        <v>467</v>
      </c>
    </row>
    <row r="29" spans="1:5" ht="24" customHeight="1">
      <c r="A29" s="2" t="s">
        <v>193</v>
      </c>
      <c r="B29" s="2">
        <v>6</v>
      </c>
      <c r="C29" s="2" t="s">
        <v>462</v>
      </c>
      <c r="D29" s="2" t="s">
        <v>101</v>
      </c>
      <c r="E29" s="2" t="s">
        <v>468</v>
      </c>
    </row>
    <row r="30" spans="1:5" ht="24" customHeight="1">
      <c r="A30" s="2" t="s">
        <v>193</v>
      </c>
      <c r="B30" s="2">
        <v>7</v>
      </c>
      <c r="C30" s="2" t="s">
        <v>462</v>
      </c>
      <c r="D30" s="2" t="s">
        <v>396</v>
      </c>
      <c r="E30" s="2" t="s">
        <v>469</v>
      </c>
    </row>
    <row r="31" spans="1:5" ht="24" customHeight="1">
      <c r="A31" s="2" t="s">
        <v>193</v>
      </c>
      <c r="B31" s="2">
        <v>8</v>
      </c>
      <c r="C31" s="2" t="s">
        <v>462</v>
      </c>
      <c r="D31" s="2" t="s">
        <v>398</v>
      </c>
      <c r="E31" s="2" t="s">
        <v>470</v>
      </c>
    </row>
    <row r="32" spans="1:5" ht="24" customHeight="1">
      <c r="A32" s="2" t="s">
        <v>193</v>
      </c>
      <c r="B32" s="2">
        <v>9</v>
      </c>
      <c r="C32" s="2" t="s">
        <v>462</v>
      </c>
      <c r="D32" s="2" t="s">
        <v>400</v>
      </c>
      <c r="E32" s="2" t="s">
        <v>471</v>
      </c>
    </row>
    <row r="33" spans="1:5" ht="24" customHeight="1">
      <c r="A33" s="2" t="s">
        <v>193</v>
      </c>
      <c r="B33" s="2">
        <v>10</v>
      </c>
      <c r="C33" s="2" t="s">
        <v>462</v>
      </c>
      <c r="D33" s="2" t="s">
        <v>402</v>
      </c>
      <c r="E33" s="2" t="s">
        <v>472</v>
      </c>
    </row>
    <row r="34" spans="1:5" ht="24" customHeight="1">
      <c r="A34" s="2" t="s">
        <v>193</v>
      </c>
      <c r="B34" s="2">
        <v>11</v>
      </c>
      <c r="C34" s="2" t="s">
        <v>462</v>
      </c>
      <c r="D34" s="2" t="s">
        <v>404</v>
      </c>
      <c r="E34" s="2" t="s">
        <v>473</v>
      </c>
    </row>
    <row r="35" spans="1:5" ht="24" customHeight="1">
      <c r="A35" s="2" t="s">
        <v>193</v>
      </c>
      <c r="B35" s="2">
        <v>12</v>
      </c>
      <c r="C35" s="2" t="s">
        <v>462</v>
      </c>
      <c r="D35" s="2" t="s">
        <v>406</v>
      </c>
      <c r="E35" s="2" t="s">
        <v>474</v>
      </c>
    </row>
    <row r="36" spans="1:5" ht="24" customHeight="1">
      <c r="A36" s="2" t="s">
        <v>193</v>
      </c>
      <c r="B36" s="2">
        <v>13</v>
      </c>
      <c r="C36" s="2" t="s">
        <v>462</v>
      </c>
      <c r="D36" s="2" t="s">
        <v>408</v>
      </c>
      <c r="E36" s="2" t="s">
        <v>475</v>
      </c>
    </row>
    <row r="37" spans="1:5" ht="24" customHeight="1">
      <c r="A37" s="2" t="s">
        <v>193</v>
      </c>
      <c r="B37" s="2">
        <v>14</v>
      </c>
      <c r="C37" s="2" t="s">
        <v>462</v>
      </c>
      <c r="D37" s="2" t="s">
        <v>410</v>
      </c>
      <c r="E37" s="2" t="s">
        <v>476</v>
      </c>
    </row>
    <row r="38" spans="1:5" ht="24" customHeight="1">
      <c r="A38" s="2" t="s">
        <v>193</v>
      </c>
      <c r="B38" s="2">
        <v>15</v>
      </c>
      <c r="C38" s="2" t="s">
        <v>462</v>
      </c>
      <c r="D38" s="2" t="s">
        <v>412</v>
      </c>
      <c r="E38" s="2" t="s">
        <v>477</v>
      </c>
    </row>
    <row r="39" spans="1:5" ht="24" customHeight="1">
      <c r="A39" s="2" t="s">
        <v>193</v>
      </c>
      <c r="B39" s="2">
        <v>16</v>
      </c>
      <c r="C39" s="2" t="s">
        <v>462</v>
      </c>
      <c r="D39" s="2" t="s">
        <v>414</v>
      </c>
      <c r="E39" s="2" t="s">
        <v>478</v>
      </c>
    </row>
    <row r="40" spans="1:5" ht="24" customHeight="1">
      <c r="A40" s="2" t="s">
        <v>193</v>
      </c>
      <c r="B40" s="2">
        <v>17</v>
      </c>
      <c r="C40" s="2" t="s">
        <v>462</v>
      </c>
      <c r="D40" s="2" t="s">
        <v>416</v>
      </c>
      <c r="E40" s="2" t="s">
        <v>479</v>
      </c>
    </row>
    <row r="41" spans="1:5" ht="24" customHeight="1">
      <c r="A41" s="2" t="s">
        <v>193</v>
      </c>
      <c r="B41" s="2">
        <v>18</v>
      </c>
      <c r="C41" s="2" t="s">
        <v>462</v>
      </c>
      <c r="D41" s="2" t="s">
        <v>418</v>
      </c>
      <c r="E41" s="2" t="s">
        <v>480</v>
      </c>
    </row>
    <row r="42" spans="1:5" ht="24" customHeight="1">
      <c r="A42" s="2" t="s">
        <v>117</v>
      </c>
      <c r="B42" s="2">
        <v>1</v>
      </c>
      <c r="C42" s="2" t="s">
        <v>481</v>
      </c>
      <c r="D42" s="2" t="s">
        <v>116</v>
      </c>
      <c r="E42" s="2" t="s">
        <v>482</v>
      </c>
    </row>
    <row r="43" spans="1:5" ht="24" customHeight="1">
      <c r="A43" s="2" t="s">
        <v>117</v>
      </c>
      <c r="B43" s="2">
        <v>2</v>
      </c>
      <c r="C43" s="2" t="s">
        <v>481</v>
      </c>
      <c r="D43" s="2" t="s">
        <v>483</v>
      </c>
      <c r="E43" s="2" t="s">
        <v>484</v>
      </c>
    </row>
    <row r="44" spans="1:5" ht="24" customHeight="1">
      <c r="A44" s="2" t="s">
        <v>117</v>
      </c>
      <c r="B44" s="2">
        <v>3</v>
      </c>
      <c r="C44" s="2" t="s">
        <v>481</v>
      </c>
      <c r="D44" s="2" t="s">
        <v>485</v>
      </c>
      <c r="E44" s="2" t="s">
        <v>486</v>
      </c>
    </row>
    <row r="45" spans="1:5" ht="24" customHeight="1">
      <c r="A45" s="2" t="s">
        <v>117</v>
      </c>
      <c r="B45" s="2">
        <v>4</v>
      </c>
      <c r="C45" s="2" t="s">
        <v>481</v>
      </c>
      <c r="D45" s="2" t="s">
        <v>487</v>
      </c>
      <c r="E45" s="2" t="s">
        <v>488</v>
      </c>
    </row>
    <row r="46" spans="1:5" ht="24" customHeight="1">
      <c r="A46" s="2" t="s">
        <v>117</v>
      </c>
      <c r="B46" s="2">
        <v>5</v>
      </c>
      <c r="C46" s="2" t="s">
        <v>481</v>
      </c>
      <c r="D46" s="2" t="s">
        <v>489</v>
      </c>
      <c r="E46" s="2" t="s">
        <v>490</v>
      </c>
    </row>
    <row r="47" spans="1:5" ht="24" customHeight="1">
      <c r="A47" s="2" t="s">
        <v>117</v>
      </c>
      <c r="B47" s="2">
        <v>6</v>
      </c>
      <c r="C47" s="2" t="s">
        <v>481</v>
      </c>
      <c r="D47" s="2" t="s">
        <v>491</v>
      </c>
      <c r="E47" s="2" t="s">
        <v>492</v>
      </c>
    </row>
    <row r="48" spans="1:5" ht="24" customHeight="1">
      <c r="A48" s="2" t="s">
        <v>117</v>
      </c>
      <c r="B48" s="2">
        <v>7</v>
      </c>
      <c r="C48" s="2" t="s">
        <v>481</v>
      </c>
      <c r="D48" s="2" t="s">
        <v>493</v>
      </c>
      <c r="E48" s="2" t="s">
        <v>494</v>
      </c>
    </row>
    <row r="49" spans="1:5" ht="24" customHeight="1">
      <c r="A49" s="2" t="s">
        <v>117</v>
      </c>
      <c r="B49" s="2">
        <v>8</v>
      </c>
      <c r="C49" s="2" t="s">
        <v>481</v>
      </c>
      <c r="D49" s="2" t="s">
        <v>495</v>
      </c>
      <c r="E49" s="2" t="s">
        <v>496</v>
      </c>
    </row>
    <row r="50" spans="1:5" ht="24" customHeight="1">
      <c r="A50" s="2" t="s">
        <v>117</v>
      </c>
      <c r="B50" s="2">
        <v>9</v>
      </c>
      <c r="C50" s="2" t="s">
        <v>481</v>
      </c>
      <c r="D50" s="2" t="s">
        <v>497</v>
      </c>
      <c r="E50" s="2" t="s">
        <v>498</v>
      </c>
    </row>
    <row r="51" spans="1:5" ht="24" customHeight="1">
      <c r="A51" s="2" t="s">
        <v>117</v>
      </c>
      <c r="B51" s="2">
        <v>10</v>
      </c>
      <c r="C51" s="2" t="s">
        <v>481</v>
      </c>
      <c r="D51" s="2" t="s">
        <v>499</v>
      </c>
      <c r="E51" s="2" t="s">
        <v>500</v>
      </c>
    </row>
    <row r="52" spans="1:5" ht="24" customHeight="1">
      <c r="A52" s="2" t="s">
        <v>117</v>
      </c>
      <c r="B52" s="2">
        <v>11</v>
      </c>
      <c r="C52" s="2" t="s">
        <v>481</v>
      </c>
      <c r="D52" s="2" t="s">
        <v>501</v>
      </c>
      <c r="E52" s="2" t="s">
        <v>502</v>
      </c>
    </row>
    <row r="53" spans="1:5" ht="24" customHeight="1">
      <c r="A53" s="2" t="s">
        <v>117</v>
      </c>
      <c r="B53" s="2">
        <v>12</v>
      </c>
      <c r="C53" s="2" t="s">
        <v>481</v>
      </c>
      <c r="D53" s="2" t="s">
        <v>503</v>
      </c>
      <c r="E53" s="2" t="s">
        <v>504</v>
      </c>
    </row>
    <row r="54" spans="1:5" ht="24" customHeight="1">
      <c r="A54" s="2" t="s">
        <v>117</v>
      </c>
      <c r="B54" s="2">
        <v>13</v>
      </c>
      <c r="C54" s="2" t="s">
        <v>481</v>
      </c>
      <c r="D54" s="2" t="s">
        <v>505</v>
      </c>
      <c r="E54" s="2" t="s">
        <v>506</v>
      </c>
    </row>
    <row r="55" spans="1:5" ht="24" customHeight="1">
      <c r="A55" s="2" t="s">
        <v>117</v>
      </c>
      <c r="B55" s="2">
        <v>14</v>
      </c>
      <c r="C55" s="2" t="s">
        <v>481</v>
      </c>
      <c r="D55" s="2" t="s">
        <v>507</v>
      </c>
      <c r="E55" s="2" t="s">
        <v>508</v>
      </c>
    </row>
    <row r="56" spans="1:5" ht="24" customHeight="1">
      <c r="A56" s="2" t="s">
        <v>117</v>
      </c>
      <c r="B56" s="2">
        <v>15</v>
      </c>
      <c r="C56" s="2" t="s">
        <v>481</v>
      </c>
      <c r="D56" s="2" t="s">
        <v>509</v>
      </c>
      <c r="E56" s="2" t="s">
        <v>510</v>
      </c>
    </row>
    <row r="57" spans="1:5" ht="24" customHeight="1">
      <c r="A57" s="2" t="s">
        <v>117</v>
      </c>
      <c r="B57" s="2">
        <v>16</v>
      </c>
      <c r="C57" s="2" t="s">
        <v>481</v>
      </c>
      <c r="D57" s="2" t="s">
        <v>511</v>
      </c>
      <c r="E57" s="2" t="s">
        <v>512</v>
      </c>
    </row>
  </sheetData>
  <mergeCells count="2">
    <mergeCell ref="A2:E2"/>
    <mergeCell ref="A1:E1"/>
  </mergeCells>
  <phoneticPr fontId="1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5B9BD5"/>
  </sheetPr>
  <dimension ref="A1:K8"/>
  <sheetViews>
    <sheetView showGridLines="0" workbookViewId="0"/>
  </sheetViews>
  <sheetFormatPr defaultRowHeight="14.4"/>
  <cols>
    <col min="1" max="1" width="15" customWidth="1"/>
    <col min="2" max="2" width="18" customWidth="1"/>
    <col min="3" max="3" width="13" customWidth="1"/>
    <col min="4" max="4" width="48" customWidth="1"/>
    <col min="5" max="5" width="42" customWidth="1"/>
    <col min="6" max="6" width="23" customWidth="1"/>
    <col min="7" max="7" width="32" customWidth="1"/>
    <col min="8" max="8" width="64" customWidth="1"/>
    <col min="9" max="9" width="14" customWidth="1"/>
    <col min="10" max="10" width="70" customWidth="1"/>
    <col min="11" max="11" width="37" customWidth="1"/>
  </cols>
  <sheetData>
    <row r="1" spans="1:11" ht="34.049999999999997" customHeight="1">
      <c r="A1" s="60" t="s">
        <v>513</v>
      </c>
      <c r="B1" s="57"/>
      <c r="C1" s="57"/>
      <c r="D1" s="57"/>
      <c r="E1" s="57"/>
      <c r="F1" s="57"/>
      <c r="G1" s="57"/>
      <c r="H1" s="57"/>
      <c r="I1" s="57"/>
      <c r="J1" s="57"/>
      <c r="K1" s="57"/>
    </row>
    <row r="2" spans="1:11" ht="31.95" customHeight="1">
      <c r="A2" s="59" t="s">
        <v>514</v>
      </c>
      <c r="B2" s="57"/>
      <c r="C2" s="57"/>
      <c r="D2" s="57"/>
      <c r="E2" s="57"/>
      <c r="F2" s="57"/>
      <c r="G2" s="57"/>
      <c r="H2" s="57"/>
      <c r="I2" s="57"/>
      <c r="J2" s="57"/>
      <c r="K2" s="57"/>
    </row>
    <row r="4" spans="1:11" ht="31.95" customHeight="1">
      <c r="A4" s="1" t="s">
        <v>81</v>
      </c>
      <c r="B4" s="1" t="s">
        <v>515</v>
      </c>
      <c r="C4" s="1" t="s">
        <v>516</v>
      </c>
      <c r="D4" s="1" t="s">
        <v>517</v>
      </c>
      <c r="E4" s="1" t="s">
        <v>518</v>
      </c>
      <c r="F4" s="1" t="s">
        <v>519</v>
      </c>
      <c r="G4" s="1" t="s">
        <v>520</v>
      </c>
      <c r="H4" s="1" t="s">
        <v>521</v>
      </c>
      <c r="I4" s="1" t="s">
        <v>522</v>
      </c>
      <c r="J4" s="1" t="s">
        <v>523</v>
      </c>
      <c r="K4" s="1" t="s">
        <v>524</v>
      </c>
    </row>
    <row r="5" spans="1:11" ht="36" customHeight="1">
      <c r="A5" s="2" t="s">
        <v>88</v>
      </c>
      <c r="B5" s="2" t="s">
        <v>525</v>
      </c>
      <c r="C5" s="6" t="s">
        <v>526</v>
      </c>
      <c r="D5" s="2" t="s">
        <v>527</v>
      </c>
      <c r="E5" s="2" t="s">
        <v>86</v>
      </c>
      <c r="F5" s="2" t="s">
        <v>221</v>
      </c>
      <c r="G5" s="2" t="s">
        <v>528</v>
      </c>
      <c r="H5" s="7" t="s">
        <v>529</v>
      </c>
      <c r="I5" s="5">
        <v>82584</v>
      </c>
      <c r="J5" s="2" t="s">
        <v>530</v>
      </c>
      <c r="K5" s="2" t="s">
        <v>531</v>
      </c>
    </row>
    <row r="6" spans="1:11" ht="36" customHeight="1">
      <c r="A6" s="2" t="s">
        <v>146</v>
      </c>
      <c r="B6" s="2" t="s">
        <v>532</v>
      </c>
      <c r="C6" s="6" t="s">
        <v>526</v>
      </c>
      <c r="D6" s="2" t="s">
        <v>267</v>
      </c>
      <c r="E6" s="2" t="s">
        <v>533</v>
      </c>
      <c r="F6" s="2" t="s">
        <v>534</v>
      </c>
      <c r="G6" s="2" t="s">
        <v>535</v>
      </c>
      <c r="H6" s="7" t="s">
        <v>275</v>
      </c>
      <c r="I6" s="5"/>
      <c r="J6" s="2" t="s">
        <v>536</v>
      </c>
      <c r="K6" s="2" t="s">
        <v>537</v>
      </c>
    </row>
    <row r="7" spans="1:11" ht="36" customHeight="1">
      <c r="A7" s="2" t="s">
        <v>193</v>
      </c>
      <c r="B7" s="2" t="s">
        <v>538</v>
      </c>
      <c r="C7" s="6" t="s">
        <v>526</v>
      </c>
      <c r="D7" s="2" t="s">
        <v>539</v>
      </c>
      <c r="E7" s="2" t="s">
        <v>100</v>
      </c>
      <c r="F7" s="2" t="s">
        <v>234</v>
      </c>
      <c r="G7" s="2" t="s">
        <v>540</v>
      </c>
      <c r="H7" s="7" t="s">
        <v>541</v>
      </c>
      <c r="I7" s="5">
        <v>74758</v>
      </c>
      <c r="J7" s="2" t="s">
        <v>542</v>
      </c>
      <c r="K7" s="2" t="s">
        <v>543</v>
      </c>
    </row>
    <row r="8" spans="1:11" ht="36" customHeight="1">
      <c r="A8" s="2" t="s">
        <v>117</v>
      </c>
      <c r="B8" s="2" t="s">
        <v>544</v>
      </c>
      <c r="C8" s="6" t="s">
        <v>526</v>
      </c>
      <c r="D8" s="2" t="s">
        <v>545</v>
      </c>
      <c r="E8" s="2" t="s">
        <v>116</v>
      </c>
      <c r="F8" s="2" t="s">
        <v>246</v>
      </c>
      <c r="G8" s="2" t="s">
        <v>546</v>
      </c>
      <c r="H8" s="7" t="s">
        <v>547</v>
      </c>
      <c r="I8" s="5">
        <v>439362</v>
      </c>
      <c r="J8" s="2" t="s">
        <v>548</v>
      </c>
      <c r="K8" s="2" t="s">
        <v>549</v>
      </c>
    </row>
  </sheetData>
  <mergeCells count="2">
    <mergeCell ref="A2:K2"/>
    <mergeCell ref="A1:K1"/>
  </mergeCells>
  <phoneticPr fontId="16" type="noConversion"/>
  <hyperlinks>
    <hyperlink ref="H5" r:id="rId1" xr:uid="{00000000-0004-0000-0800-000000000000}"/>
    <hyperlink ref="H6" r:id="rId2" location="all/19fbbcf551b788e4" xr:uid="{00000000-0004-0000-0800-000001000000}"/>
    <hyperlink ref="H7" r:id="rId3" xr:uid="{00000000-0004-0000-0800-000002000000}"/>
    <hyperlink ref="H8" r:id="rId4" xr:uid="{00000000-0004-0000-0800-000003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A5A5A5"/>
  </sheetPr>
  <dimension ref="A1:J9"/>
  <sheetViews>
    <sheetView showGridLines="0" workbookViewId="0">
      <selection sqref="A1:J1"/>
    </sheetView>
  </sheetViews>
  <sheetFormatPr defaultRowHeight="14.4"/>
  <cols>
    <col min="1" max="1" width="14" customWidth="1"/>
    <col min="2" max="3" width="22" customWidth="1"/>
    <col min="4" max="4" width="35" customWidth="1"/>
    <col min="5" max="5" width="40" customWidth="1"/>
    <col min="6" max="6" width="29" customWidth="1"/>
    <col min="7" max="7" width="62" customWidth="1"/>
    <col min="8" max="8" width="29" customWidth="1"/>
    <col min="9" max="9" width="50" customWidth="1"/>
    <col min="10" max="10" width="42" customWidth="1"/>
  </cols>
  <sheetData>
    <row r="1" spans="1:10" ht="34.049999999999997" customHeight="1">
      <c r="A1" s="60" t="s">
        <v>550</v>
      </c>
      <c r="B1" s="57"/>
      <c r="C1" s="57"/>
      <c r="D1" s="57"/>
      <c r="E1" s="57"/>
      <c r="F1" s="57"/>
      <c r="G1" s="57"/>
      <c r="H1" s="57"/>
      <c r="I1" s="57"/>
      <c r="J1" s="57"/>
    </row>
    <row r="2" spans="1:10" ht="31.95" customHeight="1">
      <c r="A2" s="59" t="s">
        <v>551</v>
      </c>
      <c r="B2" s="57"/>
      <c r="C2" s="57"/>
      <c r="D2" s="57"/>
      <c r="E2" s="57"/>
      <c r="F2" s="57"/>
      <c r="G2" s="57"/>
      <c r="H2" s="57"/>
      <c r="I2" s="57"/>
      <c r="J2" s="57"/>
    </row>
    <row r="4" spans="1:10" ht="31.95" customHeight="1">
      <c r="A4" s="1" t="s">
        <v>552</v>
      </c>
      <c r="B4" s="1" t="s">
        <v>259</v>
      </c>
      <c r="C4" s="1" t="s">
        <v>261</v>
      </c>
      <c r="D4" s="1" t="s">
        <v>553</v>
      </c>
      <c r="E4" s="1" t="s">
        <v>554</v>
      </c>
      <c r="F4" s="1" t="s">
        <v>555</v>
      </c>
      <c r="G4" s="1" t="s">
        <v>556</v>
      </c>
      <c r="H4" s="1" t="s">
        <v>557</v>
      </c>
      <c r="I4" s="1" t="s">
        <v>558</v>
      </c>
      <c r="J4" s="1" t="s">
        <v>559</v>
      </c>
    </row>
    <row r="5" spans="1:10" ht="36" customHeight="1">
      <c r="A5" s="6" t="s">
        <v>560</v>
      </c>
      <c r="B5" s="2" t="s">
        <v>260</v>
      </c>
      <c r="C5" s="2" t="s">
        <v>260</v>
      </c>
      <c r="D5" s="2" t="s">
        <v>271</v>
      </c>
      <c r="E5" s="2" t="s">
        <v>263</v>
      </c>
      <c r="F5" s="2" t="s">
        <v>265</v>
      </c>
      <c r="G5" s="2" t="s">
        <v>267</v>
      </c>
      <c r="H5" s="2" t="s">
        <v>561</v>
      </c>
      <c r="I5" s="2" t="s">
        <v>539</v>
      </c>
      <c r="J5" s="2" t="s">
        <v>562</v>
      </c>
    </row>
    <row r="6" spans="1:10" ht="36" customHeight="1">
      <c r="A6" s="8" t="s">
        <v>563</v>
      </c>
      <c r="B6" s="2" t="s">
        <v>564</v>
      </c>
      <c r="C6" s="2" t="s">
        <v>564</v>
      </c>
      <c r="D6" s="2" t="s">
        <v>565</v>
      </c>
      <c r="E6" s="2" t="s">
        <v>566</v>
      </c>
      <c r="F6" s="2" t="s">
        <v>265</v>
      </c>
      <c r="G6" s="2" t="s">
        <v>567</v>
      </c>
      <c r="H6" s="2" t="s">
        <v>568</v>
      </c>
      <c r="I6" s="2" t="s">
        <v>539</v>
      </c>
      <c r="J6" s="2" t="s">
        <v>569</v>
      </c>
    </row>
    <row r="7" spans="1:10" ht="36" customHeight="1">
      <c r="A7" s="8" t="s">
        <v>563</v>
      </c>
      <c r="B7" s="2" t="s">
        <v>570</v>
      </c>
      <c r="C7" s="2" t="s">
        <v>570</v>
      </c>
      <c r="D7" s="2" t="s">
        <v>565</v>
      </c>
      <c r="E7" s="2" t="s">
        <v>566</v>
      </c>
      <c r="F7" s="2" t="s">
        <v>265</v>
      </c>
      <c r="G7" s="2" t="s">
        <v>571</v>
      </c>
      <c r="H7" s="2" t="s">
        <v>572</v>
      </c>
      <c r="I7" s="2" t="s">
        <v>539</v>
      </c>
      <c r="J7" s="2" t="s">
        <v>573</v>
      </c>
    </row>
    <row r="8" spans="1:10" ht="36" customHeight="1">
      <c r="A8" s="8" t="s">
        <v>563</v>
      </c>
      <c r="B8" s="2" t="s">
        <v>574</v>
      </c>
      <c r="C8" s="2" t="s">
        <v>574</v>
      </c>
      <c r="D8" s="2" t="s">
        <v>565</v>
      </c>
      <c r="E8" s="2" t="s">
        <v>566</v>
      </c>
      <c r="F8" s="2" t="s">
        <v>265</v>
      </c>
      <c r="G8" s="2" t="s">
        <v>575</v>
      </c>
      <c r="H8" s="2" t="s">
        <v>576</v>
      </c>
      <c r="I8" s="2" t="s">
        <v>577</v>
      </c>
      <c r="J8" s="2" t="s">
        <v>578</v>
      </c>
    </row>
    <row r="9" spans="1:10" ht="36" customHeight="1">
      <c r="A9" s="8" t="s">
        <v>563</v>
      </c>
      <c r="B9" s="2" t="s">
        <v>579</v>
      </c>
      <c r="C9" s="2" t="s">
        <v>580</v>
      </c>
      <c r="D9" s="2" t="s">
        <v>565</v>
      </c>
      <c r="E9" s="2" t="s">
        <v>566</v>
      </c>
      <c r="F9" s="2" t="s">
        <v>581</v>
      </c>
      <c r="G9" s="2" t="s">
        <v>582</v>
      </c>
      <c r="H9" s="2" t="s">
        <v>583</v>
      </c>
      <c r="I9" s="2" t="s">
        <v>584</v>
      </c>
      <c r="J9" s="2" t="s">
        <v>585</v>
      </c>
    </row>
  </sheetData>
  <mergeCells count="2">
    <mergeCell ref="A1:J1"/>
    <mergeCell ref="A2:J2"/>
  </mergeCells>
  <phoneticPr fontId="1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U50"/>
  <sheetViews>
    <sheetView showGridLines="0" tabSelected="1" workbookViewId="0">
      <selection activeCell="H13" sqref="H13"/>
    </sheetView>
  </sheetViews>
  <sheetFormatPr defaultRowHeight="14.4"/>
  <cols>
    <col min="1" max="1" width="23" customWidth="1"/>
    <col min="2" max="2" width="25" customWidth="1"/>
    <col min="3" max="3" width="15" customWidth="1"/>
    <col min="4" max="4" width="16" customWidth="1"/>
    <col min="5" max="6" width="14" customWidth="1"/>
    <col min="7" max="9" width="15" customWidth="1"/>
    <col min="10" max="10" width="13" customWidth="1"/>
    <col min="11" max="11" width="20" customWidth="1"/>
    <col min="14" max="21" width="2" customWidth="1"/>
  </cols>
  <sheetData>
    <row r="1" spans="1:21" ht="34.049999999999997" customHeight="1">
      <c r="A1" s="62" t="s">
        <v>586</v>
      </c>
      <c r="B1" s="63"/>
      <c r="C1" s="62"/>
      <c r="D1" s="63"/>
      <c r="E1" s="62"/>
      <c r="F1" s="62"/>
      <c r="G1" s="62"/>
      <c r="H1" s="62"/>
      <c r="I1" s="62"/>
      <c r="J1" s="62"/>
      <c r="K1" s="63"/>
      <c r="N1" s="45"/>
      <c r="O1" s="45"/>
      <c r="P1" s="45"/>
      <c r="Q1" s="45"/>
      <c r="R1" s="45"/>
      <c r="S1" s="45"/>
      <c r="T1" s="45"/>
      <c r="U1" s="45"/>
    </row>
    <row r="2" spans="1:21" ht="28.05" customHeight="1">
      <c r="A2" s="64" t="s">
        <v>587</v>
      </c>
      <c r="B2" s="64"/>
      <c r="C2" s="64"/>
      <c r="D2" s="64"/>
      <c r="E2" s="64"/>
      <c r="F2" s="64"/>
      <c r="G2" s="64"/>
      <c r="H2" s="64"/>
      <c r="I2" s="64"/>
      <c r="J2" s="64"/>
      <c r="K2" s="64"/>
      <c r="N2" s="45"/>
      <c r="O2" s="45"/>
      <c r="P2" s="45"/>
      <c r="Q2" s="45"/>
      <c r="R2" s="45"/>
      <c r="S2" s="45"/>
      <c r="T2" s="45"/>
      <c r="U2" s="45"/>
    </row>
    <row r="3" spans="1:21">
      <c r="N3" s="45"/>
      <c r="O3" s="45"/>
      <c r="P3" s="45"/>
      <c r="Q3" s="45"/>
      <c r="R3" s="45"/>
      <c r="S3" s="45"/>
      <c r="T3" s="45"/>
      <c r="U3" s="45"/>
    </row>
    <row r="4" spans="1:21">
      <c r="A4" s="65" t="s">
        <v>28</v>
      </c>
      <c r="B4" s="65" t="s">
        <v>28</v>
      </c>
      <c r="C4" s="65" t="s">
        <v>28</v>
      </c>
      <c r="D4" s="65" t="s">
        <v>28</v>
      </c>
      <c r="F4" s="65" t="s">
        <v>588</v>
      </c>
      <c r="G4" s="65" t="s">
        <v>588</v>
      </c>
      <c r="H4" s="65" t="s">
        <v>588</v>
      </c>
      <c r="I4" s="65" t="s">
        <v>588</v>
      </c>
      <c r="N4" s="45"/>
      <c r="O4" s="45"/>
      <c r="P4" s="45"/>
      <c r="Q4" s="45"/>
      <c r="R4" s="45"/>
      <c r="S4" s="45"/>
      <c r="T4" s="45"/>
      <c r="U4" s="45"/>
    </row>
    <row r="5" spans="1:21">
      <c r="A5" s="27" t="s">
        <v>40</v>
      </c>
      <c r="B5" s="29">
        <v>31.8</v>
      </c>
      <c r="C5" s="23" t="s">
        <v>41</v>
      </c>
      <c r="D5" s="24" t="s">
        <v>589</v>
      </c>
      <c r="F5" s="27" t="s">
        <v>590</v>
      </c>
      <c r="G5" s="35">
        <f>SUM($F$40:$F$42)</f>
        <v>0</v>
      </c>
      <c r="H5" s="23" t="s">
        <v>87</v>
      </c>
      <c r="I5" s="24" t="s">
        <v>591</v>
      </c>
      <c r="N5" s="45"/>
      <c r="O5" s="45"/>
      <c r="P5" s="45"/>
      <c r="Q5" s="45"/>
      <c r="R5" s="45"/>
      <c r="S5" s="45"/>
      <c r="T5" s="45"/>
      <c r="U5" s="45"/>
    </row>
    <row r="6" spans="1:21">
      <c r="A6" s="28" t="s">
        <v>592</v>
      </c>
      <c r="B6" s="30">
        <v>46253</v>
      </c>
      <c r="C6" s="25" t="s">
        <v>593</v>
      </c>
      <c r="D6" s="26" t="s">
        <v>594</v>
      </c>
      <c r="F6" s="33" t="s">
        <v>595</v>
      </c>
      <c r="G6" s="36">
        <f>SUM($D$40:$D$42)</f>
        <v>0</v>
      </c>
      <c r="H6" s="31" t="s">
        <v>87</v>
      </c>
      <c r="I6" s="32"/>
      <c r="N6" s="45"/>
      <c r="O6" s="45"/>
      <c r="P6" s="45"/>
      <c r="Q6" s="45"/>
      <c r="R6" s="45"/>
      <c r="S6" s="45"/>
      <c r="T6" s="45"/>
      <c r="U6" s="45"/>
    </row>
    <row r="7" spans="1:21">
      <c r="F7" s="33" t="s">
        <v>596</v>
      </c>
      <c r="G7" s="36">
        <f>SUM($E$40:$E$42)</f>
        <v>0</v>
      </c>
      <c r="H7" s="31" t="s">
        <v>87</v>
      </c>
      <c r="I7" s="32"/>
      <c r="N7" s="45"/>
      <c r="O7" s="45"/>
      <c r="P7" s="45"/>
      <c r="Q7" s="45"/>
      <c r="R7" s="45"/>
      <c r="S7" s="45"/>
      <c r="T7" s="45"/>
      <c r="U7" s="45"/>
    </row>
    <row r="8" spans="1:21">
      <c r="F8" s="33" t="s">
        <v>597</v>
      </c>
      <c r="G8" s="37" t="str">
        <f>IF(SUM($E$20:$E$35)=0,"",MAX($U$20:$U$35))</f>
        <v/>
      </c>
      <c r="H8" s="31"/>
      <c r="I8" s="32"/>
      <c r="N8" s="45"/>
      <c r="O8" s="45"/>
      <c r="P8" s="45"/>
      <c r="Q8" s="45"/>
      <c r="R8" s="45"/>
      <c r="S8" s="45"/>
      <c r="T8" s="45"/>
      <c r="U8" s="45"/>
    </row>
    <row r="9" spans="1:21">
      <c r="A9" s="65" t="s">
        <v>598</v>
      </c>
      <c r="B9" s="65" t="s">
        <v>598</v>
      </c>
      <c r="C9" s="65" t="s">
        <v>598</v>
      </c>
      <c r="F9" s="28" t="s">
        <v>599</v>
      </c>
      <c r="G9" s="34" t="str">
        <f>IF(COUNT($C$11:$C$15)&lt;5,"請填完需求量",IF(SUM(ABS($T$11),ABS($T$12),ABS($T$13),ABS($T$14),ABS($T$15))=0,"最佳化完成","尚未求解／不可行"))</f>
        <v>請填完需求量</v>
      </c>
      <c r="H9" s="25"/>
      <c r="I9" s="26"/>
      <c r="N9" s="45"/>
      <c r="O9" s="45"/>
      <c r="P9" s="45"/>
      <c r="Q9" s="45"/>
      <c r="R9" s="45"/>
      <c r="S9" s="45"/>
      <c r="T9" s="45"/>
      <c r="U9" s="45"/>
    </row>
    <row r="10" spans="1:21">
      <c r="A10" s="38" t="s">
        <v>45</v>
      </c>
      <c r="B10" s="38" t="s">
        <v>46</v>
      </c>
      <c r="C10" s="38" t="s">
        <v>47</v>
      </c>
      <c r="N10" s="45"/>
      <c r="O10" s="45"/>
      <c r="P10" s="45"/>
      <c r="Q10" s="45"/>
      <c r="R10" s="45"/>
      <c r="S10" s="45"/>
      <c r="T10" s="45"/>
      <c r="U10" s="45"/>
    </row>
    <row r="11" spans="1:21" ht="25.95" customHeight="1">
      <c r="A11" s="46" t="s">
        <v>50</v>
      </c>
      <c r="B11" s="31" t="s">
        <v>51</v>
      </c>
      <c r="C11" s="39"/>
      <c r="N11" s="45"/>
      <c r="O11" s="45"/>
      <c r="P11" s="45"/>
      <c r="Q11" s="45"/>
      <c r="R11" s="45"/>
      <c r="S11" s="45">
        <f>SUMIF($C$20:$C$35,$B11,$E$20:$E$35)</f>
        <v>0</v>
      </c>
      <c r="T11" s="45">
        <f>S11-C11</f>
        <v>0</v>
      </c>
      <c r="U11" s="45"/>
    </row>
    <row r="12" spans="1:21" ht="25.95" customHeight="1">
      <c r="A12" s="46" t="s">
        <v>55</v>
      </c>
      <c r="B12" s="31" t="s">
        <v>56</v>
      </c>
      <c r="C12" s="39"/>
      <c r="N12" s="45"/>
      <c r="O12" s="45"/>
      <c r="P12" s="45"/>
      <c r="Q12" s="45"/>
      <c r="R12" s="45"/>
      <c r="S12" s="45">
        <f>SUMIF($C$20:$C$35,$B12,$E$20:$E$35)</f>
        <v>0</v>
      </c>
      <c r="T12" s="45">
        <f>S12-C12</f>
        <v>0</v>
      </c>
      <c r="U12" s="45"/>
    </row>
    <row r="13" spans="1:21" ht="25.95" customHeight="1">
      <c r="A13" s="46" t="s">
        <v>57</v>
      </c>
      <c r="B13" s="31" t="s">
        <v>58</v>
      </c>
      <c r="C13" s="39"/>
      <c r="N13" s="45"/>
      <c r="O13" s="45"/>
      <c r="P13" s="45"/>
      <c r="Q13" s="45"/>
      <c r="R13" s="45"/>
      <c r="S13" s="45">
        <f>SUMIF($C$20:$C$35,$B13,$E$20:$E$35)</f>
        <v>0</v>
      </c>
      <c r="T13" s="45">
        <f>S13-C13</f>
        <v>0</v>
      </c>
      <c r="U13" s="45"/>
    </row>
    <row r="14" spans="1:21" ht="25.95" customHeight="1">
      <c r="A14" s="46" t="s">
        <v>59</v>
      </c>
      <c r="B14" s="31" t="s">
        <v>60</v>
      </c>
      <c r="C14" s="39"/>
      <c r="N14" s="45"/>
      <c r="O14" s="45"/>
      <c r="P14" s="45"/>
      <c r="Q14" s="45"/>
      <c r="R14" s="45"/>
      <c r="S14" s="45">
        <f>SUMIF($C$20:$C$35,$B14,$E$20:$E$35)</f>
        <v>0</v>
      </c>
      <c r="T14" s="45">
        <f>S14-C14</f>
        <v>0</v>
      </c>
      <c r="U14" s="45"/>
    </row>
    <row r="15" spans="1:21" ht="25.95" customHeight="1">
      <c r="A15" s="46" t="s">
        <v>61</v>
      </c>
      <c r="B15" s="31" t="s">
        <v>62</v>
      </c>
      <c r="C15" s="39"/>
      <c r="N15" s="45"/>
      <c r="O15" s="45"/>
      <c r="P15" s="45"/>
      <c r="Q15" s="45"/>
      <c r="R15" s="45"/>
      <c r="S15" s="45">
        <f>SUMIF($C$20:$C$35,$B15,$E$20:$E$35)</f>
        <v>0</v>
      </c>
      <c r="T15" s="45">
        <f>S15-C15</f>
        <v>0</v>
      </c>
      <c r="U15" s="45"/>
    </row>
    <row r="16" spans="1:21">
      <c r="N16" s="45"/>
      <c r="O16" s="45"/>
      <c r="P16" s="45"/>
      <c r="Q16" s="45"/>
      <c r="R16" s="45"/>
      <c r="S16" s="45"/>
      <c r="T16" s="45"/>
      <c r="U16" s="45"/>
    </row>
    <row r="17" spans="1:21">
      <c r="N17" s="45"/>
      <c r="O17" s="45"/>
      <c r="P17" s="45"/>
      <c r="Q17" s="45"/>
      <c r="R17" s="45"/>
      <c r="S17" s="45"/>
      <c r="T17" s="45"/>
      <c r="U17" s="45"/>
    </row>
    <row r="18" spans="1:21">
      <c r="A18" s="65" t="s">
        <v>600</v>
      </c>
      <c r="B18" s="65" t="s">
        <v>600</v>
      </c>
      <c r="C18" s="65" t="s">
        <v>600</v>
      </c>
      <c r="D18" s="65" t="s">
        <v>600</v>
      </c>
      <c r="E18" s="65" t="s">
        <v>600</v>
      </c>
      <c r="F18" s="65" t="s">
        <v>600</v>
      </c>
      <c r="G18" s="65" t="s">
        <v>600</v>
      </c>
      <c r="H18" s="65" t="s">
        <v>600</v>
      </c>
      <c r="I18" s="65" t="s">
        <v>600</v>
      </c>
      <c r="J18" s="65" t="s">
        <v>600</v>
      </c>
      <c r="K18" s="65" t="s">
        <v>600</v>
      </c>
      <c r="N18" s="45"/>
      <c r="O18" s="45"/>
      <c r="P18" s="45"/>
      <c r="Q18" s="45"/>
      <c r="R18" s="45"/>
      <c r="S18" s="45"/>
      <c r="T18" s="45"/>
      <c r="U18" s="45"/>
    </row>
    <row r="19" spans="1:21" ht="37.950000000000003" customHeight="1">
      <c r="A19" s="40" t="s">
        <v>65</v>
      </c>
      <c r="B19" s="40" t="s">
        <v>66</v>
      </c>
      <c r="C19" s="40" t="s">
        <v>46</v>
      </c>
      <c r="D19" s="40" t="s">
        <v>601</v>
      </c>
      <c r="E19" s="40" t="s">
        <v>602</v>
      </c>
      <c r="F19" s="40" t="s">
        <v>603</v>
      </c>
      <c r="G19" s="40" t="s">
        <v>73</v>
      </c>
      <c r="H19" s="40" t="s">
        <v>604</v>
      </c>
      <c r="I19" s="40" t="s">
        <v>605</v>
      </c>
      <c r="J19" s="40" t="s">
        <v>158</v>
      </c>
      <c r="K19" s="40" t="s">
        <v>157</v>
      </c>
      <c r="N19" s="45"/>
      <c r="O19" s="45"/>
      <c r="P19" s="45"/>
      <c r="Q19" s="45"/>
      <c r="R19" s="45"/>
      <c r="S19" s="45"/>
      <c r="T19" s="45"/>
      <c r="U19" s="45"/>
    </row>
    <row r="20" spans="1:21">
      <c r="A20" s="31" t="s">
        <v>85</v>
      </c>
      <c r="B20" s="31" t="s">
        <v>86</v>
      </c>
      <c r="C20" s="31" t="s">
        <v>51</v>
      </c>
      <c r="D20" s="31" t="s">
        <v>606</v>
      </c>
      <c r="E20" s="41">
        <v>0</v>
      </c>
      <c r="F20" s="42">
        <f>IF(I20&lt;=$B$6,標準化明細!$F$5,0)</f>
        <v>150</v>
      </c>
      <c r="G20" s="43">
        <f>標準化明細!$J$5</f>
        <v>360</v>
      </c>
      <c r="H20" s="43">
        <f t="shared" ref="H20:H35" si="0">E20*G20</f>
        <v>0</v>
      </c>
      <c r="I20" s="44">
        <f>標準化明細!$P$5</f>
        <v>46246</v>
      </c>
      <c r="J20" s="31" t="str">
        <f t="shared" ref="J20:J35" si="1">IF(E20=0,"",IF(E20&lt;=F20,"可採購","超出上限"))</f>
        <v/>
      </c>
      <c r="K20" s="31" t="str">
        <f>標準化明細!$T$5</f>
        <v>SRC-A-PDF</v>
      </c>
      <c r="N20" s="45"/>
      <c r="O20" s="45"/>
      <c r="P20" s="45"/>
      <c r="Q20" s="45"/>
      <c r="R20" s="45"/>
      <c r="S20" s="45"/>
      <c r="T20" s="45"/>
      <c r="U20" s="45">
        <f t="shared" ref="U20:U35" si="2">IF(E20&gt;0,I20,0)</f>
        <v>0</v>
      </c>
    </row>
    <row r="21" spans="1:21">
      <c r="A21" s="31" t="s">
        <v>85</v>
      </c>
      <c r="B21" s="31" t="s">
        <v>86</v>
      </c>
      <c r="C21" s="31" t="s">
        <v>56</v>
      </c>
      <c r="D21" s="31" t="s">
        <v>606</v>
      </c>
      <c r="E21" s="41">
        <v>0</v>
      </c>
      <c r="F21" s="42">
        <f>IF(I21&lt;=$B$6,標準化明細!$F$6,0)</f>
        <v>80</v>
      </c>
      <c r="G21" s="43">
        <f>標準化明細!$J$6</f>
        <v>1420</v>
      </c>
      <c r="H21" s="43">
        <f t="shared" si="0"/>
        <v>0</v>
      </c>
      <c r="I21" s="44">
        <f>標準化明細!$P$6</f>
        <v>46246</v>
      </c>
      <c r="J21" s="31" t="str">
        <f t="shared" si="1"/>
        <v/>
      </c>
      <c r="K21" s="31" t="str">
        <f>標準化明細!$T$6</f>
        <v>SRC-A-PDF</v>
      </c>
      <c r="N21" s="45"/>
      <c r="O21" s="45"/>
      <c r="P21" s="45"/>
      <c r="Q21" s="45"/>
      <c r="R21" s="45"/>
      <c r="S21" s="45"/>
      <c r="T21" s="45"/>
      <c r="U21" s="45">
        <f t="shared" si="2"/>
        <v>0</v>
      </c>
    </row>
    <row r="22" spans="1:21">
      <c r="A22" s="31" t="s">
        <v>85</v>
      </c>
      <c r="B22" s="31" t="s">
        <v>86</v>
      </c>
      <c r="C22" s="31" t="s">
        <v>58</v>
      </c>
      <c r="D22" s="31" t="s">
        <v>606</v>
      </c>
      <c r="E22" s="41">
        <v>0</v>
      </c>
      <c r="F22" s="42">
        <f>IF(I22&lt;=$B$6,標準化明細!$F$7,0)</f>
        <v>60</v>
      </c>
      <c r="G22" s="43">
        <f>標準化明細!$J$7</f>
        <v>880</v>
      </c>
      <c r="H22" s="43">
        <f t="shared" si="0"/>
        <v>0</v>
      </c>
      <c r="I22" s="44">
        <f>標準化明細!$P$7</f>
        <v>46246</v>
      </c>
      <c r="J22" s="31" t="str">
        <f t="shared" si="1"/>
        <v/>
      </c>
      <c r="K22" s="31" t="str">
        <f>標準化明細!$T$7</f>
        <v>SRC-A-PDF</v>
      </c>
      <c r="N22" s="45"/>
      <c r="O22" s="45"/>
      <c r="P22" s="45"/>
      <c r="Q22" s="45"/>
      <c r="R22" s="45"/>
      <c r="S22" s="45"/>
      <c r="T22" s="45"/>
      <c r="U22" s="45">
        <f t="shared" si="2"/>
        <v>0</v>
      </c>
    </row>
    <row r="23" spans="1:21">
      <c r="A23" s="31" t="s">
        <v>85</v>
      </c>
      <c r="B23" s="31" t="s">
        <v>86</v>
      </c>
      <c r="C23" s="31" t="s">
        <v>60</v>
      </c>
      <c r="D23" s="31" t="s">
        <v>606</v>
      </c>
      <c r="E23" s="41">
        <v>0</v>
      </c>
      <c r="F23" s="42">
        <f>IF(I23&lt;=$B$6,標準化明細!$F$8,0)</f>
        <v>50</v>
      </c>
      <c r="G23" s="43">
        <f>標準化明細!$J$8</f>
        <v>760</v>
      </c>
      <c r="H23" s="43">
        <f t="shared" si="0"/>
        <v>0</v>
      </c>
      <c r="I23" s="44">
        <f>標準化明細!$P$8</f>
        <v>46246</v>
      </c>
      <c r="J23" s="31" t="str">
        <f t="shared" si="1"/>
        <v/>
      </c>
      <c r="K23" s="31" t="str">
        <f>標準化明細!$T$8</f>
        <v>SRC-A-PDF</v>
      </c>
      <c r="N23" s="45"/>
      <c r="O23" s="45"/>
      <c r="P23" s="45"/>
      <c r="Q23" s="45"/>
      <c r="R23" s="45"/>
      <c r="S23" s="45"/>
      <c r="T23" s="45"/>
      <c r="U23" s="45">
        <f t="shared" si="2"/>
        <v>0</v>
      </c>
    </row>
    <row r="24" spans="1:21">
      <c r="A24" s="31" t="s">
        <v>85</v>
      </c>
      <c r="B24" s="31" t="s">
        <v>86</v>
      </c>
      <c r="C24" s="31" t="s">
        <v>62</v>
      </c>
      <c r="D24" s="31" t="s">
        <v>606</v>
      </c>
      <c r="E24" s="41">
        <v>0</v>
      </c>
      <c r="F24" s="42">
        <f>IF(I24&lt;=$B$6,標準化明細!$F$9,0)</f>
        <v>20</v>
      </c>
      <c r="G24" s="43">
        <f>標準化明細!$J$9</f>
        <v>2150</v>
      </c>
      <c r="H24" s="43">
        <f t="shared" si="0"/>
        <v>0</v>
      </c>
      <c r="I24" s="44">
        <f>標準化明細!$P$9</f>
        <v>46246</v>
      </c>
      <c r="J24" s="31" t="str">
        <f t="shared" si="1"/>
        <v/>
      </c>
      <c r="K24" s="31" t="str">
        <f>標準化明細!$T$9</f>
        <v>SRC-A-PDF</v>
      </c>
      <c r="N24" s="45"/>
      <c r="O24" s="45"/>
      <c r="P24" s="45"/>
      <c r="Q24" s="45"/>
      <c r="R24" s="45"/>
      <c r="S24" s="45"/>
      <c r="T24" s="45"/>
      <c r="U24" s="45">
        <f t="shared" si="2"/>
        <v>0</v>
      </c>
    </row>
    <row r="25" spans="1:21">
      <c r="A25" s="31" t="s">
        <v>99</v>
      </c>
      <c r="B25" s="31" t="s">
        <v>100</v>
      </c>
      <c r="C25" s="31" t="s">
        <v>51</v>
      </c>
      <c r="D25" s="31" t="s">
        <v>606</v>
      </c>
      <c r="E25" s="41">
        <v>0</v>
      </c>
      <c r="F25" s="42">
        <f>IF(I25&lt;=$B$6,標準化明細!$F$10,0)</f>
        <v>120</v>
      </c>
      <c r="G25" s="43">
        <f>標準化明細!$J$10*$B$5</f>
        <v>311.64000000000004</v>
      </c>
      <c r="H25" s="43">
        <f t="shared" si="0"/>
        <v>0</v>
      </c>
      <c r="I25" s="44">
        <f>標準化明細!$P$10</f>
        <v>46253</v>
      </c>
      <c r="J25" s="31" t="str">
        <f t="shared" si="1"/>
        <v/>
      </c>
      <c r="K25" s="31" t="str">
        <f>標準化明細!$T$10</f>
        <v>SRC-B-ATT／MAIL-B</v>
      </c>
      <c r="N25" s="45"/>
      <c r="O25" s="45"/>
      <c r="P25" s="45"/>
      <c r="Q25" s="45"/>
      <c r="R25" s="45"/>
      <c r="S25" s="45"/>
      <c r="T25" s="45"/>
      <c r="U25" s="45">
        <f t="shared" si="2"/>
        <v>0</v>
      </c>
    </row>
    <row r="26" spans="1:21">
      <c r="A26" s="31" t="s">
        <v>99</v>
      </c>
      <c r="B26" s="31" t="s">
        <v>100</v>
      </c>
      <c r="C26" s="31" t="s">
        <v>56</v>
      </c>
      <c r="D26" s="31" t="s">
        <v>606</v>
      </c>
      <c r="E26" s="41">
        <v>0</v>
      </c>
      <c r="F26" s="42">
        <f>IF(I26&lt;=$B$6,標準化明細!$F$11,0)</f>
        <v>45</v>
      </c>
      <c r="G26" s="43">
        <f>標準化明細!$J$11*$B$5</f>
        <v>1192.5</v>
      </c>
      <c r="H26" s="43">
        <f t="shared" si="0"/>
        <v>0</v>
      </c>
      <c r="I26" s="44">
        <f>標準化明細!$P$11</f>
        <v>46253</v>
      </c>
      <c r="J26" s="31" t="str">
        <f t="shared" si="1"/>
        <v/>
      </c>
      <c r="K26" s="31" t="str">
        <f>標準化明細!$T$11</f>
        <v>SRC-B-ATT／MAIL-B</v>
      </c>
      <c r="N26" s="45"/>
      <c r="O26" s="45"/>
      <c r="P26" s="45"/>
      <c r="Q26" s="45"/>
      <c r="R26" s="45"/>
      <c r="S26" s="45"/>
      <c r="T26" s="45"/>
      <c r="U26" s="45">
        <f t="shared" si="2"/>
        <v>0</v>
      </c>
    </row>
    <row r="27" spans="1:21">
      <c r="A27" s="31" t="s">
        <v>99</v>
      </c>
      <c r="B27" s="31" t="s">
        <v>100</v>
      </c>
      <c r="C27" s="31" t="s">
        <v>58</v>
      </c>
      <c r="D27" s="31" t="s">
        <v>606</v>
      </c>
      <c r="E27" s="41">
        <v>0</v>
      </c>
      <c r="F27" s="42">
        <f>IF(I27&lt;=$B$6,標準化明細!$F$12,0)</f>
        <v>50</v>
      </c>
      <c r="G27" s="43">
        <f>標準化明細!$J$12*$B$5</f>
        <v>737.76</v>
      </c>
      <c r="H27" s="43">
        <f t="shared" si="0"/>
        <v>0</v>
      </c>
      <c r="I27" s="44">
        <f>標準化明細!$P$12</f>
        <v>46253</v>
      </c>
      <c r="J27" s="31" t="str">
        <f t="shared" si="1"/>
        <v/>
      </c>
      <c r="K27" s="31" t="str">
        <f>標準化明細!$T$12</f>
        <v>SRC-B-ATT／MAIL-B</v>
      </c>
      <c r="N27" s="45"/>
      <c r="O27" s="45"/>
      <c r="P27" s="45"/>
      <c r="Q27" s="45"/>
      <c r="R27" s="45"/>
      <c r="S27" s="45"/>
      <c r="T27" s="45"/>
      <c r="U27" s="45">
        <f t="shared" si="2"/>
        <v>0</v>
      </c>
    </row>
    <row r="28" spans="1:21">
      <c r="A28" s="31" t="s">
        <v>99</v>
      </c>
      <c r="B28" s="31" t="s">
        <v>100</v>
      </c>
      <c r="C28" s="31" t="s">
        <v>60</v>
      </c>
      <c r="D28" s="31" t="s">
        <v>606</v>
      </c>
      <c r="E28" s="41">
        <v>0</v>
      </c>
      <c r="F28" s="42">
        <f>IF(I28&lt;=$B$6,標準化明細!$F$13,0)</f>
        <v>40</v>
      </c>
      <c r="G28" s="43">
        <f>標準化明細!$J$13*$B$5</f>
        <v>651.9</v>
      </c>
      <c r="H28" s="43">
        <f t="shared" si="0"/>
        <v>0</v>
      </c>
      <c r="I28" s="44">
        <f>標準化明細!$P$13</f>
        <v>46253</v>
      </c>
      <c r="J28" s="31" t="str">
        <f t="shared" si="1"/>
        <v/>
      </c>
      <c r="K28" s="31" t="str">
        <f>標準化明細!$T$13</f>
        <v>SRC-B-ATT／MAIL-B</v>
      </c>
      <c r="N28" s="45"/>
      <c r="O28" s="45"/>
      <c r="P28" s="45"/>
      <c r="Q28" s="45"/>
      <c r="R28" s="45"/>
      <c r="S28" s="45"/>
      <c r="T28" s="45"/>
      <c r="U28" s="45">
        <f t="shared" si="2"/>
        <v>0</v>
      </c>
    </row>
    <row r="29" spans="1:21">
      <c r="A29" s="31" t="s">
        <v>99</v>
      </c>
      <c r="B29" s="31" t="s">
        <v>100</v>
      </c>
      <c r="C29" s="31" t="s">
        <v>62</v>
      </c>
      <c r="D29" s="31" t="s">
        <v>607</v>
      </c>
      <c r="E29" s="41">
        <v>0</v>
      </c>
      <c r="F29" s="42">
        <f>IF(I29&lt;=$B$6,標準化明細!$F$14,0)</f>
        <v>4</v>
      </c>
      <c r="G29" s="43">
        <f>標準化明細!$J$14*$B$5</f>
        <v>1653.6000000000001</v>
      </c>
      <c r="H29" s="43">
        <f t="shared" si="0"/>
        <v>0</v>
      </c>
      <c r="I29" s="44">
        <f>標準化明細!$P$14</f>
        <v>46253</v>
      </c>
      <c r="J29" s="31" t="str">
        <f t="shared" si="1"/>
        <v/>
      </c>
      <c r="K29" s="31" t="str">
        <f>標準化明細!$T$14</f>
        <v>SRC-B-ATT／MAIL-B</v>
      </c>
      <c r="N29" s="45"/>
      <c r="O29" s="45"/>
      <c r="P29" s="45"/>
      <c r="Q29" s="45"/>
      <c r="R29" s="45"/>
      <c r="S29" s="45"/>
      <c r="T29" s="45"/>
      <c r="U29" s="45">
        <f t="shared" si="2"/>
        <v>0</v>
      </c>
    </row>
    <row r="30" spans="1:21">
      <c r="A30" s="31" t="s">
        <v>99</v>
      </c>
      <c r="B30" s="31" t="s">
        <v>100</v>
      </c>
      <c r="C30" s="31" t="s">
        <v>62</v>
      </c>
      <c r="D30" s="31" t="s">
        <v>608</v>
      </c>
      <c r="E30" s="41">
        <v>0</v>
      </c>
      <c r="F30" s="42">
        <f>IF(I30&lt;=$B$6,MAX(0,$C$15-標準化明細!$F$14),0)</f>
        <v>0</v>
      </c>
      <c r="G30" s="43">
        <f>標準化明細!$J$14*$B$5</f>
        <v>1653.6000000000001</v>
      </c>
      <c r="H30" s="43">
        <f t="shared" si="0"/>
        <v>0</v>
      </c>
      <c r="I30" s="44">
        <f>標準化明細!$S$14</f>
        <v>46276</v>
      </c>
      <c r="J30" s="31" t="str">
        <f t="shared" si="1"/>
        <v/>
      </c>
      <c r="K30" s="31" t="str">
        <f>標準化明細!$T$14</f>
        <v>SRC-B-ATT／MAIL-B</v>
      </c>
      <c r="N30" s="45"/>
      <c r="O30" s="45"/>
      <c r="P30" s="45"/>
      <c r="Q30" s="45"/>
      <c r="R30" s="45"/>
      <c r="S30" s="45"/>
      <c r="T30" s="45"/>
      <c r="U30" s="45">
        <f t="shared" si="2"/>
        <v>0</v>
      </c>
    </row>
    <row r="31" spans="1:21">
      <c r="A31" s="31" t="s">
        <v>115</v>
      </c>
      <c r="B31" s="31" t="s">
        <v>116</v>
      </c>
      <c r="C31" s="31" t="s">
        <v>51</v>
      </c>
      <c r="D31" s="31" t="s">
        <v>606</v>
      </c>
      <c r="E31" s="41">
        <v>0</v>
      </c>
      <c r="F31" s="42">
        <f>IF(I31&lt;=$B$6,標準化明細!$F$15,0)</f>
        <v>110</v>
      </c>
      <c r="G31" s="43">
        <f>標準化明細!$J$15</f>
        <v>315</v>
      </c>
      <c r="H31" s="43">
        <f t="shared" si="0"/>
        <v>0</v>
      </c>
      <c r="I31" s="44">
        <f>標準化明細!$P$15</f>
        <v>46247</v>
      </c>
      <c r="J31" s="31" t="str">
        <f t="shared" si="1"/>
        <v/>
      </c>
      <c r="K31" s="31" t="str">
        <f>標準化明細!$T$15</f>
        <v>SRC-C-JPG</v>
      </c>
      <c r="N31" s="45"/>
      <c r="O31" s="45"/>
      <c r="P31" s="45"/>
      <c r="Q31" s="45"/>
      <c r="R31" s="45"/>
      <c r="S31" s="45"/>
      <c r="T31" s="45"/>
      <c r="U31" s="45">
        <f t="shared" si="2"/>
        <v>0</v>
      </c>
    </row>
    <row r="32" spans="1:21">
      <c r="A32" s="31" t="s">
        <v>115</v>
      </c>
      <c r="B32" s="31" t="s">
        <v>116</v>
      </c>
      <c r="C32" s="31" t="s">
        <v>56</v>
      </c>
      <c r="D32" s="31" t="s">
        <v>606</v>
      </c>
      <c r="E32" s="41">
        <v>0</v>
      </c>
      <c r="F32" s="42">
        <f>IF(I32&lt;=$B$6,標準化明細!$F$16,0)</f>
        <v>50</v>
      </c>
      <c r="G32" s="43">
        <f>標準化明細!$J$16</f>
        <v>1250</v>
      </c>
      <c r="H32" s="43">
        <f t="shared" si="0"/>
        <v>0</v>
      </c>
      <c r="I32" s="44">
        <f>標準化明細!$P$16</f>
        <v>46247</v>
      </c>
      <c r="J32" s="31" t="str">
        <f t="shared" si="1"/>
        <v/>
      </c>
      <c r="K32" s="31" t="str">
        <f>標準化明細!$T$16</f>
        <v>SRC-C-JPG</v>
      </c>
      <c r="N32" s="45"/>
      <c r="O32" s="45"/>
      <c r="P32" s="45"/>
      <c r="Q32" s="45"/>
      <c r="R32" s="45"/>
      <c r="S32" s="45"/>
      <c r="T32" s="45"/>
      <c r="U32" s="45">
        <f t="shared" si="2"/>
        <v>0</v>
      </c>
    </row>
    <row r="33" spans="1:21">
      <c r="A33" s="31" t="s">
        <v>115</v>
      </c>
      <c r="B33" s="31" t="s">
        <v>116</v>
      </c>
      <c r="C33" s="31" t="s">
        <v>58</v>
      </c>
      <c r="D33" s="31" t="s">
        <v>606</v>
      </c>
      <c r="E33" s="41">
        <v>0</v>
      </c>
      <c r="F33" s="42">
        <f>IF(I33&lt;=$B$6,標準化明細!$F$17,0)</f>
        <v>45</v>
      </c>
      <c r="G33" s="43">
        <f>標準化明細!$J$17</f>
        <v>790</v>
      </c>
      <c r="H33" s="43">
        <f t="shared" si="0"/>
        <v>0</v>
      </c>
      <c r="I33" s="44">
        <f>標準化明細!$P$17</f>
        <v>46247</v>
      </c>
      <c r="J33" s="31" t="str">
        <f t="shared" si="1"/>
        <v/>
      </c>
      <c r="K33" s="31" t="str">
        <f>標準化明細!$T$17</f>
        <v>SRC-C-JPG</v>
      </c>
      <c r="N33" s="45"/>
      <c r="O33" s="45"/>
      <c r="P33" s="45"/>
      <c r="Q33" s="45"/>
      <c r="R33" s="45"/>
      <c r="S33" s="45"/>
      <c r="T33" s="45"/>
      <c r="U33" s="45">
        <f t="shared" si="2"/>
        <v>0</v>
      </c>
    </row>
    <row r="34" spans="1:21">
      <c r="A34" s="31" t="s">
        <v>115</v>
      </c>
      <c r="B34" s="31" t="s">
        <v>116</v>
      </c>
      <c r="C34" s="31" t="s">
        <v>60</v>
      </c>
      <c r="D34" s="31" t="s">
        <v>606</v>
      </c>
      <c r="E34" s="41">
        <v>0</v>
      </c>
      <c r="F34" s="42">
        <f>IF(I34&lt;=$B$6,標準化明細!$F$18,0)</f>
        <v>35</v>
      </c>
      <c r="G34" s="43">
        <f>標準化明細!$J$18</f>
        <v>690</v>
      </c>
      <c r="H34" s="43">
        <f t="shared" si="0"/>
        <v>0</v>
      </c>
      <c r="I34" s="44">
        <f>標準化明細!$P$18</f>
        <v>46247</v>
      </c>
      <c r="J34" s="31" t="str">
        <f t="shared" si="1"/>
        <v/>
      </c>
      <c r="K34" s="31" t="str">
        <f>標準化明細!$T$18</f>
        <v>SRC-C-JPG</v>
      </c>
      <c r="N34" s="45"/>
      <c r="O34" s="45"/>
      <c r="P34" s="45"/>
      <c r="Q34" s="45"/>
      <c r="R34" s="45"/>
      <c r="S34" s="45"/>
      <c r="T34" s="45"/>
      <c r="U34" s="45">
        <f t="shared" si="2"/>
        <v>0</v>
      </c>
    </row>
    <row r="35" spans="1:21">
      <c r="A35" s="31" t="s">
        <v>115</v>
      </c>
      <c r="B35" s="31" t="s">
        <v>116</v>
      </c>
      <c r="C35" s="31" t="s">
        <v>62</v>
      </c>
      <c r="D35" s="31" t="s">
        <v>606</v>
      </c>
      <c r="E35" s="41">
        <v>0</v>
      </c>
      <c r="F35" s="42">
        <f>IF(I35&lt;=$B$6,標準化明細!$F$19,0)</f>
        <v>10</v>
      </c>
      <c r="G35" s="43">
        <f>標準化明細!$J$19</f>
        <v>1880</v>
      </c>
      <c r="H35" s="43">
        <f t="shared" si="0"/>
        <v>0</v>
      </c>
      <c r="I35" s="44">
        <f>標準化明細!$P$19</f>
        <v>46247</v>
      </c>
      <c r="J35" s="31" t="str">
        <f t="shared" si="1"/>
        <v/>
      </c>
      <c r="K35" s="31" t="str">
        <f>標準化明細!$T$19</f>
        <v>SRC-C-JPG</v>
      </c>
      <c r="N35" s="45"/>
      <c r="O35" s="45"/>
      <c r="P35" s="45"/>
      <c r="Q35" s="45"/>
      <c r="R35" s="45"/>
      <c r="S35" s="45"/>
      <c r="T35" s="45"/>
      <c r="U35" s="45">
        <f t="shared" si="2"/>
        <v>0</v>
      </c>
    </row>
    <row r="36" spans="1:21">
      <c r="N36" s="45"/>
      <c r="O36" s="45"/>
      <c r="P36" s="45"/>
      <c r="Q36" s="45"/>
      <c r="R36" s="45"/>
      <c r="S36" s="45"/>
      <c r="T36" s="45"/>
      <c r="U36" s="45"/>
    </row>
    <row r="37" spans="1:21">
      <c r="N37" s="45"/>
      <c r="O37" s="45"/>
      <c r="P37" s="45"/>
      <c r="Q37" s="45"/>
      <c r="R37" s="45"/>
      <c r="S37" s="45"/>
      <c r="T37" s="45"/>
      <c r="U37" s="45"/>
    </row>
    <row r="38" spans="1:21">
      <c r="A38" s="65" t="s">
        <v>609</v>
      </c>
      <c r="B38" s="65" t="s">
        <v>609</v>
      </c>
      <c r="C38" s="65" t="s">
        <v>609</v>
      </c>
      <c r="D38" s="65" t="s">
        <v>609</v>
      </c>
      <c r="E38" s="65" t="s">
        <v>609</v>
      </c>
      <c r="F38" s="65" t="s">
        <v>609</v>
      </c>
      <c r="G38" s="65" t="s">
        <v>609</v>
      </c>
      <c r="N38" s="45"/>
      <c r="O38" s="45"/>
      <c r="P38" s="45"/>
      <c r="Q38" s="45"/>
      <c r="R38" s="45"/>
      <c r="S38" s="45"/>
      <c r="T38" s="45"/>
      <c r="U38" s="45"/>
    </row>
    <row r="39" spans="1:21" ht="31.95" customHeight="1">
      <c r="A39" s="40" t="s">
        <v>65</v>
      </c>
      <c r="B39" s="40" t="s">
        <v>66</v>
      </c>
      <c r="C39" s="40" t="s">
        <v>610</v>
      </c>
      <c r="D39" s="40" t="s">
        <v>604</v>
      </c>
      <c r="E39" s="40" t="s">
        <v>596</v>
      </c>
      <c r="F39" s="40" t="s">
        <v>611</v>
      </c>
      <c r="G39" s="40" t="s">
        <v>612</v>
      </c>
      <c r="N39" s="45"/>
      <c r="O39" s="45"/>
      <c r="P39" s="45"/>
      <c r="Q39" s="45"/>
      <c r="R39" s="45"/>
      <c r="S39" s="45"/>
      <c r="T39" s="45"/>
      <c r="U39" s="45"/>
    </row>
    <row r="40" spans="1:21">
      <c r="A40" s="31" t="s">
        <v>85</v>
      </c>
      <c r="B40" s="31" t="s">
        <v>86</v>
      </c>
      <c r="C40" s="42">
        <f>SUMIF($A$20:$A$35,$A40,$E$20:$E$35)</f>
        <v>0</v>
      </c>
      <c r="D40" s="43">
        <f>SUMIF($A$20:$A$35,$A40,$H$20:$H$35)</f>
        <v>0</v>
      </c>
      <c r="E40" s="43">
        <f>1200*(N40-O40)</f>
        <v>0</v>
      </c>
      <c r="F40" s="43">
        <f>D40+E40</f>
        <v>0</v>
      </c>
      <c r="G40" s="31" t="str">
        <f>IF(O40=1,"是","否")</f>
        <v>否</v>
      </c>
      <c r="N40" s="45">
        <v>0</v>
      </c>
      <c r="O40" s="45">
        <v>0</v>
      </c>
      <c r="P40" s="45">
        <f>SUMIF($A$20:$A$35,$A40,$F$20:$F$35)*N40-C40</f>
        <v>0</v>
      </c>
      <c r="Q40" s="45">
        <f>D40-90000*O40</f>
        <v>0</v>
      </c>
      <c r="R40" s="45">
        <f>C40</f>
        <v>0</v>
      </c>
      <c r="S40" s="45"/>
      <c r="T40" s="45"/>
      <c r="U40" s="45"/>
    </row>
    <row r="41" spans="1:21">
      <c r="A41" s="31" t="s">
        <v>99</v>
      </c>
      <c r="B41" s="31" t="s">
        <v>100</v>
      </c>
      <c r="C41" s="42">
        <f>SUMIF($A$20:$A$35,$A41,$E$20:$E$35)</f>
        <v>0</v>
      </c>
      <c r="D41" s="43">
        <f>SUMIF($A$20:$A$35,$A41,$H$20:$H$35)</f>
        <v>0</v>
      </c>
      <c r="E41" s="43">
        <f>(85*$B$5)*(N41-O41)</f>
        <v>0</v>
      </c>
      <c r="F41" s="43">
        <f>D41+E41</f>
        <v>0</v>
      </c>
      <c r="G41" s="31" t="str">
        <f>IF(O41=1,"是","否")</f>
        <v>否</v>
      </c>
      <c r="N41" s="45">
        <v>0</v>
      </c>
      <c r="O41" s="45">
        <v>0</v>
      </c>
      <c r="P41" s="45">
        <f>SUMIF($A$20:$A$35,$A41,$F$20:$F$35)*N41-C41</f>
        <v>0</v>
      </c>
      <c r="Q41" s="45">
        <f>D41-(3500.01*$B$5)*O41</f>
        <v>0</v>
      </c>
      <c r="R41" s="45">
        <f>C41-121*O41</f>
        <v>0</v>
      </c>
      <c r="S41" s="45"/>
      <c r="T41" s="45"/>
      <c r="U41" s="45"/>
    </row>
    <row r="42" spans="1:21">
      <c r="A42" s="31" t="s">
        <v>115</v>
      </c>
      <c r="B42" s="31" t="s">
        <v>116</v>
      </c>
      <c r="C42" s="42">
        <f>SUMIF($A$20:$A$35,$A42,$E$20:$E$35)</f>
        <v>0</v>
      </c>
      <c r="D42" s="43">
        <f>SUMIF($A$20:$A$35,$A42,$H$20:$H$35)</f>
        <v>0</v>
      </c>
      <c r="E42" s="43">
        <f>900*(N42-O42)</f>
        <v>0</v>
      </c>
      <c r="F42" s="43">
        <f>D42+E42</f>
        <v>0</v>
      </c>
      <c r="G42" s="31" t="str">
        <f>IF(O42=1,"是","否")</f>
        <v>否</v>
      </c>
      <c r="N42" s="45">
        <v>0</v>
      </c>
      <c r="O42" s="45">
        <v>0</v>
      </c>
      <c r="P42" s="45">
        <f>SUMIF($A$20:$A$35,$A42,$F$20:$F$35)*N42-C42</f>
        <v>0</v>
      </c>
      <c r="Q42" s="45">
        <f>D42-70000*O42</f>
        <v>0</v>
      </c>
      <c r="R42" s="45">
        <f>C42</f>
        <v>0</v>
      </c>
      <c r="S42" s="45"/>
      <c r="T42" s="45"/>
      <c r="U42" s="45"/>
    </row>
    <row r="43" spans="1:21">
      <c r="N43" s="45"/>
      <c r="O43" s="45"/>
      <c r="P43" s="45"/>
      <c r="Q43" s="45"/>
      <c r="R43" s="45"/>
      <c r="S43" s="45"/>
      <c r="T43" s="45"/>
      <c r="U43" s="45"/>
    </row>
    <row r="44" spans="1:21">
      <c r="N44" s="45"/>
      <c r="O44" s="45"/>
      <c r="P44" s="45"/>
      <c r="Q44" s="45"/>
      <c r="R44" s="45"/>
      <c r="S44" s="45"/>
      <c r="T44" s="45"/>
      <c r="U44" s="45"/>
    </row>
    <row r="45" spans="1:21">
      <c r="N45" s="45"/>
      <c r="O45" s="45"/>
      <c r="P45" s="45"/>
      <c r="Q45" s="45"/>
      <c r="R45" s="45"/>
      <c r="S45" s="45"/>
      <c r="T45" s="45"/>
      <c r="U45" s="45"/>
    </row>
    <row r="46" spans="1:21">
      <c r="N46" s="45"/>
      <c r="O46" s="45"/>
      <c r="P46" s="45"/>
      <c r="Q46" s="45"/>
      <c r="R46" s="45"/>
      <c r="S46" s="45"/>
      <c r="T46" s="45"/>
      <c r="U46" s="45"/>
    </row>
    <row r="47" spans="1:21">
      <c r="N47" s="45"/>
      <c r="O47" s="45"/>
      <c r="P47" s="45"/>
      <c r="Q47" s="45"/>
      <c r="R47" s="45"/>
      <c r="S47" s="45"/>
      <c r="T47" s="45"/>
      <c r="U47" s="45"/>
    </row>
    <row r="48" spans="1:21">
      <c r="N48" s="45"/>
      <c r="O48" s="45"/>
      <c r="P48" s="45"/>
      <c r="Q48" s="45"/>
      <c r="R48" s="45"/>
      <c r="S48" s="45"/>
      <c r="T48" s="45"/>
      <c r="U48" s="45"/>
    </row>
    <row r="49" spans="14:21">
      <c r="N49" s="45"/>
      <c r="O49" s="45"/>
      <c r="P49" s="45"/>
      <c r="Q49" s="45"/>
      <c r="R49" s="45"/>
      <c r="S49" s="45"/>
      <c r="T49" s="45"/>
      <c r="U49" s="45"/>
    </row>
    <row r="50" spans="14:21">
      <c r="N50" s="45"/>
      <c r="O50" s="45"/>
      <c r="P50" s="45"/>
      <c r="Q50" s="45"/>
      <c r="R50" s="45"/>
      <c r="S50" s="45"/>
      <c r="T50" s="45"/>
      <c r="U50" s="45"/>
    </row>
  </sheetData>
  <mergeCells count="7">
    <mergeCell ref="A18:K18"/>
    <mergeCell ref="A38:G38"/>
    <mergeCell ref="A1:K1"/>
    <mergeCell ref="A2:K2"/>
    <mergeCell ref="A4:D4"/>
    <mergeCell ref="F4:I4"/>
    <mergeCell ref="A9:C9"/>
  </mergeCells>
  <phoneticPr fontId="16" type="noConversion"/>
  <conditionalFormatting sqref="G40:G42">
    <cfRule type="containsText" dxfId="2" priority="3" operator="containsText" text="是"/>
  </conditionalFormatting>
  <conditionalFormatting sqref="J20:J35">
    <cfRule type="containsText" dxfId="1" priority="1" operator="containsText" text="超出上限"/>
    <cfRule type="containsText" dxfId="0" priority="2" operator="containsText" text="可採購"/>
  </conditionalFormatting>
  <dataValidations count="3">
    <dataValidation type="decimal" operator="greaterThan" sqref="B5" xr:uid="{00000000-0002-0000-0A00-000000000000}">
      <formula1>0</formula1>
    </dataValidation>
    <dataValidation type="date" sqref="B6" xr:uid="{00000000-0002-0000-0A00-000001000000}">
      <formula1>2026-8-1</formula1>
      <formula2>2030-12-31</formula2>
    </dataValidation>
    <dataValidation type="whole" sqref="C11:C15" xr:uid="{00000000-0002-0000-0A00-000002000000}">
      <formula1>0</formula1>
      <formula2>1000000</formula2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使用說明</vt:lpstr>
      <vt:lpstr>需求與匯率</vt:lpstr>
      <vt:lpstr>標準化明細</vt:lpstr>
      <vt:lpstr>訂單試算</vt:lpstr>
      <vt:lpstr>核對備註</vt:lpstr>
      <vt:lpstr>原始明細</vt:lpstr>
      <vt:lpstr>Gmail正文</vt:lpstr>
      <vt:lpstr>來源原文</vt:lpstr>
      <vt:lpstr>來源索引</vt:lpstr>
      <vt:lpstr>Gmail搜尋紀錄</vt:lpstr>
      <vt:lpstr>Solver最佳化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振豪 何</cp:lastModifiedBy>
  <dcterms:created xsi:type="dcterms:W3CDTF">2026-08-01T09:26:52Z</dcterms:created>
  <dcterms:modified xsi:type="dcterms:W3CDTF">2026-08-01T09:27:07Z</dcterms:modified>
</cp:coreProperties>
</file>