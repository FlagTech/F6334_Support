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2ce3b78ad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時明細" sheetId="1" r:id="R097727db2cb046b1"/>
    <x:sheet xmlns:r="http://schemas.openxmlformats.org/officeDocument/2006/relationships" name="資料說明" sheetId="2" r:id="R84a4b80b662b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"/>
    <x:numFmt numFmtId="202" formatCode="0.0;[Red]-0.0;0.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6566C"/>
      <x:name val="Carlito"/>
    </x:font>
    <x:font>
      <x:b/>
      <x:sz val="11"/>
      <x:color rgb="FFFFFFFF"/>
      <x:name val="Carlito"/>
    </x:font>
    <x:font>
      <x:b/>
      <x:sz val="11"/>
      <x:color rgb="FF173B57"/>
      <x:name val="Carlito"/>
    </x:font>
    <x:font>
      <x:sz val="11"/>
      <x:color rgb="FF36566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2F8"/>
      </x:patternFill>
    </x:fill>
    <x:fill>
      <x:patternFill patternType="solid">
        <x:fgColor rgb="FF66737C"/>
      </x:patternFill>
    </x:fill>
    <x:fill>
      <x:patternFill patternType="solid">
        <x:fgColor rgb="FFF0F2F4"/>
      </x:patternFill>
    </x:fill>
    <x:fill>
      <x:patternFill patternType="solid">
        <x:fgColor rgb="FF24759A"/>
      </x:patternFill>
    </x:fill>
    <x:fill>
      <x:patternFill patternType="solid">
        <x:fgColor rgb="FFD8EAF3"/>
      </x:patternFill>
    </x:fill>
    <x:fill>
      <x:patternFill patternType="solid">
        <x:fgColor rgb="FFF7FAFC"/>
      </x:patternFill>
    </x:fill>
  </x:fills>
  <x:borders count="11">
    <x:border/>
    <x:border>
      <x:left style="thin">
        <x:color rgb="FFB7CBD6"/>
      </x:left>
      <x:right style="thin">
        <x:color rgb="FFB7CBD6"/>
      </x:right>
      <x:top style="thin">
        <x:color rgb="FFB7CBD6"/>
      </x:top>
      <x:bottom style="thin">
        <x:color rgb="FFB7CBD6"/>
      </x:bottom>
    </x:border>
    <x:border>
      <x:bottom style="thin">
        <x:color rgb="FFD9E3E8"/>
      </x:bottom>
    </x:border>
    <x:border>
      <x:top style="thin">
        <x:color rgb="FFD9E3E8"/>
      </x:top>
      <x:bottom style="thin">
        <x:color rgb="FFD9E3E8"/>
      </x:bottom>
    </x:border>
    <x:border>
      <x:top style="thin">
        <x:color rgb="FFD9E3E8"/>
      </x:top>
      <x:bottom style="thin">
        <x:color rgb="FFB7CBD6"/>
      </x:bottom>
    </x:border>
    <x:border>
      <x:left style="thin">
        <x:color rgb="FFB7CBD6"/>
      </x:left>
      <x:top style="thin">
        <x:color rgb="FFB7CBD6"/>
      </x:top>
    </x:border>
    <x:border>
      <x:right style="thin">
        <x:color rgb="FFB7CBD6"/>
      </x:right>
      <x:top style="thin">
        <x:color rgb="FFB7CBD6"/>
      </x:top>
    </x:border>
    <x:border>
      <x:left style="thin">
        <x:color rgb="FFB7CBD6"/>
      </x:left>
    </x:border>
    <x:border>
      <x:right style="thin">
        <x:color rgb="FFB7CBD6"/>
      </x:right>
    </x:border>
    <x:border>
      <x:left style="thin">
        <x:color rgb="FFB7CBD6"/>
      </x:left>
      <x:bottom style="thin">
        <x:color rgb="FFB7CBD6"/>
      </x:bottom>
    </x:border>
    <x:border>
      <x:right style="thin">
        <x:color rgb="FFB7CBD6"/>
      </x:right>
      <x:bottom style="thin">
        <x:color rgb="FFB7CBD6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5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vertical="top" wrapText="1"/>
    </x:xf>
    <x:xf numFmtId="0" fontId="5" fillId="8" borderId="9" xfId="0" applyNumberFormat="1" applyFont="1" applyFill="1" applyBorder="1" applyAlignment="1">
      <x:alignment vertical="top" wrapText="1"/>
    </x:xf>
    <x:xf numFmtId="0" fontId="5" fillId="8" borderId="1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217A45"/>
      </x:font>
      <x:fill>
        <x:patternFill patternType="solid">
          <x:bgColor rgb="FFE9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4a1cb959c4897" /><Relationship Type="http://schemas.openxmlformats.org/officeDocument/2006/relationships/theme" Target="/xl/theme/theme1.xml" Id="Ra46b7be2848f4783" /><Relationship Type="http://schemas.openxmlformats.org/officeDocument/2006/relationships/sharedStrings" Target="/xl/sharedStrings.xml" Id="R89046d0f6a45419d" /><Relationship Type="http://schemas.openxmlformats.org/officeDocument/2006/relationships/worksheet" Target="/xl/worksheets/sheet1.xml" Id="R097727db2cb046b1" /><Relationship Type="http://schemas.openxmlformats.org/officeDocument/2006/relationships/worksheet" Target="/xl/worksheets/sheet2.xml" Id="R84a4b80b662b4965" /></Relationships>
</file>

<file path=xl/tables/table1.xml><?xml version="1.0" encoding="utf-8"?>
<x:table xmlns:x="http://schemas.openxmlformats.org/spreadsheetml/2006/main" id="1" name="WorklogTable" displayName="WorklogTable" ref="A4:N49" headerRowCount="1" totalsRowCount="0" totalsRowShown="0">
  <x:autoFilter ref="A4:N49"/>
  <x:tableColumns count="14">
    <x:tableColumn id="1" name="工作日期"/>
    <x:tableColumn id="2" name="部門"/>
    <x:tableColumn id="3" name="人員"/>
    <x:tableColumn id="4" name="專案"/>
    <x:tableColumn id="5" name="工作項目"/>
    <x:tableColumn id="6" name="任務類型"/>
    <x:tableColumn id="7" name="預估工時"/>
    <x:tableColumn id="8" name="實際工時"/>
    <x:tableColumn id="9" name="執行狀態"/>
    <x:tableColumn id="10" name="預計完成日"/>
    <x:tableColumn id="11" name="實際完成日"/>
    <x:tableColumn id="12" name="備註"/>
    <x:tableColumn id="13" name="工時差異"/>
    <x:tableColumn id="14" name="是否逾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5d117d0bd8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8" hidden="0" customWidth="1"/>
    <x:col min="5" max="5" width="24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3" hidden="0" customWidth="1"/>
    <x:col min="11" max="11" width="13" hidden="0" customWidth="1"/>
    <x:col min="12" max="12" width="27" hidden="0" customWidth="1"/>
    <x:col min="13" max="13" width="11" hidden="0" customWidth="1"/>
    <x:col min="14" max="14" width="11" hidden="0" customWidth="1"/>
  </x:cols>
  <x:sheetData>
    <x:row r="1" ht="32" customHeight="1">
      <x:c r="A1" s="3" t="str">
        <x:v>2026 年 7 月專案工時明細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6" t="str">
        <x:v>統計日：2026/07/25｜灰色欄位為公式計算，請勿直接輸入。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5" customHeight="1">
      <x:c r="A4" s="27" t="str">
        <x:v>工作日期</x:v>
      </x:c>
      <x:c r="B4" s="27" t="str">
        <x:v>部門</x:v>
      </x:c>
      <x:c r="C4" s="27" t="str">
        <x:v>人員</x:v>
      </x:c>
      <x:c r="D4" s="27" t="str">
        <x:v>專案</x:v>
      </x:c>
      <x:c r="E4" s="27" t="str">
        <x:v>工作項目</x:v>
      </x:c>
      <x:c r="F4" s="27" t="str">
        <x:v>任務類型</x:v>
      </x:c>
      <x:c r="G4" s="27" t="str">
        <x:v>預估工時</x:v>
      </x:c>
      <x:c r="H4" s="27" t="str">
        <x:v>實際工時</x:v>
      </x:c>
      <x:c r="I4" s="27" t="str">
        <x:v>執行狀態</x:v>
      </x:c>
      <x:c r="J4" s="27" t="str">
        <x:v>預計完成日</x:v>
      </x:c>
      <x:c r="K4" s="27" t="str">
        <x:v>實際完成日</x:v>
      </x:c>
      <x:c r="L4" s="27" t="str">
        <x:v>備註</x:v>
      </x:c>
      <x:c r="M4" s="27" t="str">
        <x:v>工時差異</x:v>
      </x:c>
      <x:c r="N4" s="27" t="str">
        <x:v>是否逾期</x:v>
      </x:c>
    </x:row>
    <x:row r="5" ht="22" customHeight="1">
      <x:c r="A5" s="19" t="n">
        <x:v>46209</x:v>
      </x:c>
      <x:c r="B5" s="17" t="str">
        <x:v>工程部</x:v>
      </x:c>
      <x:c r="C5" s="17" t="str">
        <x:v>宇辰</x:v>
      </x:c>
      <x:c r="D5" s="17" t="str">
        <x:v>知識庫建置</x:v>
      </x:c>
      <x:c r="E5" s="17" t="str">
        <x:v>串接前端功能</x:v>
      </x:c>
      <x:c r="F5" s="17" t="str">
        <x:v>開發</x:v>
      </x:c>
      <x:c r="G5" s="20" t="n">
        <x:v>20</x:v>
      </x:c>
      <x:c r="H5" s="20" t="n">
        <x:v>7</x:v>
      </x:c>
      <x:c r="I5" s="21" t="str">
        <x:v>待確認</x:v>
      </x:c>
      <x:c r="J5" s="22" t="n">
        <x:v>46212</x:v>
      </x:c>
      <x:c r="K5" s="22"/>
      <x:c r="L5" s="21" t="str">
        <x:v>等待需求或交付範圍確認</x:v>
      </x:c>
      <x:c r="M5" s="23" t="n">
        <x:f>H5-G5</x:f>
        <x:v>-13</x:v>
      </x:c>
      <x:c r="N5" s="24" t="str">
        <x:f>IF(A5="","",IF(I5="已完成",IF(K5&gt;J5,"是","否"),IF(J5&lt;'資料說明'!$B$4,"是","否")))</x:f>
        <x:v>是</x:v>
      </x:c>
    </x:row>
    <x:row r="6" ht="22" customHeight="1">
      <x:c r="A6" s="19" t="n">
        <x:v>46212</x:v>
      </x:c>
      <x:c r="B6" s="17" t="str">
        <x:v>工程部</x:v>
      </x:c>
      <x:c r="C6" s="17" t="str">
        <x:v>家豪</x:v>
      </x:c>
      <x:c r="D6" s="17" t="str">
        <x:v>知識庫建置</x:v>
      </x:c>
      <x:c r="E6" s="17" t="str">
        <x:v>修正測試問題</x:v>
      </x:c>
      <x:c r="F6" s="17" t="str">
        <x:v>測試</x:v>
      </x:c>
      <x:c r="G6" s="20" t="n">
        <x:v>10</x:v>
      </x:c>
      <x:c r="H6" s="20" t="n">
        <x:v>11</x:v>
      </x:c>
      <x:c r="I6" s="21" t="str">
        <x:v>已完成</x:v>
      </x:c>
      <x:c r="J6" s="22" t="n">
        <x:v>46216</x:v>
      </x:c>
      <x:c r="K6" s="22" t="n">
        <x:v>46215</x:v>
      </x:c>
      <x:c r="L6" s="21" t="str">
        <x:v>實際處理時間高於原先估計</x:v>
      </x:c>
      <x:c r="M6" s="23" t="n">
        <x:f>H6-G6</x:f>
        <x:v>1</x:v>
      </x:c>
      <x:c r="N6" s="24" t="str">
        <x:f>IF(A6="","",IF(I6="已完成",IF(K6&gt;J6,"是","否"),IF(J6&lt;'資料說明'!$B$4,"是","否")))</x:f>
        <x:v>否</x:v>
      </x:c>
    </x:row>
    <x:row r="7" ht="22" customHeight="1">
      <x:c r="A7" s="19" t="n">
        <x:v>46215</x:v>
      </x:c>
      <x:c r="B7" s="17" t="str">
        <x:v>營運部</x:v>
      </x:c>
      <x:c r="C7" s="17" t="str">
        <x:v>怡文</x:v>
      </x:c>
      <x:c r="D7" s="17" t="str">
        <x:v>知識庫建置</x:v>
      </x:c>
      <x:c r="E7" s="17" t="str">
        <x:v>整理上線檢查清單</x:v>
      </x:c>
      <x:c r="F7" s="17" t="str">
        <x:v>營運</x:v>
      </x:c>
      <x:c r="G7" s="20" t="n">
        <x:v>8</x:v>
      </x:c>
      <x:c r="H7" s="20" t="n">
        <x:v>11</x:v>
      </x:c>
      <x:c r="I7" s="21" t="str">
        <x:v>已完成</x:v>
      </x:c>
      <x:c r="J7" s="22" t="n">
        <x:v>46220</x:v>
      </x:c>
      <x:c r="K7" s="22" t="n">
        <x:v>46218</x:v>
      </x:c>
      <x:c r="L7" s="21" t="str">
        <x:v>實際處理時間高於原先估計</x:v>
      </x:c>
      <x:c r="M7" s="23" t="n">
        <x:f>H7-G7</x:f>
        <x:v>3</x:v>
      </x:c>
      <x:c r="N7" s="24" t="str">
        <x:f>IF(A7="","",IF(I7="已完成",IF(K7&gt;J7,"是","否"),IF(J7&lt;'資料說明'!$B$4,"是","否")))</x:f>
        <x:v>否</x:v>
      </x:c>
    </x:row>
    <x:row r="8" ht="22" customHeight="1">
      <x:c r="A8" s="19" t="n">
        <x:v>46218</x:v>
      </x:c>
      <x:c r="B8" s="17" t="str">
        <x:v>行銷部</x:v>
      </x:c>
      <x:c r="C8" s="17" t="str">
        <x:v>俊豪</x:v>
      </x:c>
      <x:c r="D8" s="17" t="str">
        <x:v>知識庫建置</x:v>
      </x:c>
      <x:c r="E8" s="17" t="str">
        <x:v>撰寫推廣素材</x:v>
      </x:c>
      <x:c r="F8" s="17" t="str">
        <x:v>內容</x:v>
      </x:c>
      <x:c r="G8" s="20" t="n">
        <x:v>12</x:v>
      </x:c>
      <x:c r="H8" s="20" t="n">
        <x:v>16</x:v>
      </x:c>
      <x:c r="I8" s="21" t="str">
        <x:v>已完成</x:v>
      </x:c>
      <x:c r="J8" s="22" t="n">
        <x:v>46224</x:v>
      </x:c>
      <x:c r="K8" s="22" t="n">
        <x:v>46224</x:v>
      </x:c>
      <x:c r="L8" s="21" t="str">
        <x:v>實際處理時間高於原先估計</x:v>
      </x:c>
      <x:c r="M8" s="23" t="n">
        <x:f>H8-G8</x:f>
        <x:v>4</x:v>
      </x:c>
      <x:c r="N8" s="24" t="str">
        <x:f>IF(A8="","",IF(I8="已完成",IF(K8&gt;J8,"是","否"),IF(J8&lt;'資料說明'!$B$4,"是","否")))</x:f>
        <x:v>否</x:v>
      </x:c>
    </x:row>
    <x:row r="9" ht="22" customHeight="1">
      <x:c r="A9" s="19" t="n">
        <x:v>46221</x:v>
      </x:c>
      <x:c r="B9" s="17" t="str">
        <x:v>產品部</x:v>
      </x:c>
      <x:c r="C9" s="17" t="str">
        <x:v>承恩</x:v>
      </x:c>
      <x:c r="D9" s="17" t="str">
        <x:v>知識庫建置</x:v>
      </x:c>
      <x:c r="E9" s="17" t="str">
        <x:v>確認跨部門時程</x:v>
      </x:c>
      <x:c r="F9" s="17" t="str">
        <x:v>規劃</x:v>
      </x:c>
      <x:c r="G9" s="20" t="n">
        <x:v>6</x:v>
      </x:c>
      <x:c r="H9" s="20" t="n">
        <x:v>4</x:v>
      </x:c>
      <x:c r="I9" s="21" t="str">
        <x:v>已完成</x:v>
      </x:c>
      <x:c r="J9" s="22" t="n">
        <x:v>46228</x:v>
      </x:c>
      <x:c r="K9" s="22" t="n">
        <x:v>46227</x:v>
      </x:c>
      <x:c r="L9" s="21" t="str"/>
      <x:c r="M9" s="23" t="n">
        <x:f>H9-G9</x:f>
        <x:v>-2</x:v>
      </x:c>
      <x:c r="N9" s="24" t="str">
        <x:f>IF(A9="","",IF(I9="已完成",IF(K9&gt;J9,"是","否"),IF(J9&lt;'資料說明'!$B$4,"是","否")))</x:f>
        <x:v>否</x:v>
      </x:c>
    </x:row>
    <x:row r="10" ht="22" customHeight="1">
      <x:c r="A10" s="19" t="n">
        <x:v>46224</x:v>
      </x:c>
      <x:c r="B10" s="17" t="str">
        <x:v>設計部</x:v>
      </x:c>
      <x:c r="C10" s="17" t="str">
        <x:v>芷晴</x:v>
      </x:c>
      <x:c r="D10" s="17" t="str">
        <x:v>知識庫建置</x:v>
      </x:c>
      <x:c r="E10" s="17" t="str">
        <x:v>調整行動版介面</x:v>
      </x:c>
      <x:c r="F10" s="17" t="str">
        <x:v>設計</x:v>
      </x:c>
      <x:c r="G10" s="20" t="n">
        <x:v>12</x:v>
      </x:c>
      <x:c r="H10" s="20" t="n">
        <x:v>7</x:v>
      </x:c>
      <x:c r="I10" s="21" t="str">
        <x:v>進行中</x:v>
      </x:c>
      <x:c r="J10" s="22" t="n">
        <x:v>46227</x:v>
      </x:c>
      <x:c r="K10" s="22"/>
      <x:c r="L10" s="21" t="str">
        <x:v>持續處理中，需留意原訂時程</x:v>
      </x:c>
      <x:c r="M10" s="23" t="n">
        <x:f>H10-G10</x:f>
        <x:v>-5</x:v>
      </x:c>
      <x:c r="N10" s="24" t="str">
        <x:f>IF(A10="","",IF(I10="已完成",IF(K10&gt;J10,"是","否"),IF(J10&lt;'資料說明'!$B$4,"是","否")))</x:f>
        <x:v>是</x:v>
      </x:c>
    </x:row>
    <x:row r="11" ht="22" customHeight="1">
      <x:c r="A11" s="19" t="n">
        <x:v>46227</x:v>
      </x:c>
      <x:c r="B11" s="17" t="str">
        <x:v>工程部</x:v>
      </x:c>
      <x:c r="C11" s="17" t="str">
        <x:v>宇辰</x:v>
      </x:c>
      <x:c r="D11" s="17" t="str">
        <x:v>知識庫建置</x:v>
      </x:c>
      <x:c r="E11" s="17" t="str">
        <x:v>處理資料驗證</x:v>
      </x:c>
      <x:c r="F11" s="17" t="str">
        <x:v>開發</x:v>
      </x:c>
      <x:c r="G11" s="20" t="n">
        <x:v>18</x:v>
      </x:c>
      <x:c r="H11" s="20" t="n">
        <x:v>18</x:v>
      </x:c>
      <x:c r="I11" s="21" t="str">
        <x:v>已完成</x:v>
      </x:c>
      <x:c r="J11" s="22" t="n">
        <x:v>46231</x:v>
      </x:c>
      <x:c r="K11" s="22" t="n">
        <x:v>46231</x:v>
      </x:c>
      <x:c r="L11" s="21" t="str"/>
      <x:c r="M11" s="23" t="n">
        <x:f>H11-G11</x:f>
        <x:v>0</x:v>
      </x:c>
      <x:c r="N11" s="24" t="str">
        <x:f>IF(A11="","",IF(I11="已完成",IF(K11&gt;J11,"是","否"),IF(J11&lt;'資料說明'!$B$4,"是","否")))</x:f>
        <x:v>否</x:v>
      </x:c>
    </x:row>
    <x:row r="12" ht="22" customHeight="1">
      <x:c r="A12" s="19" t="n">
        <x:v>46207</x:v>
      </x:c>
      <x:c r="B12" s="17" t="str">
        <x:v>產品部</x:v>
      </x:c>
      <x:c r="C12" s="17" t="str">
        <x:v>佩珊</x:v>
      </x:c>
      <x:c r="D12" s="17" t="str">
        <x:v>知識庫建置</x:v>
      </x:c>
      <x:c r="E12" s="17" t="str">
        <x:v>整理需求與驗收條件</x:v>
      </x:c>
      <x:c r="F12" s="17" t="str">
        <x:v>規劃</x:v>
      </x:c>
      <x:c r="G12" s="20" t="n">
        <x:v>8</x:v>
      </x:c>
      <x:c r="H12" s="20" t="n">
        <x:v>9</x:v>
      </x:c>
      <x:c r="I12" s="21" t="str">
        <x:v>已完成</x:v>
      </x:c>
      <x:c r="J12" s="22" t="n">
        <x:v>46212</x:v>
      </x:c>
      <x:c r="K12" s="22" t="n">
        <x:v>46213</x:v>
      </x:c>
      <x:c r="L12" s="21" t="str">
        <x:v>實際處理時間高於原先估計</x:v>
      </x:c>
      <x:c r="M12" s="23" t="n">
        <x:f>H12-G12</x:f>
        <x:v>1</x:v>
      </x:c>
      <x:c r="N12" s="24" t="str">
        <x:f>IF(A12="","",IF(I12="已完成",IF(K12&gt;J12,"是","否"),IF(J12&lt;'資料說明'!$B$4,"是","否")))</x:f>
        <x:v>是</x:v>
      </x:c>
    </x:row>
    <x:row r="13" ht="22" customHeight="1">
      <x:c r="A13" s="19" t="n">
        <x:v>46210</x:v>
      </x:c>
      <x:c r="B13" s="17" t="str">
        <x:v>設計部</x:v>
      </x:c>
      <x:c r="C13" s="17" t="str">
        <x:v>小安</x:v>
      </x:c>
      <x:c r="D13" s="17" t="str">
        <x:v>知識庫建置</x:v>
      </x:c>
      <x:c r="E13" s="17" t="str">
        <x:v>完成頁面視覺稿</x:v>
      </x:c>
      <x:c r="F13" s="17" t="str">
        <x:v>設計</x:v>
      </x:c>
      <x:c r="G13" s="20" t="n">
        <x:v>14</x:v>
      </x:c>
      <x:c r="H13" s="20" t="n">
        <x:v>17</x:v>
      </x:c>
      <x:c r="I13" s="21" t="str">
        <x:v>已完成</x:v>
      </x:c>
      <x:c r="J13" s="22" t="n">
        <x:v>46216</x:v>
      </x:c>
      <x:c r="K13" s="22" t="n">
        <x:v>46214</x:v>
      </x:c>
      <x:c r="L13" s="21" t="str">
        <x:v>實際處理時間高於原先估計</x:v>
      </x:c>
      <x:c r="M13" s="23" t="n">
        <x:f>H13-G13</x:f>
        <x:v>3</x:v>
      </x:c>
      <x:c r="N13" s="24" t="str">
        <x:f>IF(A13="","",IF(I13="已完成",IF(K13&gt;J13,"是","否"),IF(J13&lt;'資料說明'!$B$4,"是","否")))</x:f>
        <x:v>否</x:v>
      </x:c>
    </x:row>
    <x:row r="14" ht="22" customHeight="1">
      <x:c r="A14" s="19" t="n">
        <x:v>46213</x:v>
      </x:c>
      <x:c r="B14" s="17" t="str">
        <x:v>工程部</x:v>
      </x:c>
      <x:c r="C14" s="17" t="str">
        <x:v>家豪</x:v>
      </x:c>
      <x:c r="D14" s="17" t="str">
        <x:v>夏季會員活動</x:v>
      </x:c>
      <x:c r="E14" s="17" t="str">
        <x:v>串接前端功能</x:v>
      </x:c>
      <x:c r="F14" s="17" t="str">
        <x:v>開發</x:v>
      </x:c>
      <x:c r="G14" s="20" t="n">
        <x:v>20</x:v>
      </x:c>
      <x:c r="H14" s="20" t="n">
        <x:v>24</x:v>
      </x:c>
      <x:c r="I14" s="21" t="str">
        <x:v>已完成</x:v>
      </x:c>
      <x:c r="J14" s="22" t="n">
        <x:v>46220</x:v>
      </x:c>
      <x:c r="K14" s="22" t="n">
        <x:v>46222</x:v>
      </x:c>
      <x:c r="L14" s="21" t="str">
        <x:v>實際處理時間高於原先估計</x:v>
      </x:c>
      <x:c r="M14" s="23" t="n">
        <x:f>H14-G14</x:f>
        <x:v>4</x:v>
      </x:c>
      <x:c r="N14" s="24" t="str">
        <x:f>IF(A14="","",IF(I14="已完成",IF(K14&gt;J14,"是","否"),IF(J14&lt;'資料說明'!$B$4,"是","否")))</x:f>
        <x:v>是</x:v>
      </x:c>
    </x:row>
    <x:row r="15" ht="22" customHeight="1">
      <x:c r="A15" s="19" t="n">
        <x:v>46216</x:v>
      </x:c>
      <x:c r="B15" s="17" t="str">
        <x:v>工程部</x:v>
      </x:c>
      <x:c r="C15" s="17" t="str">
        <x:v>宇辰</x:v>
      </x:c>
      <x:c r="D15" s="17" t="str">
        <x:v>夏季會員活動</x:v>
      </x:c>
      <x:c r="E15" s="17" t="str">
        <x:v>修正測試問題</x:v>
      </x:c>
      <x:c r="F15" s="17" t="str">
        <x:v>測試</x:v>
      </x:c>
      <x:c r="G15" s="20" t="n">
        <x:v>10</x:v>
      </x:c>
      <x:c r="H15" s="20" t="n">
        <x:v>5</x:v>
      </x:c>
      <x:c r="I15" s="21" t="str">
        <x:v>進行中</x:v>
      </x:c>
      <x:c r="J15" s="22" t="n">
        <x:v>46219</x:v>
      </x:c>
      <x:c r="K15" s="22"/>
      <x:c r="L15" s="21" t="str">
        <x:v>持續處理中，需留意原訂時程</x:v>
      </x:c>
      <x:c r="M15" s="23" t="n">
        <x:f>H15-G15</x:f>
        <x:v>-5</x:v>
      </x:c>
      <x:c r="N15" s="24" t="str">
        <x:f>IF(A15="","",IF(I15="已完成",IF(K15&gt;J15,"是","否"),IF(J15&lt;'資料說明'!$B$4,"是","否")))</x:f>
        <x:v>是</x:v>
      </x:c>
    </x:row>
    <x:row r="16" ht="22" customHeight="1">
      <x:c r="A16" s="19" t="n">
        <x:v>46219</x:v>
      </x:c>
      <x:c r="B16" s="17" t="str">
        <x:v>營運部</x:v>
      </x:c>
      <x:c r="C16" s="17" t="str">
        <x:v>子晴</x:v>
      </x:c>
      <x:c r="D16" s="17" t="str">
        <x:v>夏季會員活動</x:v>
      </x:c>
      <x:c r="E16" s="17" t="str">
        <x:v>整理上線檢查清單</x:v>
      </x:c>
      <x:c r="F16" s="17" t="str">
        <x:v>營運</x:v>
      </x:c>
      <x:c r="G16" s="20" t="n">
        <x:v>8</x:v>
      </x:c>
      <x:c r="H16" s="20" t="n">
        <x:v>0</x:v>
      </x:c>
      <x:c r="I16" s="21" t="str">
        <x:v>尚未開始</x:v>
      </x:c>
      <x:c r="J16" s="22" t="n">
        <x:v>46223</x:v>
      </x:c>
      <x:c r="K16" s="22"/>
      <x:c r="L16" s="21" t="str">
        <x:v>依前置工作完成時間排程</x:v>
      </x:c>
      <x:c r="M16" s="23" t="n">
        <x:f>H16-G16</x:f>
        <x:v>-8</x:v>
      </x:c>
      <x:c r="N16" s="24" t="str">
        <x:f>IF(A16="","",IF(I16="已完成",IF(K16&gt;J16,"是","否"),IF(J16&lt;'資料說明'!$B$4,"是","否")))</x:f>
        <x:v>是</x:v>
      </x:c>
    </x:row>
    <x:row r="17" ht="22" customHeight="1">
      <x:c r="A17" s="19" t="n">
        <x:v>46222</x:v>
      </x:c>
      <x:c r="B17" s="17" t="str">
        <x:v>行銷部</x:v>
      </x:c>
      <x:c r="C17" s="17" t="str">
        <x:v>雅婷</x:v>
      </x:c>
      <x:c r="D17" s="17" t="str">
        <x:v>夏季會員活動</x:v>
      </x:c>
      <x:c r="E17" s="17" t="str">
        <x:v>撰寫推廣素材</x:v>
      </x:c>
      <x:c r="F17" s="17" t="str">
        <x:v>內容</x:v>
      </x:c>
      <x:c r="G17" s="20" t="n">
        <x:v>12</x:v>
      </x:c>
      <x:c r="H17" s="20" t="n">
        <x:v>12</x:v>
      </x:c>
      <x:c r="I17" s="21" t="str">
        <x:v>已完成</x:v>
      </x:c>
      <x:c r="J17" s="22" t="n">
        <x:v>46227</x:v>
      </x:c>
      <x:c r="K17" s="22" t="n">
        <x:v>46227</x:v>
      </x:c>
      <x:c r="L17" s="21" t="str"/>
      <x:c r="M17" s="23" t="n">
        <x:f>H17-G17</x:f>
        <x:v>0</x:v>
      </x:c>
      <x:c r="N17" s="24" t="str">
        <x:f>IF(A17="","",IF(I17="已完成",IF(K17&gt;J17,"是","否"),IF(J17&lt;'資料說明'!$B$4,"是","否")))</x:f>
        <x:v>否</x:v>
      </x:c>
    </x:row>
    <x:row r="18" ht="22" customHeight="1">
      <x:c r="A18" s="19" t="n">
        <x:v>46225</x:v>
      </x:c>
      <x:c r="B18" s="17" t="str">
        <x:v>產品部</x:v>
      </x:c>
      <x:c r="C18" s="17" t="str">
        <x:v>佩珊</x:v>
      </x:c>
      <x:c r="D18" s="17" t="str">
        <x:v>夏季會員活動</x:v>
      </x:c>
      <x:c r="E18" s="17" t="str">
        <x:v>確認跨部門時程</x:v>
      </x:c>
      <x:c r="F18" s="17" t="str">
        <x:v>規劃</x:v>
      </x:c>
      <x:c r="G18" s="20" t="n">
        <x:v>6</x:v>
      </x:c>
      <x:c r="H18" s="20" t="n">
        <x:v>2</x:v>
      </x:c>
      <x:c r="I18" s="21" t="str">
        <x:v>待確認</x:v>
      </x:c>
      <x:c r="J18" s="22" t="n">
        <x:v>46231</x:v>
      </x:c>
      <x:c r="K18" s="22"/>
      <x:c r="L18" s="21" t="str">
        <x:v>等待需求或交付範圍確認</x:v>
      </x:c>
      <x:c r="M18" s="23" t="n">
        <x:f>H18-G18</x:f>
        <x:v>-4</x:v>
      </x:c>
      <x:c r="N18" s="24" t="str">
        <x:f>IF(A18="","",IF(I18="已完成",IF(K18&gt;J18,"是","否"),IF(J18&lt;'資料說明'!$B$4,"是","否")))</x:f>
        <x:v>否</x:v>
      </x:c>
    </x:row>
    <x:row r="19" ht="22" customHeight="1">
      <x:c r="A19" s="19" t="n">
        <x:v>46205</x:v>
      </x:c>
      <x:c r="B19" s="17" t="str">
        <x:v>設計部</x:v>
      </x:c>
      <x:c r="C19" s="17" t="str">
        <x:v>小安</x:v>
      </x:c>
      <x:c r="D19" s="17" t="str">
        <x:v>夏季會員活動</x:v>
      </x:c>
      <x:c r="E19" s="17" t="str">
        <x:v>調整行動版介面</x:v>
      </x:c>
      <x:c r="F19" s="17" t="str">
        <x:v>設計</x:v>
      </x:c>
      <x:c r="G19" s="20" t="n">
        <x:v>12</x:v>
      </x:c>
      <x:c r="H19" s="20" t="n">
        <x:v>15</x:v>
      </x:c>
      <x:c r="I19" s="21" t="str">
        <x:v>已完成</x:v>
      </x:c>
      <x:c r="J19" s="22" t="n">
        <x:v>46212</x:v>
      </x:c>
      <x:c r="K19" s="22" t="n">
        <x:v>46213</x:v>
      </x:c>
      <x:c r="L19" s="21" t="str">
        <x:v>實際處理時間高於原先估計</x:v>
      </x:c>
      <x:c r="M19" s="23" t="n">
        <x:f>H19-G19</x:f>
        <x:v>3</x:v>
      </x:c>
      <x:c r="N19" s="24" t="str">
        <x:f>IF(A19="","",IF(I19="已完成",IF(K19&gt;J19,"是","否"),IF(J19&lt;'資料說明'!$B$4,"是","否")))</x:f>
        <x:v>是</x:v>
      </x:c>
    </x:row>
    <x:row r="20" ht="22" customHeight="1">
      <x:c r="A20" s="19" t="n">
        <x:v>46208</x:v>
      </x:c>
      <x:c r="B20" s="17" t="str">
        <x:v>工程部</x:v>
      </x:c>
      <x:c r="C20" s="17" t="str">
        <x:v>家豪</x:v>
      </x:c>
      <x:c r="D20" s="17" t="str">
        <x:v>夏季會員活動</x:v>
      </x:c>
      <x:c r="E20" s="17" t="str">
        <x:v>處理資料驗證</x:v>
      </x:c>
      <x:c r="F20" s="17" t="str">
        <x:v>開發</x:v>
      </x:c>
      <x:c r="G20" s="20" t="n">
        <x:v>18</x:v>
      </x:c>
      <x:c r="H20" s="20" t="n">
        <x:v>14</x:v>
      </x:c>
      <x:c r="I20" s="21" t="str">
        <x:v>進行中</x:v>
      </x:c>
      <x:c r="J20" s="22" t="n">
        <x:v>46211</x:v>
      </x:c>
      <x:c r="K20" s="22"/>
      <x:c r="L20" s="21" t="str">
        <x:v>持續處理中，需留意原訂時程</x:v>
      </x:c>
      <x:c r="M20" s="23" t="n">
        <x:f>H20-G20</x:f>
        <x:v>-4</x:v>
      </x:c>
      <x:c r="N20" s="24" t="str">
        <x:f>IF(A20="","",IF(I20="已完成",IF(K20&gt;J20,"是","否"),IF(J20&lt;'資料說明'!$B$4,"是","否")))</x:f>
        <x:v>是</x:v>
      </x:c>
    </x:row>
    <x:row r="21" ht="22" customHeight="1">
      <x:c r="A21" s="19" t="n">
        <x:v>46211</x:v>
      </x:c>
      <x:c r="B21" s="17" t="str">
        <x:v>產品部</x:v>
      </x:c>
      <x:c r="C21" s="17" t="str">
        <x:v>承恩</x:v>
      </x:c>
      <x:c r="D21" s="17" t="str">
        <x:v>夏季會員活動</x:v>
      </x:c>
      <x:c r="E21" s="17" t="str">
        <x:v>整理需求與驗收條件</x:v>
      </x:c>
      <x:c r="F21" s="17" t="str">
        <x:v>規劃</x:v>
      </x:c>
      <x:c r="G21" s="20" t="n">
        <x:v>8</x:v>
      </x:c>
      <x:c r="H21" s="20" t="n">
        <x:v>6</x:v>
      </x:c>
      <x:c r="I21" s="21" t="str">
        <x:v>已完成</x:v>
      </x:c>
      <x:c r="J21" s="22" t="n">
        <x:v>46215</x:v>
      </x:c>
      <x:c r="K21" s="22" t="n">
        <x:v>46214</x:v>
      </x:c>
      <x:c r="L21" s="21" t="str"/>
      <x:c r="M21" s="23" t="n">
        <x:f>H21-G21</x:f>
        <x:v>-2</x:v>
      </x:c>
      <x:c r="N21" s="24" t="str">
        <x:f>IF(A21="","",IF(I21="已完成",IF(K21&gt;J21,"是","否"),IF(J21&lt;'資料說明'!$B$4,"是","否")))</x:f>
        <x:v>否</x:v>
      </x:c>
    </x:row>
    <x:row r="22" ht="22" customHeight="1">
      <x:c r="A22" s="19" t="n">
        <x:v>46214</x:v>
      </x:c>
      <x:c r="B22" s="17" t="str">
        <x:v>設計部</x:v>
      </x:c>
      <x:c r="C22" s="17" t="str">
        <x:v>芷晴</x:v>
      </x:c>
      <x:c r="D22" s="17" t="str">
        <x:v>夏季會員活動</x:v>
      </x:c>
      <x:c r="E22" s="17" t="str">
        <x:v>完成頁面視覺稿</x:v>
      </x:c>
      <x:c r="F22" s="17" t="str">
        <x:v>設計</x:v>
      </x:c>
      <x:c r="G22" s="20" t="n">
        <x:v>14</x:v>
      </x:c>
      <x:c r="H22" s="20" t="n">
        <x:v>13</x:v>
      </x:c>
      <x:c r="I22" s="21" t="str">
        <x:v>已完成</x:v>
      </x:c>
      <x:c r="J22" s="22" t="n">
        <x:v>46219</x:v>
      </x:c>
      <x:c r="K22" s="22" t="n">
        <x:v>46217</x:v>
      </x:c>
      <x:c r="L22" s="21" t="str"/>
      <x:c r="M22" s="23" t="n">
        <x:f>H22-G22</x:f>
        <x:v>-1</x:v>
      </x:c>
      <x:c r="N22" s="24" t="str">
        <x:f>IF(A22="","",IF(I22="已完成",IF(K22&gt;J22,"是","否"),IF(J22&lt;'資料說明'!$B$4,"是","否")))</x:f>
        <x:v>否</x:v>
      </x:c>
    </x:row>
    <x:row r="23" ht="22" customHeight="1">
      <x:c r="A23" s="19" t="n">
        <x:v>46217</x:v>
      </x:c>
      <x:c r="B23" s="17" t="str">
        <x:v>工程部</x:v>
      </x:c>
      <x:c r="C23" s="17" t="str">
        <x:v>宇辰</x:v>
      </x:c>
      <x:c r="D23" s="17" t="str">
        <x:v>客戶入口優化</x:v>
      </x:c>
      <x:c r="E23" s="17" t="str">
        <x:v>串接前端功能</x:v>
      </x:c>
      <x:c r="F23" s="17" t="str">
        <x:v>開發</x:v>
      </x:c>
      <x:c r="G23" s="20" t="n">
        <x:v>20</x:v>
      </x:c>
      <x:c r="H23" s="20" t="n">
        <x:v>20</x:v>
      </x:c>
      <x:c r="I23" s="21" t="str">
        <x:v>已完成</x:v>
      </x:c>
      <x:c r="J23" s="22" t="n">
        <x:v>46223</x:v>
      </x:c>
      <x:c r="K23" s="22" t="n">
        <x:v>46225</x:v>
      </x:c>
      <x:c r="L23" s="21" t="str"/>
      <x:c r="M23" s="23" t="n">
        <x:f>H23-G23</x:f>
        <x:v>0</x:v>
      </x:c>
      <x:c r="N23" s="24" t="str">
        <x:f>IF(A23="","",IF(I23="已完成",IF(K23&gt;J23,"是","否"),IF(J23&lt;'資料說明'!$B$4,"是","否")))</x:f>
        <x:v>是</x:v>
      </x:c>
    </x:row>
    <x:row r="24" ht="22" customHeight="1">
      <x:c r="A24" s="19" t="n">
        <x:v>46220</x:v>
      </x:c>
      <x:c r="B24" s="17" t="str">
        <x:v>工程部</x:v>
      </x:c>
      <x:c r="C24" s="17" t="str">
        <x:v>家豪</x:v>
      </x:c>
      <x:c r="D24" s="17" t="str">
        <x:v>客戶入口優化</x:v>
      </x:c>
      <x:c r="E24" s="17" t="str">
        <x:v>修正測試問題</x:v>
      </x:c>
      <x:c r="F24" s="17" t="str">
        <x:v>測試</x:v>
      </x:c>
      <x:c r="G24" s="20" t="n">
        <x:v>10</x:v>
      </x:c>
      <x:c r="H24" s="20" t="n">
        <x:v>11</x:v>
      </x:c>
      <x:c r="I24" s="21" t="str">
        <x:v>已完成</x:v>
      </x:c>
      <x:c r="J24" s="22" t="n">
        <x:v>46227</x:v>
      </x:c>
      <x:c r="K24" s="22" t="n">
        <x:v>46226</x:v>
      </x:c>
      <x:c r="L24" s="21" t="str">
        <x:v>實際處理時間高於原先估計</x:v>
      </x:c>
      <x:c r="M24" s="23" t="n">
        <x:f>H24-G24</x:f>
        <x:v>1</x:v>
      </x:c>
      <x:c r="N24" s="24" t="str">
        <x:f>IF(A24="","",IF(I24="已完成",IF(K24&gt;J24,"是","否"),IF(J24&lt;'資料說明'!$B$4,"是","否")))</x:f>
        <x:v>否</x:v>
      </x:c>
    </x:row>
    <x:row r="25" ht="22" customHeight="1">
      <x:c r="A25" s="19" t="n">
        <x:v>46223</x:v>
      </x:c>
      <x:c r="B25" s="17" t="str">
        <x:v>營運部</x:v>
      </x:c>
      <x:c r="C25" s="17" t="str">
        <x:v>怡文</x:v>
      </x:c>
      <x:c r="D25" s="17" t="str">
        <x:v>客戶入口優化</x:v>
      </x:c>
      <x:c r="E25" s="17" t="str">
        <x:v>整理上線檢查清單</x:v>
      </x:c>
      <x:c r="F25" s="17" t="str">
        <x:v>營運</x:v>
      </x:c>
      <x:c r="G25" s="20" t="n">
        <x:v>8</x:v>
      </x:c>
      <x:c r="H25" s="20" t="n">
        <x:v>5</x:v>
      </x:c>
      <x:c r="I25" s="21" t="str">
        <x:v>進行中</x:v>
      </x:c>
      <x:c r="J25" s="22" t="n">
        <x:v>46226</x:v>
      </x:c>
      <x:c r="K25" s="22"/>
      <x:c r="L25" s="21" t="str">
        <x:v>持續處理中，需留意原訂時程</x:v>
      </x:c>
      <x:c r="M25" s="23" t="n">
        <x:f>H25-G25</x:f>
        <x:v>-3</x:v>
      </x:c>
      <x:c r="N25" s="24" t="str">
        <x:f>IF(A25="","",IF(I25="已完成",IF(K25&gt;J25,"是","否"),IF(J25&lt;'資料說明'!$B$4,"是","否")))</x:f>
        <x:v>是</x:v>
      </x:c>
    </x:row>
    <x:row r="26" ht="22" customHeight="1">
      <x:c r="A26" s="19" t="n">
        <x:v>46226</x:v>
      </x:c>
      <x:c r="B26" s="17" t="str">
        <x:v>行銷部</x:v>
      </x:c>
      <x:c r="C26" s="17" t="str">
        <x:v>俊豪</x:v>
      </x:c>
      <x:c r="D26" s="17" t="str">
        <x:v>客戶入口優化</x:v>
      </x:c>
      <x:c r="E26" s="17" t="str">
        <x:v>撰寫推廣素材</x:v>
      </x:c>
      <x:c r="F26" s="17" t="str">
        <x:v>內容</x:v>
      </x:c>
      <x:c r="G26" s="20" t="n">
        <x:v>12</x:v>
      </x:c>
      <x:c r="H26" s="20" t="n">
        <x:v>16</x:v>
      </x:c>
      <x:c r="I26" s="21" t="str">
        <x:v>已完成</x:v>
      </x:c>
      <x:c r="J26" s="22" t="n">
        <x:v>46230</x:v>
      </x:c>
      <x:c r="K26" s="22" t="n">
        <x:v>46231</x:v>
      </x:c>
      <x:c r="L26" s="21" t="str">
        <x:v>實際處理時間高於原先估計</x:v>
      </x:c>
      <x:c r="M26" s="23" t="n">
        <x:f>H26-G26</x:f>
        <x:v>4</x:v>
      </x:c>
      <x:c r="N26" s="24" t="str">
        <x:f>IF(A26="","",IF(I26="已完成",IF(K26&gt;J26,"是","否"),IF(J26&lt;'資料說明'!$B$4,"是","否")))</x:f>
        <x:v>是</x:v>
      </x:c>
    </x:row>
    <x:row r="27" ht="22" customHeight="1">
      <x:c r="A27" s="19" t="n">
        <x:v>46206</x:v>
      </x:c>
      <x:c r="B27" s="17" t="str">
        <x:v>產品部</x:v>
      </x:c>
      <x:c r="C27" s="17" t="str">
        <x:v>承恩</x:v>
      </x:c>
      <x:c r="D27" s="17" t="str">
        <x:v>客戶入口優化</x:v>
      </x:c>
      <x:c r="E27" s="17" t="str">
        <x:v>確認跨部門時程</x:v>
      </x:c>
      <x:c r="F27" s="17" t="str">
        <x:v>規劃</x:v>
      </x:c>
      <x:c r="G27" s="20" t="n">
        <x:v>6</x:v>
      </x:c>
      <x:c r="H27" s="20" t="n">
        <x:v>0</x:v>
      </x:c>
      <x:c r="I27" s="21" t="str">
        <x:v>尚未開始</x:v>
      </x:c>
      <x:c r="J27" s="22" t="n">
        <x:v>46211</x:v>
      </x:c>
      <x:c r="K27" s="22"/>
      <x:c r="L27" s="21" t="str">
        <x:v>依前置工作完成時間排程</x:v>
      </x:c>
      <x:c r="M27" s="23" t="n">
        <x:f>H27-G27</x:f>
        <x:v>-6</x:v>
      </x:c>
      <x:c r="N27" s="24" t="str">
        <x:f>IF(A27="","",IF(I27="已完成",IF(K27&gt;J27,"是","否"),IF(J27&lt;'資料說明'!$B$4,"是","否")))</x:f>
        <x:v>是</x:v>
      </x:c>
    </x:row>
    <x:row r="28" ht="22" customHeight="1">
      <x:c r="A28" s="19" t="n">
        <x:v>46209</x:v>
      </x:c>
      <x:c r="B28" s="17" t="str">
        <x:v>設計部</x:v>
      </x:c>
      <x:c r="C28" s="17" t="str">
        <x:v>芷晴</x:v>
      </x:c>
      <x:c r="D28" s="17" t="str">
        <x:v>客戶入口優化</x:v>
      </x:c>
      <x:c r="E28" s="17" t="str">
        <x:v>調整行動版介面</x:v>
      </x:c>
      <x:c r="F28" s="17" t="str">
        <x:v>設計</x:v>
      </x:c>
      <x:c r="G28" s="20" t="n">
        <x:v>12</x:v>
      </x:c>
      <x:c r="H28" s="20" t="n">
        <x:v>11</x:v>
      </x:c>
      <x:c r="I28" s="21" t="str">
        <x:v>已完成</x:v>
      </x:c>
      <x:c r="J28" s="22" t="n">
        <x:v>46215</x:v>
      </x:c>
      <x:c r="K28" s="22" t="n">
        <x:v>46213</x:v>
      </x:c>
      <x:c r="L28" s="21" t="str"/>
      <x:c r="M28" s="23" t="n">
        <x:f>H28-G28</x:f>
        <x:v>-1</x:v>
      </x:c>
      <x:c r="N28" s="24" t="str">
        <x:f>IF(A28="","",IF(I28="已完成",IF(K28&gt;J28,"是","否"),IF(J28&lt;'資料說明'!$B$4,"是","否")))</x:f>
        <x:v>否</x:v>
      </x:c>
    </x:row>
    <x:row r="29" ht="22" customHeight="1">
      <x:c r="A29" s="19" t="n">
        <x:v>46212</x:v>
      </x:c>
      <x:c r="B29" s="17" t="str">
        <x:v>工程部</x:v>
      </x:c>
      <x:c r="C29" s="17" t="str">
        <x:v>宇辰</x:v>
      </x:c>
      <x:c r="D29" s="17" t="str">
        <x:v>客戶入口優化</x:v>
      </x:c>
      <x:c r="E29" s="17" t="str">
        <x:v>處理資料驗證</x:v>
      </x:c>
      <x:c r="F29" s="17" t="str">
        <x:v>開發</x:v>
      </x:c>
      <x:c r="G29" s="20" t="n">
        <x:v>18</x:v>
      </x:c>
      <x:c r="H29" s="20" t="n">
        <x:v>18</x:v>
      </x:c>
      <x:c r="I29" s="21" t="str">
        <x:v>已完成</x:v>
      </x:c>
      <x:c r="J29" s="22" t="n">
        <x:v>46219</x:v>
      </x:c>
      <x:c r="K29" s="22" t="n">
        <x:v>46219</x:v>
      </x:c>
      <x:c r="L29" s="21" t="str"/>
      <x:c r="M29" s="23" t="n">
        <x:f>H29-G29</x:f>
        <x:v>0</x:v>
      </x:c>
      <x:c r="N29" s="24" t="str">
        <x:f>IF(A29="","",IF(I29="已完成",IF(K29&gt;J29,"是","否"),IF(J29&lt;'資料說明'!$B$4,"是","否")))</x:f>
        <x:v>否</x:v>
      </x:c>
    </x:row>
    <x:row r="30" ht="22" customHeight="1">
      <x:c r="A30" s="19" t="n">
        <x:v>46215</x:v>
      </x:c>
      <x:c r="B30" s="17" t="str">
        <x:v>產品部</x:v>
      </x:c>
      <x:c r="C30" s="17" t="str">
        <x:v>佩珊</x:v>
      </x:c>
      <x:c r="D30" s="17" t="str">
        <x:v>客戶入口優化</x:v>
      </x:c>
      <x:c r="E30" s="17" t="str">
        <x:v>整理需求與驗收條件</x:v>
      </x:c>
      <x:c r="F30" s="17" t="str">
        <x:v>規劃</x:v>
      </x:c>
      <x:c r="G30" s="20" t="n">
        <x:v>8</x:v>
      </x:c>
      <x:c r="H30" s="20" t="n">
        <x:v>4</x:v>
      </x:c>
      <x:c r="I30" s="21" t="str">
        <x:v>進行中</x:v>
      </x:c>
      <x:c r="J30" s="22" t="n">
        <x:v>46218</x:v>
      </x:c>
      <x:c r="K30" s="22"/>
      <x:c r="L30" s="21" t="str">
        <x:v>持續處理中，需留意原訂時程</x:v>
      </x:c>
      <x:c r="M30" s="23" t="n">
        <x:f>H30-G30</x:f>
        <x:v>-4</x:v>
      </x:c>
      <x:c r="N30" s="24" t="str">
        <x:f>IF(A30="","",IF(I30="已完成",IF(K30&gt;J30,"是","否"),IF(J30&lt;'資料說明'!$B$4,"是","否")))</x:f>
        <x:v>是</x:v>
      </x:c>
    </x:row>
    <x:row r="31" ht="22" customHeight="1">
      <x:c r="A31" s="19" t="n">
        <x:v>46218</x:v>
      </x:c>
      <x:c r="B31" s="17" t="str">
        <x:v>設計部</x:v>
      </x:c>
      <x:c r="C31" s="17" t="str">
        <x:v>小安</x:v>
      </x:c>
      <x:c r="D31" s="17" t="str">
        <x:v>客戶入口優化</x:v>
      </x:c>
      <x:c r="E31" s="17" t="str">
        <x:v>完成頁面視覺稿</x:v>
      </x:c>
      <x:c r="F31" s="17" t="str">
        <x:v>設計</x:v>
      </x:c>
      <x:c r="G31" s="20" t="n">
        <x:v>14</x:v>
      </x:c>
      <x:c r="H31" s="20" t="n">
        <x:v>5</x:v>
      </x:c>
      <x:c r="I31" s="21" t="str">
        <x:v>待確認</x:v>
      </x:c>
      <x:c r="J31" s="22" t="n">
        <x:v>46222</x:v>
      </x:c>
      <x:c r="K31" s="22"/>
      <x:c r="L31" s="21" t="str">
        <x:v>等待需求或交付範圍確認</x:v>
      </x:c>
      <x:c r="M31" s="23" t="n">
        <x:f>H31-G31</x:f>
        <x:v>-9</x:v>
      </x:c>
      <x:c r="N31" s="24" t="str">
        <x:f>IF(A31="","",IF(I31="已完成",IF(K31&gt;J31,"是","否"),IF(J31&lt;'資料說明'!$B$4,"是","否")))</x:f>
        <x:v>是</x:v>
      </x:c>
    </x:row>
    <x:row r="32" ht="22" customHeight="1">
      <x:c r="A32" s="19" t="n">
        <x:v>46221</x:v>
      </x:c>
      <x:c r="B32" s="17" t="str">
        <x:v>工程部</x:v>
      </x:c>
      <x:c r="C32" s="17" t="str">
        <x:v>家豪</x:v>
      </x:c>
      <x:c r="D32" s="17" t="str">
        <x:v>會員中心改版</x:v>
      </x:c>
      <x:c r="E32" s="17" t="str">
        <x:v>串接前端功能</x:v>
      </x:c>
      <x:c r="F32" s="17" t="str">
        <x:v>開發</x:v>
      </x:c>
      <x:c r="G32" s="20" t="n">
        <x:v>20</x:v>
      </x:c>
      <x:c r="H32" s="20" t="n">
        <x:v>24</x:v>
      </x:c>
      <x:c r="I32" s="21" t="str">
        <x:v>已完成</x:v>
      </x:c>
      <x:c r="J32" s="22" t="n">
        <x:v>46226</x:v>
      </x:c>
      <x:c r="K32" s="22" t="n">
        <x:v>46228</x:v>
      </x:c>
      <x:c r="L32" s="21" t="str">
        <x:v>實際處理時間高於原先估計</x:v>
      </x:c>
      <x:c r="M32" s="23" t="n">
        <x:f>H32-G32</x:f>
        <x:v>4</x:v>
      </x:c>
      <x:c r="N32" s="24" t="str">
        <x:f>IF(A32="","",IF(I32="已完成",IF(K32&gt;J32,"是","否"),IF(J32&lt;'資料說明'!$B$4,"是","否")))</x:f>
        <x:v>是</x:v>
      </x:c>
    </x:row>
    <x:row r="33" ht="22" customHeight="1">
      <x:c r="A33" s="19" t="n">
        <x:v>46224</x:v>
      </x:c>
      <x:c r="B33" s="17" t="str">
        <x:v>工程部</x:v>
      </x:c>
      <x:c r="C33" s="17" t="str">
        <x:v>宇辰</x:v>
      </x:c>
      <x:c r="D33" s="17" t="str">
        <x:v>會員中心改版</x:v>
      </x:c>
      <x:c r="E33" s="17" t="str">
        <x:v>修正測試問題</x:v>
      </x:c>
      <x:c r="F33" s="17" t="str">
        <x:v>測試</x:v>
      </x:c>
      <x:c r="G33" s="20" t="n">
        <x:v>10</x:v>
      </x:c>
      <x:c r="H33" s="20" t="n">
        <x:v>8</x:v>
      </x:c>
      <x:c r="I33" s="21" t="str">
        <x:v>已完成</x:v>
      </x:c>
      <x:c r="J33" s="22" t="n">
        <x:v>46230</x:v>
      </x:c>
      <x:c r="K33" s="22" t="n">
        <x:v>46231</x:v>
      </x:c>
      <x:c r="L33" s="21" t="str"/>
      <x:c r="M33" s="23" t="n">
        <x:f>H33-G33</x:f>
        <x:v>-2</x:v>
      </x:c>
      <x:c r="N33" s="24" t="str">
        <x:f>IF(A33="","",IF(I33="已完成",IF(K33&gt;J33,"是","否"),IF(J33&lt;'資料說明'!$B$4,"是","否")))</x:f>
        <x:v>是</x:v>
      </x:c>
    </x:row>
    <x:row r="34" ht="22" customHeight="1">
      <x:c r="A34" s="19" t="n">
        <x:v>46227</x:v>
      </x:c>
      <x:c r="B34" s="17" t="str">
        <x:v>營運部</x:v>
      </x:c>
      <x:c r="C34" s="17" t="str">
        <x:v>子晴</x:v>
      </x:c>
      <x:c r="D34" s="17" t="str">
        <x:v>會員中心改版</x:v>
      </x:c>
      <x:c r="E34" s="17" t="str">
        <x:v>整理上線檢查清單</x:v>
      </x:c>
      <x:c r="F34" s="17" t="str">
        <x:v>營運</x:v>
      </x:c>
      <x:c r="G34" s="20" t="n">
        <x:v>8</x:v>
      </x:c>
      <x:c r="H34" s="20" t="n">
        <x:v>7</x:v>
      </x:c>
      <x:c r="I34" s="21" t="str">
        <x:v>已完成</x:v>
      </x:c>
      <x:c r="J34" s="22" t="n">
        <x:v>46231</x:v>
      </x:c>
      <x:c r="K34" s="22" t="n">
        <x:v>46229</x:v>
      </x:c>
      <x:c r="L34" s="21" t="str"/>
      <x:c r="M34" s="23" t="n">
        <x:f>H34-G34</x:f>
        <x:v>-1</x:v>
      </x:c>
      <x:c r="N34" s="24" t="str">
        <x:f>IF(A34="","",IF(I34="已完成",IF(K34&gt;J34,"是","否"),IF(J34&lt;'資料說明'!$B$4,"是","否")))</x:f>
        <x:v>否</x:v>
      </x:c>
    </x:row>
    <x:row r="35" ht="22" customHeight="1">
      <x:c r="A35" s="19" t="n">
        <x:v>46207</x:v>
      </x:c>
      <x:c r="B35" s="17" t="str">
        <x:v>行銷部</x:v>
      </x:c>
      <x:c r="C35" s="17" t="str">
        <x:v>雅婷</x:v>
      </x:c>
      <x:c r="D35" s="17" t="str">
        <x:v>會員中心改版</x:v>
      </x:c>
      <x:c r="E35" s="17" t="str">
        <x:v>撰寫推廣素材</x:v>
      </x:c>
      <x:c r="F35" s="17" t="str">
        <x:v>內容</x:v>
      </x:c>
      <x:c r="G35" s="20" t="n">
        <x:v>12</x:v>
      </x:c>
      <x:c r="H35" s="20" t="n">
        <x:v>9</x:v>
      </x:c>
      <x:c r="I35" s="21" t="str">
        <x:v>進行中</x:v>
      </x:c>
      <x:c r="J35" s="22" t="n">
        <x:v>46210</x:v>
      </x:c>
      <x:c r="K35" s="22"/>
      <x:c r="L35" s="21" t="str">
        <x:v>持續處理中，需留意原訂時程</x:v>
      </x:c>
      <x:c r="M35" s="23" t="n">
        <x:f>H35-G35</x:f>
        <x:v>-3</x:v>
      </x:c>
      <x:c r="N35" s="24" t="str">
        <x:f>IF(A35="","",IF(I35="已完成",IF(K35&gt;J35,"是","否"),IF(J35&lt;'資料說明'!$B$4,"是","否")))</x:f>
        <x:v>是</x:v>
      </x:c>
    </x:row>
    <x:row r="36" ht="22" customHeight="1">
      <x:c r="A36" s="19" t="n">
        <x:v>46210</x:v>
      </x:c>
      <x:c r="B36" s="17" t="str">
        <x:v>產品部</x:v>
      </x:c>
      <x:c r="C36" s="17" t="str">
        <x:v>佩珊</x:v>
      </x:c>
      <x:c r="D36" s="17" t="str">
        <x:v>會員中心改版</x:v>
      </x:c>
      <x:c r="E36" s="17" t="str">
        <x:v>確認跨部門時程</x:v>
      </x:c>
      <x:c r="F36" s="17" t="str">
        <x:v>規劃</x:v>
      </x:c>
      <x:c r="G36" s="20" t="n">
        <x:v>6</x:v>
      </x:c>
      <x:c r="H36" s="20" t="n">
        <x:v>7</x:v>
      </x:c>
      <x:c r="I36" s="21" t="str">
        <x:v>已完成</x:v>
      </x:c>
      <x:c r="J36" s="22" t="n">
        <x:v>46214</x:v>
      </x:c>
      <x:c r="K36" s="22" t="n">
        <x:v>46213</x:v>
      </x:c>
      <x:c r="L36" s="21" t="str">
        <x:v>實際處理時間高於原先估計</x:v>
      </x:c>
      <x:c r="M36" s="23" t="n">
        <x:f>H36-G36</x:f>
        <x:v>1</x:v>
      </x:c>
      <x:c r="N36" s="24" t="str">
        <x:f>IF(A36="","",IF(I36="已完成",IF(K36&gt;J36,"是","否"),IF(J36&lt;'資料說明'!$B$4,"是","否")))</x:f>
        <x:v>否</x:v>
      </x:c>
    </x:row>
    <x:row r="37" ht="22" customHeight="1">
      <x:c r="A37" s="19" t="n">
        <x:v>46213</x:v>
      </x:c>
      <x:c r="B37" s="17" t="str">
        <x:v>設計部</x:v>
      </x:c>
      <x:c r="C37" s="17" t="str">
        <x:v>小安</x:v>
      </x:c>
      <x:c r="D37" s="17" t="str">
        <x:v>會員中心改版</x:v>
      </x:c>
      <x:c r="E37" s="17" t="str">
        <x:v>調整行動版介面</x:v>
      </x:c>
      <x:c r="F37" s="17" t="str">
        <x:v>設計</x:v>
      </x:c>
      <x:c r="G37" s="20" t="n">
        <x:v>12</x:v>
      </x:c>
      <x:c r="H37" s="20" t="n">
        <x:v>15</x:v>
      </x:c>
      <x:c r="I37" s="21" t="str">
        <x:v>已完成</x:v>
      </x:c>
      <x:c r="J37" s="22" t="n">
        <x:v>46218</x:v>
      </x:c>
      <x:c r="K37" s="22" t="n">
        <x:v>46216</x:v>
      </x:c>
      <x:c r="L37" s="21" t="str">
        <x:v>實際處理時間高於原先估計</x:v>
      </x:c>
      <x:c r="M37" s="23" t="n">
        <x:f>H37-G37</x:f>
        <x:v>3</x:v>
      </x:c>
      <x:c r="N37" s="24" t="str">
        <x:f>IF(A37="","",IF(I37="已完成",IF(K37&gt;J37,"是","否"),IF(J37&lt;'資料說明'!$B$4,"是","否")))</x:f>
        <x:v>否</x:v>
      </x:c>
    </x:row>
    <x:row r="38" ht="22" customHeight="1">
      <x:c r="A38" s="19" t="n">
        <x:v>46216</x:v>
      </x:c>
      <x:c r="B38" s="17" t="str">
        <x:v>工程部</x:v>
      </x:c>
      <x:c r="C38" s="17" t="str">
        <x:v>家豪</x:v>
      </x:c>
      <x:c r="D38" s="17" t="str">
        <x:v>會員中心改版</x:v>
      </x:c>
      <x:c r="E38" s="17" t="str">
        <x:v>處理資料驗證</x:v>
      </x:c>
      <x:c r="F38" s="17" t="str">
        <x:v>開發</x:v>
      </x:c>
      <x:c r="G38" s="20" t="n">
        <x:v>18</x:v>
      </x:c>
      <x:c r="H38" s="20" t="n">
        <x:v>0</x:v>
      </x:c>
      <x:c r="I38" s="21" t="str">
        <x:v>尚未開始</x:v>
      </x:c>
      <x:c r="J38" s="22" t="n">
        <x:v>46222</x:v>
      </x:c>
      <x:c r="K38" s="22"/>
      <x:c r="L38" s="21" t="str">
        <x:v>依前置工作完成時間排程</x:v>
      </x:c>
      <x:c r="M38" s="23" t="n">
        <x:f>H38-G38</x:f>
        <x:v>-18</x:v>
      </x:c>
      <x:c r="N38" s="24" t="str">
        <x:f>IF(A38="","",IF(I38="已完成",IF(K38&gt;J38,"是","否"),IF(J38&lt;'資料說明'!$B$4,"是","否")))</x:f>
        <x:v>是</x:v>
      </x:c>
    </x:row>
    <x:row r="39" ht="22" customHeight="1">
      <x:c r="A39" s="19" t="n">
        <x:v>46219</x:v>
      </x:c>
      <x:c r="B39" s="17" t="str">
        <x:v>產品部</x:v>
      </x:c>
      <x:c r="C39" s="17" t="str">
        <x:v>承恩</x:v>
      </x:c>
      <x:c r="D39" s="17" t="str">
        <x:v>會員中心改版</x:v>
      </x:c>
      <x:c r="E39" s="17" t="str">
        <x:v>整理需求與驗收條件</x:v>
      </x:c>
      <x:c r="F39" s="17" t="str">
        <x:v>規劃</x:v>
      </x:c>
      <x:c r="G39" s="20" t="n">
        <x:v>8</x:v>
      </x:c>
      <x:c r="H39" s="20" t="n">
        <x:v>6</x:v>
      </x:c>
      <x:c r="I39" s="21" t="str">
        <x:v>已完成</x:v>
      </x:c>
      <x:c r="J39" s="22" t="n">
        <x:v>46226</x:v>
      </x:c>
      <x:c r="K39" s="22" t="n">
        <x:v>46225</x:v>
      </x:c>
      <x:c r="L39" s="21" t="str"/>
      <x:c r="M39" s="23" t="n">
        <x:f>H39-G39</x:f>
        <x:v>-2</x:v>
      </x:c>
      <x:c r="N39" s="24" t="str">
        <x:f>IF(A39="","",IF(I39="已完成",IF(K39&gt;J39,"是","否"),IF(J39&lt;'資料說明'!$B$4,"是","否")))</x:f>
        <x:v>否</x:v>
      </x:c>
    </x:row>
    <x:row r="40" ht="22" customHeight="1">
      <x:c r="A40" s="19" t="n">
        <x:v>46222</x:v>
      </x:c>
      <x:c r="B40" s="17" t="str">
        <x:v>設計部</x:v>
      </x:c>
      <x:c r="C40" s="17" t="str">
        <x:v>芷晴</x:v>
      </x:c>
      <x:c r="D40" s="17" t="str">
        <x:v>會員中心改版</x:v>
      </x:c>
      <x:c r="E40" s="17" t="str">
        <x:v>完成頁面視覺稿</x:v>
      </x:c>
      <x:c r="F40" s="17" t="str">
        <x:v>設計</x:v>
      </x:c>
      <x:c r="G40" s="20" t="n">
        <x:v>14</x:v>
      </x:c>
      <x:c r="H40" s="20" t="n">
        <x:v>8</x:v>
      </x:c>
      <x:c r="I40" s="21" t="str">
        <x:v>進行中</x:v>
      </x:c>
      <x:c r="J40" s="22" t="n">
        <x:v>46225</x:v>
      </x:c>
      <x:c r="K40" s="22"/>
      <x:c r="L40" s="21" t="str">
        <x:v>持續處理中，需留意原訂時程</x:v>
      </x:c>
      <x:c r="M40" s="23" t="n">
        <x:f>H40-G40</x:f>
        <x:v>-6</x:v>
      </x:c>
      <x:c r="N40" s="24" t="str">
        <x:f>IF(A40="","",IF(I40="已完成",IF(K40&gt;J40,"是","否"),IF(J40&lt;'資料說明'!$B$4,"是","否")))</x:f>
        <x:v>是</x:v>
      </x:c>
    </x:row>
    <x:row r="41" ht="22" customHeight="1">
      <x:c r="A41" s="19" t="n">
        <x:v>46225</x:v>
      </x:c>
      <x:c r="B41" s="17" t="str">
        <x:v>工程部</x:v>
      </x:c>
      <x:c r="C41" s="17" t="str">
        <x:v>宇辰</x:v>
      </x:c>
      <x:c r="D41" s="17" t="str">
        <x:v>行動版升級</x:v>
      </x:c>
      <x:c r="E41" s="17" t="str">
        <x:v>串接前端功能</x:v>
      </x:c>
      <x:c r="F41" s="17" t="str">
        <x:v>開發</x:v>
      </x:c>
      <x:c r="G41" s="20" t="n">
        <x:v>20</x:v>
      </x:c>
      <x:c r="H41" s="20" t="n">
        <x:v>20</x:v>
      </x:c>
      <x:c r="I41" s="21" t="str">
        <x:v>已完成</x:v>
      </x:c>
      <x:c r="J41" s="22" t="n">
        <x:v>46229</x:v>
      </x:c>
      <x:c r="K41" s="22" t="n">
        <x:v>46231</x:v>
      </x:c>
      <x:c r="L41" s="21" t="str"/>
      <x:c r="M41" s="23" t="n">
        <x:f>H41-G41</x:f>
        <x:v>0</x:v>
      </x:c>
      <x:c r="N41" s="24" t="str">
        <x:f>IF(A41="","",IF(I41="已完成",IF(K41&gt;J41,"是","否"),IF(J41&lt;'資料說明'!$B$4,"是","否")))</x:f>
        <x:v>是</x:v>
      </x:c>
    </x:row>
    <x:row r="42" ht="22" customHeight="1">
      <x:c r="A42" s="19" t="n">
        <x:v>46205</x:v>
      </x:c>
      <x:c r="B42" s="17" t="str">
        <x:v>工程部</x:v>
      </x:c>
      <x:c r="C42" s="17" t="str">
        <x:v>家豪</x:v>
      </x:c>
      <x:c r="D42" s="17" t="str">
        <x:v>行動版升級</x:v>
      </x:c>
      <x:c r="E42" s="17" t="str">
        <x:v>修正測試問題</x:v>
      </x:c>
      <x:c r="F42" s="17" t="str">
        <x:v>測試</x:v>
      </x:c>
      <x:c r="G42" s="20" t="n">
        <x:v>10</x:v>
      </x:c>
      <x:c r="H42" s="20" t="n">
        <x:v>11</x:v>
      </x:c>
      <x:c r="I42" s="21" t="str">
        <x:v>已完成</x:v>
      </x:c>
      <x:c r="J42" s="22" t="n">
        <x:v>46210</x:v>
      </x:c>
      <x:c r="K42" s="22" t="n">
        <x:v>46209</x:v>
      </x:c>
      <x:c r="L42" s="21" t="str">
        <x:v>實際處理時間高於原先估計</x:v>
      </x:c>
      <x:c r="M42" s="23" t="n">
        <x:f>H42-G42</x:f>
        <x:v>1</x:v>
      </x:c>
      <x:c r="N42" s="24" t="str">
        <x:f>IF(A42="","",IF(I42="已完成",IF(K42&gt;J42,"是","否"),IF(J42&lt;'資料說明'!$B$4,"是","否")))</x:f>
        <x:v>否</x:v>
      </x:c>
    </x:row>
    <x:row r="43" ht="22" customHeight="1">
      <x:c r="A43" s="19" t="n">
        <x:v>46208</x:v>
      </x:c>
      <x:c r="B43" s="17" t="str">
        <x:v>營運部</x:v>
      </x:c>
      <x:c r="C43" s="17" t="str">
        <x:v>怡文</x:v>
      </x:c>
      <x:c r="D43" s="17" t="str">
        <x:v>行動版升級</x:v>
      </x:c>
      <x:c r="E43" s="17" t="str">
        <x:v>整理上線檢查清單</x:v>
      </x:c>
      <x:c r="F43" s="17" t="str">
        <x:v>營運</x:v>
      </x:c>
      <x:c r="G43" s="20" t="n">
        <x:v>8</x:v>
      </x:c>
      <x:c r="H43" s="20" t="n">
        <x:v>11</x:v>
      </x:c>
      <x:c r="I43" s="21" t="str">
        <x:v>已完成</x:v>
      </x:c>
      <x:c r="J43" s="22" t="n">
        <x:v>46214</x:v>
      </x:c>
      <x:c r="K43" s="22" t="n">
        <x:v>46212</x:v>
      </x:c>
      <x:c r="L43" s="21" t="str">
        <x:v>實際處理時間高於原先估計</x:v>
      </x:c>
      <x:c r="M43" s="23" t="n">
        <x:f>H43-G43</x:f>
        <x:v>3</x:v>
      </x:c>
      <x:c r="N43" s="24" t="str">
        <x:f>IF(A43="","",IF(I43="已完成",IF(K43&gt;J43,"是","否"),IF(J43&lt;'資料說明'!$B$4,"是","否")))</x:f>
        <x:v>否</x:v>
      </x:c>
    </x:row>
    <x:row r="44" ht="22" customHeight="1">
      <x:c r="A44" s="19" t="n">
        <x:v>46211</x:v>
      </x:c>
      <x:c r="B44" s="17" t="str">
        <x:v>行銷部</x:v>
      </x:c>
      <x:c r="C44" s="17" t="str">
        <x:v>俊豪</x:v>
      </x:c>
      <x:c r="D44" s="17" t="str">
        <x:v>行動版升級</x:v>
      </x:c>
      <x:c r="E44" s="17" t="str">
        <x:v>撰寫推廣素材</x:v>
      </x:c>
      <x:c r="F44" s="17" t="str">
        <x:v>內容</x:v>
      </x:c>
      <x:c r="G44" s="20" t="n">
        <x:v>12</x:v>
      </x:c>
      <x:c r="H44" s="20" t="n">
        <x:v>4</x:v>
      </x:c>
      <x:c r="I44" s="21" t="str">
        <x:v>待確認</x:v>
      </x:c>
      <x:c r="J44" s="22" t="n">
        <x:v>46218</x:v>
      </x:c>
      <x:c r="K44" s="22"/>
      <x:c r="L44" s="21" t="str">
        <x:v>等待需求或交付範圍確認</x:v>
      </x:c>
      <x:c r="M44" s="23" t="n">
        <x:f>H44-G44</x:f>
        <x:v>-8</x:v>
      </x:c>
      <x:c r="N44" s="24" t="str">
        <x:f>IF(A44="","",IF(I44="已完成",IF(K44&gt;J44,"是","否"),IF(J44&lt;'資料說明'!$B$4,"是","否")))</x:f>
        <x:v>是</x:v>
      </x:c>
    </x:row>
    <x:row r="45" ht="22" customHeight="1">
      <x:c r="A45" s="19" t="n">
        <x:v>46214</x:v>
      </x:c>
      <x:c r="B45" s="17" t="str">
        <x:v>產品部</x:v>
      </x:c>
      <x:c r="C45" s="17" t="str">
        <x:v>承恩</x:v>
      </x:c>
      <x:c r="D45" s="17" t="str">
        <x:v>行動版升級</x:v>
      </x:c>
      <x:c r="E45" s="17" t="str">
        <x:v>確認跨部門時程</x:v>
      </x:c>
      <x:c r="F45" s="17" t="str">
        <x:v>規劃</x:v>
      </x:c>
      <x:c r="G45" s="20" t="n">
        <x:v>6</x:v>
      </x:c>
      <x:c r="H45" s="20" t="n">
        <x:v>3</x:v>
      </x:c>
      <x:c r="I45" s="21" t="str">
        <x:v>進行中</x:v>
      </x:c>
      <x:c r="J45" s="22" t="n">
        <x:v>46217</x:v>
      </x:c>
      <x:c r="K45" s="22"/>
      <x:c r="L45" s="21" t="str">
        <x:v>持續處理中，需留意原訂時程</x:v>
      </x:c>
      <x:c r="M45" s="23" t="n">
        <x:f>H45-G45</x:f>
        <x:v>-3</x:v>
      </x:c>
      <x:c r="N45" s="24" t="str">
        <x:f>IF(A45="","",IF(I45="已完成",IF(K45&gt;J45,"是","否"),IF(J45&lt;'資料說明'!$B$4,"是","否")))</x:f>
        <x:v>是</x:v>
      </x:c>
    </x:row>
    <x:row r="46" ht="22" customHeight="1">
      <x:c r="A46" s="19" t="n">
        <x:v>46217</x:v>
      </x:c>
      <x:c r="B46" s="17" t="str">
        <x:v>設計部</x:v>
      </x:c>
      <x:c r="C46" s="17" t="str">
        <x:v>芷晴</x:v>
      </x:c>
      <x:c r="D46" s="17" t="str">
        <x:v>行動版升級</x:v>
      </x:c>
      <x:c r="E46" s="17" t="str">
        <x:v>調整行動版介面</x:v>
      </x:c>
      <x:c r="F46" s="17" t="str">
        <x:v>設計</x:v>
      </x:c>
      <x:c r="G46" s="20" t="n">
        <x:v>12</x:v>
      </x:c>
      <x:c r="H46" s="20" t="n">
        <x:v>11</x:v>
      </x:c>
      <x:c r="I46" s="21" t="str">
        <x:v>已完成</x:v>
      </x:c>
      <x:c r="J46" s="22" t="n">
        <x:v>46221</x:v>
      </x:c>
      <x:c r="K46" s="22" t="n">
        <x:v>46219</x:v>
      </x:c>
      <x:c r="L46" s="21" t="str"/>
      <x:c r="M46" s="23" t="n">
        <x:f>H46-G46</x:f>
        <x:v>-1</x:v>
      </x:c>
      <x:c r="N46" s="24" t="str">
        <x:f>IF(A46="","",IF(I46="已完成",IF(K46&gt;J46,"是","否"),IF(J46&lt;'資料說明'!$B$4,"是","否")))</x:f>
        <x:v>否</x:v>
      </x:c>
    </x:row>
    <x:row r="47" ht="22" customHeight="1">
      <x:c r="A47" s="19" t="n">
        <x:v>46220</x:v>
      </x:c>
      <x:c r="B47" s="17" t="str">
        <x:v>工程部</x:v>
      </x:c>
      <x:c r="C47" s="17" t="str">
        <x:v>宇辰</x:v>
      </x:c>
      <x:c r="D47" s="17" t="str">
        <x:v>行動版升級</x:v>
      </x:c>
      <x:c r="E47" s="17" t="str">
        <x:v>處理資料驗證</x:v>
      </x:c>
      <x:c r="F47" s="17" t="str">
        <x:v>開發</x:v>
      </x:c>
      <x:c r="G47" s="20" t="n">
        <x:v>18</x:v>
      </x:c>
      <x:c r="H47" s="20" t="n">
        <x:v>18</x:v>
      </x:c>
      <x:c r="I47" s="21" t="str">
        <x:v>已完成</x:v>
      </x:c>
      <x:c r="J47" s="22" t="n">
        <x:v>46225</x:v>
      </x:c>
      <x:c r="K47" s="22" t="n">
        <x:v>46226</x:v>
      </x:c>
      <x:c r="L47" s="21" t="str"/>
      <x:c r="M47" s="23" t="n">
        <x:f>H47-G47</x:f>
        <x:v>0</x:v>
      </x:c>
      <x:c r="N47" s="24" t="str">
        <x:f>IF(A47="","",IF(I47="已完成",IF(K47&gt;J47,"是","否"),IF(J47&lt;'資料說明'!$B$4,"是","否")))</x:f>
        <x:v>是</x:v>
      </x:c>
    </x:row>
    <x:row r="48" ht="22" customHeight="1">
      <x:c r="A48" s="19" t="n">
        <x:v>46223</x:v>
      </x:c>
      <x:c r="B48" s="17" t="str">
        <x:v>產品部</x:v>
      </x:c>
      <x:c r="C48" s="17" t="str">
        <x:v>佩珊</x:v>
      </x:c>
      <x:c r="D48" s="17" t="str">
        <x:v>行動版升級</x:v>
      </x:c>
      <x:c r="E48" s="17" t="str">
        <x:v>整理需求與驗收條件</x:v>
      </x:c>
      <x:c r="F48" s="17" t="str">
        <x:v>規劃</x:v>
      </x:c>
      <x:c r="G48" s="20" t="n">
        <x:v>8</x:v>
      </x:c>
      <x:c r="H48" s="20" t="n">
        <x:v>9</x:v>
      </x:c>
      <x:c r="I48" s="21" t="str">
        <x:v>已完成</x:v>
      </x:c>
      <x:c r="J48" s="22" t="n">
        <x:v>46229</x:v>
      </x:c>
      <x:c r="K48" s="22" t="n">
        <x:v>46228</x:v>
      </x:c>
      <x:c r="L48" s="21" t="str">
        <x:v>實際處理時間高於原先估計</x:v>
      </x:c>
      <x:c r="M48" s="23" t="n">
        <x:f>H48-G48</x:f>
        <x:v>1</x:v>
      </x:c>
      <x:c r="N48" s="24" t="str">
        <x:f>IF(A48="","",IF(I48="已完成",IF(K48&gt;J48,"是","否"),IF(J48&lt;'資料說明'!$B$4,"是","否")))</x:f>
        <x:v>否</x:v>
      </x:c>
    </x:row>
    <x:row r="49" ht="22" customHeight="1">
      <x:c r="A49" s="19" t="n">
        <x:v>46226</x:v>
      </x:c>
      <x:c r="B49" s="17" t="str">
        <x:v>設計部</x:v>
      </x:c>
      <x:c r="C49" s="17" t="str">
        <x:v>小安</x:v>
      </x:c>
      <x:c r="D49" s="17" t="str">
        <x:v>行動版升級</x:v>
      </x:c>
      <x:c r="E49" s="17" t="str">
        <x:v>完成頁面視覺稿</x:v>
      </x:c>
      <x:c r="F49" s="17" t="str">
        <x:v>設計</x:v>
      </x:c>
      <x:c r="G49" s="20" t="n">
        <x:v>14</x:v>
      </x:c>
      <x:c r="H49" s="20" t="n">
        <x:v>0</x:v>
      </x:c>
      <x:c r="I49" s="21" t="str">
        <x:v>尚未開始</x:v>
      </x:c>
      <x:c r="J49" s="22" t="n">
        <x:v>46231</x:v>
      </x:c>
      <x:c r="K49" s="22"/>
      <x:c r="L49" s="21" t="str">
        <x:v>依前置工作完成時間排程</x:v>
      </x:c>
      <x:c r="M49" s="23" t="n">
        <x:f>H49-G49</x:f>
        <x:v>-14</x:v>
      </x:c>
      <x:c r="N49" s="24" t="str">
        <x:f>IF(A49="","",IF(I49="已完成",IF(K49&gt;J49,"是","否"),IF(J49&lt;'資料說明'!$B$4,"是","否")))</x:f>
        <x:v>否</x:v>
      </x:c>
    </x:row>
  </x:sheetData>
  <x:mergeCells>
    <x:mergeCell ref="A1:N1"/>
    <x:mergeCell ref="A2:N2"/>
  </x:mergeCells>
  <x:conditionalFormatting sqref="M5:M49">
    <x:cfRule type="cellIs" dxfId="0" priority="1" operator="greaterThan">
      <x:formula>0</x:formula>
    </x:cfRule>
  </x:conditionalFormatting>
  <x:conditionalFormatting sqref="N5:N49">
    <x:cfRule type="containsText" dxfId="1" priority="2" operator="containsText" text="是"/>
  </x:conditionalFormatting>
  <x:conditionalFormatting sqref="I5:I49">
    <x:cfRule type="containsText" dxfId="2" priority="3" operator="containsText" text="已完成"/>
  </x:conditionalFormatting>
  <x:dataValidations count="3">
    <x:dataValidation type="list" sqref="B5:B49">
      <x:formula1>"產品部,設計部,工程部,行銷部,營運部"</x:formula1>
    </x:dataValidation>
    <x:dataValidation type="list" sqref="F5:F49">
      <x:formula1>"規劃,設計,開發,測試,內容,營運"</x:formula1>
    </x:dataValidation>
    <x:dataValidation type="list" sqref="I5:I49">
      <x:formula1>"已完成,進行中,待確認,尚未開始"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5d117d0bd841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3" hidden="0" customWidth="1"/>
    <x:col min="3" max="3" width="13" hidden="0" customWidth="1"/>
    <x:col min="4" max="4" width="4" hidden="0" customWidth="1"/>
    <x:col min="5" max="5" width="25" hidden="0" customWidth="1"/>
    <x:col min="6" max="6" width="28" hidden="0" customWidth="1"/>
  </x:cols>
  <x:sheetData>
    <x:row r="1" ht="32" customHeight="1">
      <x:c r="A1" s="3" t="str">
        <x:v>資料說明</x:v>
      </x:c>
      <x:c r="B1" s="3"/>
      <x:c r="C1" s="3"/>
      <x:c r="D1" s="3"/>
      <x:c r="E1" s="3"/>
      <x:c r="F1" s="3"/>
    </x:row>
    <x:row r="2">
      <x:c r="A2" s="17"/>
      <x:c r="B2" s="17"/>
      <x:c r="C2" s="17"/>
      <x:c r="D2" s="17"/>
      <x:c r="E2" s="17"/>
      <x:c r="F2" s="17"/>
    </x:row>
    <x:row r="3">
      <x:c r="A3" s="60" t="str">
        <x:v>報表月份</x:v>
      </x:c>
      <x:c r="B3" s="61" t="str">
        <x:v>2026 年 7 月</x:v>
      </x:c>
      <x:c r="C3" s="17"/>
      <x:c r="D3" s="17"/>
      <x:c r="E3" s="27" t="str">
        <x:v>儀表板建議</x:v>
      </x:c>
      <x:c r="F3" s="27" t="str">
        <x:v>用途</x:v>
      </x:c>
    </x:row>
    <x:row r="4">
      <x:c r="A4" s="60" t="str">
        <x:v>統計截止日</x:v>
      </x:c>
      <x:c r="B4" s="62" t="n">
        <x:v>46228</x:v>
      </x:c>
      <x:c r="C4" s="17"/>
      <x:c r="D4" s="17"/>
      <x:c r="E4" s="63" t="str">
        <x:v>KPI：實際總工時</x:v>
      </x:c>
      <x:c r="F4" s="63" t="str">
        <x:v>掌握本月投入規模</x:v>
      </x:c>
    </x:row>
    <x:row r="5">
      <x:c r="A5" s="17"/>
      <x:c r="B5" s="17"/>
      <x:c r="C5" s="17"/>
      <x:c r="D5" s="17"/>
      <x:c r="E5" s="64" t="str">
        <x:v>KPI：工時超支比例</x:v>
      </x:c>
      <x:c r="F5" s="64" t="str">
        <x:v>查看高於預估的工作占比</x:v>
      </x:c>
    </x:row>
    <x:row r="6" ht="24" customHeight="1">
      <x:c r="A6" s="27" t="str">
        <x:v>欄位</x:v>
      </x:c>
      <x:c r="B6" s="27" t="str">
        <x:v>用途</x:v>
      </x:c>
      <x:c r="C6" s="27" t="str">
        <x:v>輸入方式</x:v>
      </x:c>
      <x:c r="D6" s="17"/>
      <x:c r="E6" s="64" t="str">
        <x:v>KPI：完成率</x:v>
      </x:c>
      <x:c r="F6" s="64" t="str">
        <x:v>了解目前完成情形</x:v>
      </x:c>
    </x:row>
    <x:row r="7" ht="24" customHeight="1">
      <x:c r="A7" s="63" t="str">
        <x:v>工作日期</x:v>
      </x:c>
      <x:c r="B7" s="75" t="str">
        <x:v>這筆工作開始或登錄的日期</x:v>
      </x:c>
      <x:c r="C7" s="63" t="str">
        <x:v>日期</x:v>
      </x:c>
      <x:c r="D7" s="17"/>
      <x:c r="E7" s="64" t="str">
        <x:v>KPI：逾期件數</x:v>
      </x:c>
      <x:c r="F7" s="64" t="str">
        <x:v>快速辨識時程風險</x:v>
      </x:c>
    </x:row>
    <x:row r="8" ht="24" customHeight="1">
      <x:c r="A8" s="64" t="str">
        <x:v>部門</x:v>
      </x:c>
      <x:c r="B8" s="76" t="str">
        <x:v>負責這項工作的部門</x:v>
      </x:c>
      <x:c r="C8" s="64" t="str">
        <x:v>文字</x:v>
      </x:c>
      <x:c r="D8" s="17"/>
      <x:c r="E8" s="64" t="str">
        <x:v>圖表：部門預估與實際工時</x:v>
      </x:c>
      <x:c r="F8" s="64" t="str">
        <x:v>比較各部門工時落差</x:v>
      </x:c>
    </x:row>
    <x:row r="9" ht="24" customHeight="1">
      <x:c r="A9" s="64" t="str">
        <x:v>人員</x:v>
      </x:c>
      <x:c r="B9" s="76" t="str">
        <x:v>主要負責人</x:v>
      </x:c>
      <x:c r="C9" s="64" t="str">
        <x:v>文字</x:v>
      </x:c>
      <x:c r="D9" s="17"/>
      <x:c r="E9" s="65" t="str">
        <x:v>圖表：超出預估的工作項目</x:v>
      </x:c>
      <x:c r="F9" s="65" t="str">
        <x:v>找出需要進一步追蹤的任務</x:v>
      </x:c>
    </x:row>
    <x:row r="10" ht="24" customHeight="1">
      <x:c r="A10" s="64" t="str">
        <x:v>專案</x:v>
      </x:c>
      <x:c r="B10" s="76" t="str">
        <x:v>工作所屬的專案</x:v>
      </x:c>
      <x:c r="C10" s="64" t="str">
        <x:v>文字</x:v>
      </x:c>
      <x:c r="D10" s="17"/>
      <x:c r="E10" s="17"/>
      <x:c r="F10" s="17"/>
    </x:row>
    <x:row r="11" ht="24" customHeight="1">
      <x:c r="A11" s="64" t="str">
        <x:v>工作項目</x:v>
      </x:c>
      <x:c r="B11" s="76" t="str">
        <x:v>本次實際執行的內容</x:v>
      </x:c>
      <x:c r="C11" s="64" t="str">
        <x:v>文字</x:v>
      </x:c>
      <x:c r="D11" s="17"/>
      <x:c r="E11" s="66" t="str">
        <x:v>範例使用方式</x:v>
      </x:c>
      <x:c r="F11" s="66"/>
    </x:row>
    <x:row r="12" ht="24" customHeight="1">
      <x:c r="A12" s="64" t="str">
        <x:v>任務類型</x:v>
      </x:c>
      <x:c r="B12" s="76" t="str">
        <x:v>依工作性質分類，例如規劃、設計或開發</x:v>
      </x:c>
      <x:c r="C12" s="64" t="str">
        <x:v>選單</x:v>
      </x:c>
      <x:c r="D12" s="17"/>
      <x:c r="E12" s="67" t="str">
        <x:v>先用六月資料完成一份儀表板並確認版面，再透過 Template Creator 保存成個人範本；之後改用七月資料，測試能否快速產生相同結構的新報表。</x:v>
      </x:c>
      <x:c r="F12" s="68"/>
    </x:row>
    <x:row r="13" ht="24" customHeight="1">
      <x:c r="A13" s="64" t="str">
        <x:v>預估工時</x:v>
      </x:c>
      <x:c r="B13" s="76" t="str">
        <x:v>執行前預計投入的時數</x:v>
      </x:c>
      <x:c r="C13" s="64" t="str">
        <x:v>數值</x:v>
      </x:c>
      <x:c r="D13" s="17"/>
      <x:c r="E13" s="69"/>
      <x:c r="F13" s="70"/>
    </x:row>
    <x:row r="14" ht="24" customHeight="1">
      <x:c r="A14" s="64" t="str">
        <x:v>實際工時</x:v>
      </x:c>
      <x:c r="B14" s="76" t="str">
        <x:v>截至統計日已投入的時數</x:v>
      </x:c>
      <x:c r="C14" s="64" t="str">
        <x:v>數值</x:v>
      </x:c>
      <x:c r="D14" s="17"/>
      <x:c r="E14" s="69"/>
      <x:c r="F14" s="70"/>
    </x:row>
    <x:row r="15" ht="24" customHeight="1">
      <x:c r="A15" s="64" t="str">
        <x:v>執行狀態</x:v>
      </x:c>
      <x:c r="B15" s="76" t="str">
        <x:v>工作目前的進度狀態</x:v>
      </x:c>
      <x:c r="C15" s="64" t="str">
        <x:v>選單</x:v>
      </x:c>
      <x:c r="D15" s="17"/>
      <x:c r="E15" s="71"/>
      <x:c r="F15" s="72"/>
    </x:row>
    <x:row r="16" ht="24" customHeight="1">
      <x:c r="A16" s="64" t="str">
        <x:v>預計完成日</x:v>
      </x:c>
      <x:c r="B16" s="76" t="str">
        <x:v>原先排定的完成日期</x:v>
      </x:c>
      <x:c r="C16" s="64" t="str">
        <x:v>日期</x:v>
      </x:c>
      <x:c r="D16" s="17"/>
      <x:c r="E16" s="17"/>
      <x:c r="F16" s="17"/>
    </x:row>
    <x:row r="17" ht="24" customHeight="1">
      <x:c r="A17" s="64" t="str">
        <x:v>實際完成日</x:v>
      </x:c>
      <x:c r="B17" s="76" t="str">
        <x:v>工作真正完成的日期；未完成時留白</x:v>
      </x:c>
      <x:c r="C17" s="64" t="str">
        <x:v>日期</x:v>
      </x:c>
      <x:c r="D17" s="17"/>
      <x:c r="E17" s="17"/>
      <x:c r="F17" s="17"/>
    </x:row>
    <x:row r="18" ht="24" customHeight="1">
      <x:c r="A18" s="64" t="str">
        <x:v>備註</x:v>
      </x:c>
      <x:c r="B18" s="76" t="str">
        <x:v>補充延期、待確認或調整原因</x:v>
      </x:c>
      <x:c r="C18" s="64" t="str">
        <x:v>文字</x:v>
      </x:c>
      <x:c r="D18" s="17"/>
      <x:c r="E18" s="17"/>
      <x:c r="F18" s="17"/>
    </x:row>
    <x:row r="19" ht="24" customHeight="1">
      <x:c r="A19" s="73" t="str">
        <x:v>工時差異</x:v>
      </x:c>
      <x:c r="B19" s="77" t="str">
        <x:v>實際工時減去預估工時；正數表示超出預估</x:v>
      </x:c>
      <x:c r="C19" s="73" t="str">
        <x:v>公式</x:v>
      </x:c>
      <x:c r="D19" s="17"/>
      <x:c r="E19" s="17"/>
      <x:c r="F19" s="17"/>
    </x:row>
    <x:row r="20" ht="24" customHeight="1">
      <x:c r="A20" s="74" t="str">
        <x:v>是否逾期</x:v>
      </x:c>
      <x:c r="B20" s="78" t="str">
        <x:v>依完成日或統計日判斷是否超過預計完成日</x:v>
      </x:c>
      <x:c r="C20" s="74" t="str">
        <x:v>公式</x:v>
      </x:c>
      <x:c r="D20" s="17"/>
      <x:c r="E20" s="17"/>
      <x:c r="F20" s="17"/>
    </x:row>
  </x:sheetData>
  <x:mergeCells>
    <x:mergeCell ref="A1:F1"/>
    <x:mergeCell ref="E11:F11"/>
    <x:mergeCell ref="E12:F15"/>
  </x:mergeCells>
  <x:pageMargins left="0.7" right="0.7" top="0.75" bottom="0.75" header="0.3" footer="0.3"/>
</x:worksheet>
</file>