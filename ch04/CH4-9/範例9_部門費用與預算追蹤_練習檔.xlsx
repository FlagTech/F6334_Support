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OneDrive\Desktop\F6334\CH04_example08-1\"/>
    </mc:Choice>
  </mc:AlternateContent>
  <xr:revisionPtr revIDLastSave="0" documentId="13_ncr:1_{50DEDD63-2B78-482F-AA5F-FD4373F836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月報" sheetId="4" r:id="rId1"/>
    <sheet name="費用明細" sheetId="5" r:id="rId2"/>
    <sheet name="部門預算" sheetId="6" r:id="rId3"/>
  </sheets>
  <calcPr calcId="181029"/>
</workbook>
</file>

<file path=xl/calcChain.xml><?xml version="1.0" encoding="utf-8"?>
<calcChain xmlns="http://schemas.openxmlformats.org/spreadsheetml/2006/main">
  <c r="C20" i="4" l="1"/>
  <c r="B20" i="4"/>
  <c r="C19" i="4"/>
  <c r="B19" i="4"/>
  <c r="C18" i="4"/>
  <c r="B18" i="4"/>
  <c r="F11" i="4"/>
  <c r="E11" i="4"/>
  <c r="D11" i="4"/>
  <c r="C11" i="4"/>
  <c r="C10" i="4"/>
  <c r="C9" i="4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C8" i="4" s="1"/>
  <c r="I59" i="5"/>
  <c r="H59" i="5"/>
  <c r="I58" i="5"/>
  <c r="H58" i="5"/>
  <c r="I57" i="5"/>
  <c r="H57" i="5"/>
  <c r="I56" i="5"/>
  <c r="H56" i="5"/>
  <c r="I55" i="5"/>
  <c r="H55" i="5"/>
  <c r="I54" i="5"/>
  <c r="H54" i="5"/>
  <c r="C7" i="4" s="1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E6" i="6"/>
  <c r="E7" i="6"/>
  <c r="E8" i="6"/>
  <c r="E9" i="6"/>
  <c r="B10" i="6"/>
  <c r="C10" i="6"/>
  <c r="D10" i="6"/>
  <c r="E10" i="6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B7" i="4"/>
  <c r="B8" i="4"/>
  <c r="B9" i="4"/>
  <c r="B10" i="4"/>
  <c r="B11" i="4" s="1"/>
  <c r="E10" i="4" l="1"/>
  <c r="F10" i="4" s="1"/>
  <c r="D10" i="4"/>
  <c r="E9" i="4"/>
  <c r="F9" i="4" s="1"/>
  <c r="D9" i="4"/>
  <c r="E7" i="4"/>
  <c r="F7" i="4" s="1"/>
  <c r="D7" i="4"/>
  <c r="D8" i="4"/>
  <c r="E8" i="4"/>
  <c r="F8" i="4" s="1"/>
</calcChain>
</file>

<file path=xl/sharedStrings.xml><?xml version="1.0" encoding="utf-8"?>
<sst xmlns="http://schemas.openxmlformats.org/spreadsheetml/2006/main" count="408" uniqueCount="90">
  <si>
    <t>2026 年第一季部門費用與預算月報</t>
  </si>
  <si>
    <t>接手現況：月報只完成前兩個部門，後續公式尚未補齊；右側圖表區也尚未建立。</t>
  </si>
  <si>
    <t>報表期間</t>
  </si>
  <si>
    <t>2026 Q1</t>
  </si>
  <si>
    <t>資料截至</t>
  </si>
  <si>
    <t>部門</t>
  </si>
  <si>
    <t>季度預算</t>
  </si>
  <si>
    <t>已核准支出</t>
  </si>
  <si>
    <t>剩餘預算</t>
  </si>
  <si>
    <t>預算執行率</t>
  </si>
  <si>
    <t>狀態</t>
  </si>
  <si>
    <t>行政</t>
  </si>
  <si>
    <t>業務</t>
  </si>
  <si>
    <t>行銷</t>
  </si>
  <si>
    <t>資訊</t>
  </si>
  <si>
    <t>合計</t>
  </si>
  <si>
    <t>待完成項目：
1. 補齊費用明細中的公式　2. 完成月報缺漏公式　3. 建立部門預算與支出比較圖</t>
  </si>
  <si>
    <t>2026 年第一季部門費用明細</t>
  </si>
  <si>
    <t>接手現況：新增資料後，後半段的「核准金額」與「月份」公式沒有繼續套用。請先理解公式，再補齊缺漏。</t>
  </si>
  <si>
    <t>白底欄位為原始輸入資料</t>
  </si>
  <si>
    <t>灰底欄位為公式計算欄位</t>
  </si>
  <si>
    <t>日期</t>
  </si>
  <si>
    <t>費用類別</t>
  </si>
  <si>
    <t>申請人</t>
  </si>
  <si>
    <t>費用說明</t>
  </si>
  <si>
    <t>申請金額</t>
  </si>
  <si>
    <t>核銷狀態</t>
  </si>
  <si>
    <t>核准金額</t>
  </si>
  <si>
    <t>月份</t>
  </si>
  <si>
    <t>辦公用品</t>
  </si>
  <si>
    <t>林怡君</t>
  </si>
  <si>
    <t>文具及耗材</t>
  </si>
  <si>
    <t>已核准</t>
  </si>
  <si>
    <t>租賃費</t>
  </si>
  <si>
    <t>陳柏翰</t>
  </si>
  <si>
    <t>會議空間租用</t>
  </si>
  <si>
    <t>差旅費</t>
  </si>
  <si>
    <t>跨區交通</t>
  </si>
  <si>
    <t>教育訓練</t>
  </si>
  <si>
    <t>內部課程</t>
  </si>
  <si>
    <t>庶務費</t>
  </si>
  <si>
    <t>部門日常支出</t>
  </si>
  <si>
    <t>待補件</t>
  </si>
  <si>
    <t>王俊傑</t>
  </si>
  <si>
    <t>客戶拜訪差旅</t>
  </si>
  <si>
    <t>客戶交際</t>
  </si>
  <si>
    <t>李佩珊</t>
  </si>
  <si>
    <t>客戶會議</t>
  </si>
  <si>
    <t>交通費</t>
  </si>
  <si>
    <t>市區交通</t>
  </si>
  <si>
    <t>展示樣品</t>
  </si>
  <si>
    <t>產品展示樣品</t>
  </si>
  <si>
    <t>業務雜支</t>
  </si>
  <si>
    <t>臨時業務支出</t>
  </si>
  <si>
    <t>廣告投放</t>
  </si>
  <si>
    <t>張雅雯</t>
  </si>
  <si>
    <t>數位廣告</t>
  </si>
  <si>
    <t>活動場地</t>
  </si>
  <si>
    <t>周子晴</t>
  </si>
  <si>
    <t>實體活動租借</t>
  </si>
  <si>
    <t>設計製作</t>
  </si>
  <si>
    <t>素材與印刷</t>
  </si>
  <si>
    <t>公關費</t>
  </si>
  <si>
    <t>媒體合作</t>
  </si>
  <si>
    <t>行銷雜支</t>
  </si>
  <si>
    <t>臨時宣傳支出</t>
  </si>
  <si>
    <t>軟體訂閱</t>
  </si>
  <si>
    <t>蔡宗翰</t>
  </si>
  <si>
    <t>年度軟體授權</t>
  </si>
  <si>
    <t>雲端服務</t>
  </si>
  <si>
    <t>許家豪</t>
  </si>
  <si>
    <t>雲端主機費</t>
  </si>
  <si>
    <t>設備維護</t>
  </si>
  <si>
    <t>設備維修</t>
  </si>
  <si>
    <t>資安服務</t>
  </si>
  <si>
    <t>資安檢測</t>
  </si>
  <si>
    <t>資訊雜支</t>
  </si>
  <si>
    <t>臨時資訊支出</t>
  </si>
  <si>
    <t>已退回</t>
  </si>
  <si>
    <t>審核中</t>
  </si>
  <si>
    <t>2026 年第一季部門預算</t>
  </si>
  <si>
    <t>本頁為預算輸入表；B 至 D 欄為輸入值，E 欄為公式加總。金額單位：新臺幣元。</t>
  </si>
  <si>
    <t>1 月預算</t>
  </si>
  <si>
    <t>2 月預算</t>
  </si>
  <si>
    <t>3 月預算</t>
  </si>
  <si>
    <t>月度預算</t>
  </si>
  <si>
    <t>月度核准支出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</si>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</sst>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;[Red]\(#,##0\);\-"/>
    <numFmt numFmtId="178" formatCode="0.0%"/>
  </numFmts>
  <fonts count="14">
    <font>
      <sz val="11"/>
      <name val="Carlito"/>
    </font>
    <font>
      <b/>
      <sz val="18"/>
      <color rgb="FFFFFFFF"/>
      <name val="Microsoft JhengHei"/>
      <family val="2"/>
      <charset val="136"/>
    </font>
    <font>
      <i/>
      <sz val="10"/>
      <color rgb="FF1F2937"/>
      <name val="Microsoft JhengHei"/>
      <family val="2"/>
      <charset val="136"/>
    </font>
    <font>
      <sz val="9"/>
      <color rgb="FF5B6573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10"/>
      <color rgb="FF1F2937"/>
      <name val="Microsoft JhengHei"/>
      <family val="2"/>
      <charset val="136"/>
    </font>
    <font>
      <b/>
      <sz val="11"/>
      <color rgb="FF17365D"/>
      <name val="Microsoft JhengHei"/>
      <family val="2"/>
      <charset val="136"/>
    </font>
    <font>
      <sz val="11"/>
      <color rgb="FF1F2937"/>
      <name val="Microsoft JhengHei"/>
      <family val="2"/>
      <charset val="136"/>
    </font>
    <font>
      <sz val="10"/>
      <color rgb="FF7F6000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  <font>
      <sz val="11"/>
      <color rgb="FFFFFFFF"/>
      <name val="Microsoft JhengHei"/>
      <family val="2"/>
      <charset val="136"/>
    </font>
    <font>
      <sz val="12"/>
      <color rgb="FF6B7280"/>
      <name val="Microsoft JhengHei"/>
      <family val="2"/>
      <charset val="136"/>
    </font>
    <font>
      <b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E3E5"/>
        <bgColor indexed="64"/>
      </patternFill>
    </fill>
  </fills>
  <borders count="18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  <border>
      <left/>
      <right/>
      <top/>
      <bottom style="double">
        <color rgb="FF17365D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/>
      <right/>
      <top/>
      <bottom style="thin">
        <color rgb="FF808080"/>
      </bottom>
      <diagonal/>
    </border>
  </borders>
  <cellStyleXfs count="2">
    <xf numFmtId="0" fontId="0" fillId="0" borderId="0"/>
    <xf numFmtId="0" fontId="9" fillId="0" borderId="0"/>
  </cellStyleXfs>
  <cellXfs count="64">
    <xf numFmtId="0" fontId="0" fillId="0" borderId="0" xfId="0"/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177" fontId="5" fillId="0" borderId="4" xfId="1" applyNumberFormat="1" applyFont="1" applyBorder="1" applyAlignment="1">
      <alignment horizontal="right" vertical="center"/>
    </xf>
    <xf numFmtId="177" fontId="5" fillId="0" borderId="5" xfId="1" applyNumberFormat="1" applyFont="1" applyBorder="1" applyAlignment="1">
      <alignment horizontal="right" vertical="center"/>
    </xf>
    <xf numFmtId="177" fontId="5" fillId="0" borderId="6" xfId="1" applyNumberFormat="1" applyFont="1" applyBorder="1" applyAlignment="1">
      <alignment horizontal="right" vertical="center"/>
    </xf>
    <xf numFmtId="176" fontId="5" fillId="0" borderId="4" xfId="1" applyNumberFormat="1" applyFont="1" applyBorder="1" applyAlignment="1">
      <alignment horizontal="center" vertical="center"/>
    </xf>
    <xf numFmtId="176" fontId="5" fillId="0" borderId="5" xfId="1" applyNumberFormat="1" applyFont="1" applyBorder="1" applyAlignment="1">
      <alignment horizontal="center" vertical="center"/>
    </xf>
    <xf numFmtId="176" fontId="5" fillId="0" borderId="6" xfId="1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177" fontId="5" fillId="0" borderId="4" xfId="1" applyNumberFormat="1" applyFont="1" applyBorder="1" applyAlignment="1">
      <alignment horizontal="center" vertical="center"/>
    </xf>
    <xf numFmtId="177" fontId="5" fillId="5" borderId="4" xfId="1" applyNumberFormat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177" fontId="5" fillId="0" borderId="5" xfId="1" applyNumberFormat="1" applyFont="1" applyBorder="1" applyAlignment="1">
      <alignment horizontal="center" vertical="center"/>
    </xf>
    <xf numFmtId="177" fontId="5" fillId="5" borderId="5" xfId="1" applyNumberFormat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177" fontId="5" fillId="0" borderId="6" xfId="1" applyNumberFormat="1" applyFont="1" applyBorder="1" applyAlignment="1">
      <alignment horizontal="center" vertical="center"/>
    </xf>
    <xf numFmtId="0" fontId="6" fillId="7" borderId="7" xfId="1" applyFont="1" applyFill="1" applyBorder="1"/>
    <xf numFmtId="177" fontId="5" fillId="3" borderId="4" xfId="1" applyNumberFormat="1" applyFont="1" applyFill="1" applyBorder="1" applyAlignment="1">
      <alignment horizontal="right"/>
    </xf>
    <xf numFmtId="177" fontId="5" fillId="5" borderId="4" xfId="1" applyNumberFormat="1" applyFont="1" applyFill="1" applyBorder="1" applyAlignment="1">
      <alignment horizontal="right"/>
    </xf>
    <xf numFmtId="177" fontId="5" fillId="3" borderId="5" xfId="1" applyNumberFormat="1" applyFont="1" applyFill="1" applyBorder="1" applyAlignment="1">
      <alignment horizontal="right"/>
    </xf>
    <xf numFmtId="177" fontId="5" fillId="5" borderId="5" xfId="1" applyNumberFormat="1" applyFont="1" applyFill="1" applyBorder="1" applyAlignment="1">
      <alignment horizontal="right"/>
    </xf>
    <xf numFmtId="177" fontId="5" fillId="3" borderId="6" xfId="1" applyNumberFormat="1" applyFont="1" applyFill="1" applyBorder="1" applyAlignment="1">
      <alignment horizontal="right"/>
    </xf>
    <xf numFmtId="177" fontId="5" fillId="5" borderId="6" xfId="1" applyNumberFormat="1" applyFont="1" applyFill="1" applyBorder="1" applyAlignment="1">
      <alignment horizontal="right"/>
    </xf>
    <xf numFmtId="177" fontId="6" fillId="7" borderId="7" xfId="1" applyNumberFormat="1" applyFont="1" applyFill="1" applyBorder="1" applyAlignment="1">
      <alignment horizontal="right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6" fillId="7" borderId="7" xfId="1" applyFont="1" applyFill="1" applyBorder="1" applyAlignment="1">
      <alignment horizontal="center"/>
    </xf>
    <xf numFmtId="0" fontId="6" fillId="3" borderId="8" xfId="1" applyFont="1" applyFill="1" applyBorder="1"/>
    <xf numFmtId="0" fontId="6" fillId="3" borderId="9" xfId="1" applyFont="1" applyFill="1" applyBorder="1"/>
    <xf numFmtId="176" fontId="6" fillId="3" borderId="10" xfId="1" applyNumberFormat="1" applyFont="1" applyFill="1" applyBorder="1"/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177" fontId="7" fillId="5" borderId="4" xfId="1" applyNumberFormat="1" applyFont="1" applyFill="1" applyBorder="1" applyAlignment="1">
      <alignment horizontal="right" vertical="center"/>
    </xf>
    <xf numFmtId="178" fontId="7" fillId="5" borderId="4" xfId="1" applyNumberFormat="1" applyFont="1" applyFill="1" applyBorder="1" applyAlignment="1">
      <alignment horizontal="right" vertical="center"/>
    </xf>
    <xf numFmtId="177" fontId="7" fillId="5" borderId="5" xfId="1" applyNumberFormat="1" applyFont="1" applyFill="1" applyBorder="1" applyAlignment="1">
      <alignment horizontal="right" vertical="center"/>
    </xf>
    <xf numFmtId="178" fontId="7" fillId="5" borderId="5" xfId="1" applyNumberFormat="1" applyFont="1" applyFill="1" applyBorder="1" applyAlignment="1">
      <alignment horizontal="right" vertical="center"/>
    </xf>
    <xf numFmtId="177" fontId="7" fillId="5" borderId="6" xfId="1" applyNumberFormat="1" applyFont="1" applyFill="1" applyBorder="1" applyAlignment="1">
      <alignment horizontal="right" vertical="center"/>
    </xf>
    <xf numFmtId="178" fontId="6" fillId="7" borderId="7" xfId="1" applyNumberFormat="1" applyFont="1" applyFill="1" applyBorder="1" applyAlignment="1">
      <alignment horizontal="right"/>
    </xf>
    <xf numFmtId="0" fontId="7" fillId="5" borderId="4" xfId="1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8" fillId="8" borderId="11" xfId="1" applyFont="1" applyFill="1" applyBorder="1" applyAlignment="1">
      <alignment vertical="center" wrapText="1"/>
    </xf>
    <xf numFmtId="0" fontId="8" fillId="8" borderId="12" xfId="1" applyFont="1" applyFill="1" applyBorder="1" applyAlignment="1">
      <alignment vertical="center" wrapText="1"/>
    </xf>
    <xf numFmtId="0" fontId="8" fillId="8" borderId="13" xfId="1" applyFont="1" applyFill="1" applyBorder="1" applyAlignment="1">
      <alignment vertical="center" wrapText="1"/>
    </xf>
    <xf numFmtId="0" fontId="8" fillId="8" borderId="14" xfId="1" applyFont="1" applyFill="1" applyBorder="1" applyAlignment="1">
      <alignment vertical="center" wrapText="1"/>
    </xf>
    <xf numFmtId="0" fontId="8" fillId="8" borderId="15" xfId="1" applyFont="1" applyFill="1" applyBorder="1" applyAlignment="1">
      <alignment vertical="center" wrapText="1"/>
    </xf>
    <xf numFmtId="0" fontId="8" fillId="8" borderId="16" xfId="1" applyFont="1" applyFill="1" applyBorder="1" applyAlignment="1">
      <alignment vertical="center" wrapText="1"/>
    </xf>
    <xf numFmtId="0" fontId="3" fillId="4" borderId="0" xfId="1" applyFont="1" applyFill="1"/>
    <xf numFmtId="0" fontId="3" fillId="5" borderId="0" xfId="1" applyFont="1" applyFill="1" applyAlignment="1">
      <alignment horizontal="center"/>
    </xf>
    <xf numFmtId="0" fontId="11" fillId="0" borderId="0" xfId="1" applyFont="1" applyFill="1" applyAlignment="1">
      <alignment horizontal="center"/>
    </xf>
    <xf numFmtId="0" fontId="12" fillId="0" borderId="0" xfId="1" applyFont="1" applyFill="1" applyBorder="1" applyAlignment="1">
      <alignment vertical="center"/>
    </xf>
    <xf numFmtId="0" fontId="13" fillId="9" borderId="17" xfId="0" applyFont="1" applyFill="1" applyBorder="1" applyAlignment="1">
      <alignment horizontal="center"/>
    </xf>
    <xf numFmtId="177" fontId="13" fillId="9" borderId="17" xfId="0" applyNumberFormat="1" applyFont="1" applyFill="1" applyBorder="1" applyAlignment="1">
      <alignment horizontal="center"/>
    </xf>
    <xf numFmtId="177" fontId="0" fillId="0" borderId="0" xfId="0" applyNumberFormat="1"/>
  </cellXfs>
  <cellStyles count="2">
    <cellStyle name="Normal" xfId="1" xr:uid="{00000000-0005-0000-0000-000000000000}"/>
    <cellStyle name="一般" xfId="0" builtinId="0"/>
  </cellStyles>
  <dxfs count="7">
    <dxf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各部門季度預算與核准支出（元）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月報!$B$6</c:f>
              <c:strCache>
                <c:ptCount val="1"/>
                <c:pt idx="0">
                  <c:v>季度預算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月報!$A$7:$A$10</c:f>
              <c:strCache>
                <c:ptCount val="4"/>
                <c:pt idx="0">
                  <c:v>行政</c:v>
                </c:pt>
                <c:pt idx="1">
                  <c:v>業務</c:v>
                </c:pt>
                <c:pt idx="2">
                  <c:v>行銷</c:v>
                </c:pt>
                <c:pt idx="3">
                  <c:v>資訊</c:v>
                </c:pt>
              </c:strCache>
            </c:strRef>
          </c:cat>
          <c:val>
            <c:numRef>
              <c:f>月報!$B$7:$B$10</c:f>
              <c:numCache>
                <c:formatCode>#,##0;[Red]\(#,##0\);\-</c:formatCode>
                <c:ptCount val="4"/>
                <c:pt idx="0">
                  <c:v>270000</c:v>
                </c:pt>
                <c:pt idx="1">
                  <c:v>510000</c:v>
                </c:pt>
                <c:pt idx="2">
                  <c:v>450000</c:v>
                </c:pt>
                <c:pt idx="3">
                  <c:v>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1-47D3-AB32-6194273F2367}"/>
            </c:ext>
          </c:extLst>
        </c:ser>
        <c:ser>
          <c:idx val="1"/>
          <c:order val="1"/>
          <c:tx>
            <c:strRef>
              <c:f>月報!$C$6</c:f>
              <c:strCache>
                <c:ptCount val="1"/>
                <c:pt idx="0">
                  <c:v>已核准支出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月報!$A$7:$A$10</c:f>
              <c:strCache>
                <c:ptCount val="4"/>
                <c:pt idx="0">
                  <c:v>行政</c:v>
                </c:pt>
                <c:pt idx="1">
                  <c:v>業務</c:v>
                </c:pt>
                <c:pt idx="2">
                  <c:v>行銷</c:v>
                </c:pt>
                <c:pt idx="3">
                  <c:v>資訊</c:v>
                </c:pt>
              </c:strCache>
            </c:strRef>
          </c:cat>
          <c:val>
            <c:numRef>
              <c:f>月報!$C$7:$C$10</c:f>
              <c:numCache>
                <c:formatCode>#,##0;[Red]\(#,##0\);\-</c:formatCode>
                <c:ptCount val="4"/>
                <c:pt idx="0">
                  <c:v>235000</c:v>
                </c:pt>
                <c:pt idx="1">
                  <c:v>565000</c:v>
                </c:pt>
                <c:pt idx="2">
                  <c:v>405000</c:v>
                </c:pt>
                <c:pt idx="3">
                  <c:v>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1-47D3-AB32-6194273F2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02155391"/>
        <c:axId val="1802128511"/>
      </c:barChart>
      <c:catAx>
        <c:axId val="1802155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部門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2128511"/>
        <c:crosses val="autoZero"/>
        <c:auto val="1"/>
        <c:lblAlgn val="ctr"/>
        <c:lblOffset val="100"/>
        <c:noMultiLvlLbl val="0"/>
      </c:catAx>
      <c:valAx>
        <c:axId val="18021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金額（元）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;[Red]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215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每月預算與核准支出趨勢（元）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月報!$B$17</c:f>
              <c:strCache>
                <c:ptCount val="1"/>
                <c:pt idx="0">
                  <c:v>月度預算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月報!$A$18:$A$20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月報!$B$18:$B$20</c:f>
              <c:numCache>
                <c:formatCode>#,##0;[Red]\(#,##0\);\-</c:formatCode>
                <c:ptCount val="3"/>
                <c:pt idx="0">
                  <c:v>510000</c:v>
                </c:pt>
                <c:pt idx="1">
                  <c:v>525000</c:v>
                </c:pt>
                <c:pt idx="2">
                  <c:v>565000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A-45CE-81A7-FE890D882C77}"/>
            </c:ext>
          </c:extLst>
        </c:ser>
        <c:ser>
          <c:idx val="1"/>
          <c:order val="1"/>
          <c:tx>
            <c:strRef>
              <c:f>月報!$C$17</c:f>
              <c:strCache>
                <c:ptCount val="1"/>
                <c:pt idx="0">
                  <c:v>月度核准支出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月報!$A$18:$A$20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月報!$C$18:$C$20</c:f>
              <c:numCache>
                <c:formatCode>#,##0;[Red]\(#,##0\);\-</c:formatCode>
                <c:ptCount val="3"/>
                <c:pt idx="0">
                  <c:v>445000</c:v>
                </c:pt>
                <c:pt idx="1">
                  <c:v>492000</c:v>
                </c:pt>
                <c:pt idx="2">
                  <c:v>548000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3A-45CE-81A7-FE890D882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136191"/>
        <c:axId val="1802138591"/>
      </c:lineChart>
      <c:catAx>
        <c:axId val="1802136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月份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2138591"/>
        <c:crosses val="autoZero"/>
        <c:auto val="1"/>
        <c:lblAlgn val="ctr"/>
        <c:lblOffset val="100"/>
        <c:noMultiLvlLbl val="0"/>
      </c:catAx>
      <c:valAx>
        <c:axId val="18021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金額（元）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#,##0;[Red]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213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2" name="部門預算與核准支出">
          <a:extLst>
            <a:ext uri="{FF2B5EF4-FFF2-40B4-BE49-F238E27FC236}">
              <a16:creationId xmlns:a16="http://schemas.microsoft.com/office/drawing/2014/main" id="{ED972D74-CE51-BE85-7206-6F43E52C0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3" name="月度預算與核准支出趨勢">
          <a:extLst>
            <a:ext uri="{FF2B5EF4-FFF2-40B4-BE49-F238E27FC236}">
              <a16:creationId xmlns:a16="http://schemas.microsoft.com/office/drawing/2014/main" id="{CC2724DF-C9B2-2F4D-AC18-E13E1F49E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CF647C-81BE-465B-BCDA-7553D2F70646}">
  <we:reference id="wa200010215" version="2.0.0.0" store="zh-TW" storeType="OMEX"/>
  <we:alternateReferences>
    <we:reference id="wa200010215" version="2.0.0.0" store="wa200010215" storeType="OMEX"/>
  </we:alternateReferences>
  <we:properties>
    <we:property name="bps.codex_control.document_id" value="&quot;986f84db-9438-4a8f-9a16-f8d249a752c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04AD-B416-4253-946B-B72F6CD8E89A}">
  <dimension ref="A1:N20"/>
  <sheetViews>
    <sheetView showGridLines="0" tabSelected="1" topLeftCell="F4" zoomScale="85" zoomScaleNormal="85" workbookViewId="0">
      <selection activeCell="O24" sqref="O24"/>
    </sheetView>
  </sheetViews>
  <sheetFormatPr defaultRowHeight="13.8"/>
  <cols>
    <col min="1" max="1" width="12" customWidth="1"/>
    <col min="2" max="4" width="16" customWidth="1"/>
    <col min="5" max="5" width="15" customWidth="1"/>
    <col min="6" max="6" width="14" customWidth="1"/>
    <col min="7" max="7" width="3" customWidth="1"/>
    <col min="8" max="14" width="12" customWidth="1"/>
  </cols>
  <sheetData>
    <row r="1" spans="1:14" ht="34.049999999999997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30" customHeight="1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4" spans="1:14" ht="14.4">
      <c r="A4" s="35" t="s">
        <v>2</v>
      </c>
      <c r="B4" s="36" t="s">
        <v>3</v>
      </c>
      <c r="C4" s="36"/>
      <c r="D4" s="36" t="s">
        <v>4</v>
      </c>
      <c r="E4" s="37">
        <v>46112</v>
      </c>
    </row>
    <row r="6" spans="1:14" ht="24" customHeight="1">
      <c r="A6" s="1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3" t="s">
        <v>10</v>
      </c>
      <c r="H6" s="59"/>
      <c r="I6" s="59"/>
      <c r="J6" s="59"/>
      <c r="K6" s="59"/>
      <c r="L6" s="59"/>
      <c r="M6" s="59"/>
      <c r="N6" s="59"/>
    </row>
    <row r="7" spans="1:14" ht="24" customHeight="1">
      <c r="A7" s="38" t="s">
        <v>11</v>
      </c>
      <c r="B7" s="41">
        <f>SUMIFS(部門預算!$E$6:$E$9,部門預算!$A$6:$A$9,A7)</f>
        <v>270000</v>
      </c>
      <c r="C7" s="41">
        <f>SUMIFS(費用明細!$H$6:$H$77,費用明細!$B$6:$B$77,A7)</f>
        <v>235000</v>
      </c>
      <c r="D7" s="41">
        <f>B7-C7</f>
        <v>35000</v>
      </c>
      <c r="E7" s="42">
        <f>IFERROR(C7/B7,0)</f>
        <v>0.87037037037037035</v>
      </c>
      <c r="F7" s="47" t="str">
        <f>IF(E7&gt;1,"已超支",IF(E7&gt;=0.85,"接近上限","正常"))</f>
        <v>接近上限</v>
      </c>
      <c r="H7" s="60"/>
      <c r="I7" s="60"/>
      <c r="J7" s="60"/>
      <c r="K7" s="60"/>
      <c r="L7" s="60"/>
      <c r="M7" s="60"/>
      <c r="N7" s="60"/>
    </row>
    <row r="8" spans="1:14" ht="24" customHeight="1">
      <c r="A8" s="39" t="s">
        <v>12</v>
      </c>
      <c r="B8" s="43">
        <f>SUMIFS(部門預算!$E$6:$E$9,部門預算!$A$6:$A$9,A8)</f>
        <v>510000</v>
      </c>
      <c r="C8" s="43">
        <f>SUMIFS(費用明細!$H$6:$H$77,費用明細!$B$6:$B$77,A8)</f>
        <v>565000</v>
      </c>
      <c r="D8" s="43">
        <f>B8-C8</f>
        <v>-55000</v>
      </c>
      <c r="E8" s="44">
        <f>IFERROR(C8/B8,0)</f>
        <v>1.107843137254902</v>
      </c>
      <c r="F8" s="48" t="str">
        <f>IF(E8&gt;1,"已超支",IF(E8&gt;=0.85,"接近上限","正常"))</f>
        <v>已超支</v>
      </c>
      <c r="H8" s="60"/>
      <c r="I8" s="60"/>
      <c r="J8" s="60"/>
      <c r="K8" s="60"/>
      <c r="L8" s="60"/>
      <c r="M8" s="60"/>
      <c r="N8" s="60"/>
    </row>
    <row r="9" spans="1:14" ht="24" customHeight="1">
      <c r="A9" s="39" t="s">
        <v>13</v>
      </c>
      <c r="B9" s="43">
        <f>SUMIFS(部門預算!$E$6:$E$9,部門預算!$A$6:$A$9,A9)</f>
        <v>450000</v>
      </c>
      <c r="C9" s="43">
        <f>SUMIFS(費用明細!$H$6:$H$77,費用明細!$B$6:$B$77,A9)</f>
        <v>405000</v>
      </c>
      <c r="D9" s="43">
        <f t="shared" ref="D9:D10" si="0">B9-C9</f>
        <v>45000</v>
      </c>
      <c r="E9" s="44">
        <f t="shared" ref="E9:E10" si="1">IFERROR(C9/B9,0)</f>
        <v>0.9</v>
      </c>
      <c r="F9" s="48" t="str">
        <f t="shared" ref="F9:F11" si="2">IF(E9&gt;1,"已超支",IF(E9&gt;=0.85,"接近上限","正常"))</f>
        <v>接近上限</v>
      </c>
      <c r="H9" s="60"/>
      <c r="I9" s="60"/>
      <c r="J9" s="60"/>
      <c r="K9" s="60"/>
      <c r="L9" s="60"/>
      <c r="M9" s="60"/>
      <c r="N9" s="60"/>
    </row>
    <row r="10" spans="1:14" ht="24" customHeight="1">
      <c r="A10" s="40" t="s">
        <v>14</v>
      </c>
      <c r="B10" s="45">
        <f>SUMIFS(部門預算!$E$6:$E$9,部門預算!$A$6:$A$9,A10)</f>
        <v>370000</v>
      </c>
      <c r="C10" s="43">
        <f>SUMIFS(費用明細!$H$6:$H$77,費用明細!$B$6:$B$77,A10)</f>
        <v>280000</v>
      </c>
      <c r="D10" s="43">
        <f t="shared" si="0"/>
        <v>90000</v>
      </c>
      <c r="E10" s="44">
        <f t="shared" si="1"/>
        <v>0.7567567567567568</v>
      </c>
      <c r="F10" s="48" t="str">
        <f t="shared" si="2"/>
        <v>正常</v>
      </c>
      <c r="H10" s="60"/>
      <c r="I10" s="60"/>
      <c r="J10" s="60"/>
      <c r="K10" s="60"/>
      <c r="L10" s="60"/>
      <c r="M10" s="60"/>
      <c r="N10" s="60"/>
    </row>
    <row r="11" spans="1:14" ht="24" customHeight="1" thickBot="1">
      <c r="A11" s="34" t="s">
        <v>15</v>
      </c>
      <c r="B11" s="30">
        <f>SUM(B7:B10)</f>
        <v>1600000</v>
      </c>
      <c r="C11" s="30">
        <f>SUM(C7:C10)</f>
        <v>1485000</v>
      </c>
      <c r="D11" s="30">
        <f>B11-C11</f>
        <v>115000</v>
      </c>
      <c r="E11" s="46">
        <f>IFERROR(C11/B11,0)</f>
        <v>0.92812499999999998</v>
      </c>
      <c r="F11" s="23" t="str">
        <f>IF(E11&gt;1,"已超支",IF(E11&gt;=0.85,"接近上限","正常"))</f>
        <v>接近上限</v>
      </c>
      <c r="H11" s="60"/>
      <c r="I11" s="60"/>
      <c r="J11" s="60"/>
      <c r="K11" s="60"/>
      <c r="L11" s="60"/>
      <c r="M11" s="60"/>
      <c r="N11" s="60"/>
    </row>
    <row r="12" spans="1:14" ht="24" customHeight="1" thickTop="1">
      <c r="H12" s="60"/>
      <c r="I12" s="60"/>
      <c r="J12" s="60"/>
      <c r="K12" s="60"/>
      <c r="L12" s="60"/>
      <c r="M12" s="60"/>
      <c r="N12" s="60"/>
    </row>
    <row r="13" spans="1:14" ht="24" customHeight="1">
      <c r="H13" s="60"/>
      <c r="I13" s="60"/>
      <c r="J13" s="60"/>
      <c r="K13" s="60"/>
      <c r="L13" s="60"/>
      <c r="M13" s="60"/>
      <c r="N13" s="60"/>
    </row>
    <row r="14" spans="1:14" ht="24" customHeight="1">
      <c r="A14" s="51" t="s">
        <v>16</v>
      </c>
      <c r="B14" s="52"/>
      <c r="C14" s="52"/>
      <c r="D14" s="52"/>
      <c r="E14" s="52"/>
      <c r="F14" s="53"/>
      <c r="H14" s="60"/>
      <c r="I14" s="60"/>
      <c r="J14" s="60"/>
      <c r="K14" s="60"/>
      <c r="L14" s="60"/>
      <c r="M14" s="60"/>
      <c r="N14" s="60"/>
    </row>
    <row r="15" spans="1:14" ht="24" customHeight="1">
      <c r="A15" s="54"/>
      <c r="B15" s="55"/>
      <c r="C15" s="55"/>
      <c r="D15" s="55"/>
      <c r="E15" s="55"/>
      <c r="F15" s="56"/>
      <c r="H15" s="60"/>
      <c r="I15" s="60"/>
      <c r="J15" s="60"/>
      <c r="K15" s="60"/>
      <c r="L15" s="60"/>
      <c r="M15" s="60"/>
      <c r="N15" s="60"/>
    </row>
    <row r="16" spans="1:14" ht="24" customHeight="1">
      <c r="H16" s="60"/>
      <c r="I16" s="60"/>
      <c r="J16" s="60"/>
      <c r="K16" s="60"/>
      <c r="L16" s="60"/>
      <c r="M16" s="60"/>
      <c r="N16" s="60"/>
    </row>
    <row r="17" spans="1:14" ht="24" customHeight="1">
      <c r="A17" s="61" t="s">
        <v>28</v>
      </c>
      <c r="B17" s="62" t="s">
        <v>85</v>
      </c>
      <c r="C17" s="62" t="s">
        <v>86</v>
      </c>
      <c r="H17" s="60"/>
      <c r="I17" s="60"/>
      <c r="J17" s="60"/>
      <c r="K17" s="60"/>
      <c r="L17" s="60"/>
      <c r="M17" s="60"/>
      <c r="N17" s="60"/>
    </row>
    <row r="18" spans="1:14">
      <c r="A18" t="s">
        <v>87</v>
      </c>
      <c r="B18" s="63">
        <f>部門預算!B10</f>
        <v>510000</v>
      </c>
      <c r="C18" s="63">
        <f>SUMIFS(費用明細!$H$6:$H$77,費用明細!$I$6:$I$77,A18)</f>
        <v>445000</v>
      </c>
    </row>
    <row r="19" spans="1:14">
      <c r="A19" t="s">
        <v>88</v>
      </c>
      <c r="B19" s="63">
        <f>部門預算!C10</f>
        <v>525000</v>
      </c>
      <c r="C19" s="63">
        <f>SUMIFS(費用明細!$H$6:$H$77,費用明細!$I$6:$I$77,A19)</f>
        <v>492000</v>
      </c>
    </row>
    <row r="20" spans="1:14">
      <c r="A20" t="s">
        <v>89</v>
      </c>
      <c r="B20" s="63">
        <f>部門預算!D10</f>
        <v>565000</v>
      </c>
      <c r="C20" s="63">
        <f>SUMIFS(費用明細!$H$6:$H$77,費用明細!$I$6:$I$77,A20)</f>
        <v>548000</v>
      </c>
    </row>
  </sheetData>
  <mergeCells count="4">
    <mergeCell ref="A1:N1"/>
    <mergeCell ref="A2:N2"/>
    <mergeCell ref="H6:N6"/>
    <mergeCell ref="A14:F15"/>
  </mergeCells>
  <phoneticPr fontId="10" type="noConversion"/>
  <conditionalFormatting sqref="F7:F10">
    <cfRule type="containsText" dxfId="5" priority="1" operator="containsText" text="已超支"/>
    <cfRule type="containsText" dxfId="4" priority="2" operator="containsText" text="接近上限"/>
    <cfRule type="containsText" dxfId="3" priority="3" operator="containsText" text="正常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5D12-21FA-41F2-8746-4F6D7DBC7A1F}">
  <dimension ref="A1:I77"/>
  <sheetViews>
    <sheetView topLeftCell="A46" workbookViewId="0">
      <selection activeCell="H25" sqref="H1:I1048576"/>
    </sheetView>
  </sheetViews>
  <sheetFormatPr defaultRowHeight="13.8"/>
  <cols>
    <col min="1" max="1" width="13" customWidth="1"/>
    <col min="2" max="2" width="10" customWidth="1"/>
    <col min="3" max="3" width="14" customWidth="1"/>
    <col min="4" max="4" width="11" customWidth="1"/>
    <col min="5" max="5" width="22" customWidth="1"/>
    <col min="6" max="6" width="13" customWidth="1"/>
    <col min="7" max="7" width="12" customWidth="1"/>
    <col min="8" max="8" width="13" customWidth="1"/>
    <col min="9" max="9" width="11" customWidth="1"/>
  </cols>
  <sheetData>
    <row r="1" spans="1:9" ht="25.65" customHeight="1">
      <c r="A1" s="49" t="s">
        <v>17</v>
      </c>
      <c r="B1" s="49"/>
      <c r="C1" s="49"/>
      <c r="D1" s="49"/>
      <c r="E1" s="49"/>
      <c r="F1" s="49"/>
      <c r="G1" s="49"/>
      <c r="H1" s="49"/>
      <c r="I1" s="49"/>
    </row>
    <row r="2" spans="1:9" ht="27.15" customHeight="1">
      <c r="A2" s="50" t="s">
        <v>18</v>
      </c>
      <c r="B2" s="50"/>
      <c r="C2" s="50"/>
      <c r="D2" s="50"/>
      <c r="E2" s="50"/>
      <c r="F2" s="50"/>
      <c r="G2" s="50"/>
      <c r="H2" s="50"/>
      <c r="I2" s="50"/>
    </row>
    <row r="3" spans="1:9">
      <c r="A3" s="57" t="s">
        <v>19</v>
      </c>
      <c r="B3" s="57"/>
      <c r="C3" s="57"/>
      <c r="D3" s="57"/>
      <c r="E3" s="57"/>
      <c r="F3" s="57"/>
      <c r="G3" s="57"/>
      <c r="H3" s="58" t="s">
        <v>20</v>
      </c>
      <c r="I3" s="58"/>
    </row>
    <row r="5" spans="1:9" ht="22.35" customHeight="1">
      <c r="A5" s="1" t="s">
        <v>21</v>
      </c>
      <c r="B5" s="2" t="s">
        <v>5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3" t="s">
        <v>28</v>
      </c>
    </row>
    <row r="6" spans="1:9">
      <c r="A6" s="10">
        <v>46027</v>
      </c>
      <c r="B6" s="13" t="s">
        <v>11</v>
      </c>
      <c r="C6" s="13" t="s">
        <v>29</v>
      </c>
      <c r="D6" s="13" t="s">
        <v>30</v>
      </c>
      <c r="E6" s="4" t="s">
        <v>31</v>
      </c>
      <c r="F6" s="7">
        <v>14000</v>
      </c>
      <c r="G6" s="16" t="s">
        <v>32</v>
      </c>
      <c r="H6" s="17">
        <f>IF(G6="已核准",F6,0)</f>
        <v>14000</v>
      </c>
      <c r="I6" s="18" t="str">
        <f>TEXT(A6,"yyyy-mm")</f>
        <v>2026-01</v>
      </c>
    </row>
    <row r="7" spans="1:9">
      <c r="A7" s="11">
        <v>46031</v>
      </c>
      <c r="B7" s="14" t="s">
        <v>11</v>
      </c>
      <c r="C7" s="14" t="s">
        <v>33</v>
      </c>
      <c r="D7" s="14" t="s">
        <v>34</v>
      </c>
      <c r="E7" s="5" t="s">
        <v>35</v>
      </c>
      <c r="F7" s="8">
        <v>12600</v>
      </c>
      <c r="G7" s="19" t="s">
        <v>32</v>
      </c>
      <c r="H7" s="20">
        <f>IF(G7="已核准",F7,0)</f>
        <v>12600</v>
      </c>
      <c r="I7" s="21" t="str">
        <f>TEXT(A7,"yyyy-mm")</f>
        <v>2026-01</v>
      </c>
    </row>
    <row r="8" spans="1:9">
      <c r="A8" s="11">
        <v>46035</v>
      </c>
      <c r="B8" s="14" t="s">
        <v>11</v>
      </c>
      <c r="C8" s="14" t="s">
        <v>36</v>
      </c>
      <c r="D8" s="14" t="s">
        <v>30</v>
      </c>
      <c r="E8" s="5" t="s">
        <v>37</v>
      </c>
      <c r="F8" s="8">
        <v>15400</v>
      </c>
      <c r="G8" s="19" t="s">
        <v>32</v>
      </c>
      <c r="H8" s="20">
        <f>IF(G8="已核准",F8,0)</f>
        <v>15400</v>
      </c>
      <c r="I8" s="21" t="str">
        <f>TEXT(A8,"yyyy-mm")</f>
        <v>2026-01</v>
      </c>
    </row>
    <row r="9" spans="1:9">
      <c r="A9" s="11">
        <v>46040</v>
      </c>
      <c r="B9" s="14" t="s">
        <v>11</v>
      </c>
      <c r="C9" s="14" t="s">
        <v>38</v>
      </c>
      <c r="D9" s="14" t="s">
        <v>34</v>
      </c>
      <c r="E9" s="5" t="s">
        <v>39</v>
      </c>
      <c r="F9" s="8">
        <v>10500</v>
      </c>
      <c r="G9" s="19" t="s">
        <v>32</v>
      </c>
      <c r="H9" s="20">
        <f>IF(G9="已核准",F9,0)</f>
        <v>10500</v>
      </c>
      <c r="I9" s="21" t="str">
        <f>TEXT(A9,"yyyy-mm")</f>
        <v>2026-01</v>
      </c>
    </row>
    <row r="10" spans="1:9">
      <c r="A10" s="11">
        <v>46046</v>
      </c>
      <c r="B10" s="14" t="s">
        <v>11</v>
      </c>
      <c r="C10" s="14" t="s">
        <v>40</v>
      </c>
      <c r="D10" s="14" t="s">
        <v>30</v>
      </c>
      <c r="E10" s="5" t="s">
        <v>41</v>
      </c>
      <c r="F10" s="8">
        <v>17500</v>
      </c>
      <c r="G10" s="19" t="s">
        <v>32</v>
      </c>
      <c r="H10" s="20">
        <f>IF(G10="已核准",F10,0)</f>
        <v>17500</v>
      </c>
      <c r="I10" s="21" t="str">
        <f>TEXT(A10,"yyyy-mm")</f>
        <v>2026-01</v>
      </c>
    </row>
    <row r="11" spans="1:9">
      <c r="A11" s="11">
        <v>46049</v>
      </c>
      <c r="B11" s="14" t="s">
        <v>11</v>
      </c>
      <c r="C11" s="14" t="s">
        <v>29</v>
      </c>
      <c r="D11" s="14" t="s">
        <v>34</v>
      </c>
      <c r="E11" s="5" t="s">
        <v>31</v>
      </c>
      <c r="F11" s="8">
        <v>8400</v>
      </c>
      <c r="G11" s="19" t="s">
        <v>42</v>
      </c>
      <c r="H11" s="20">
        <f>IF(G11="已核准",F11,0)</f>
        <v>0</v>
      </c>
      <c r="I11" s="21" t="str">
        <f>TEXT(A11,"yyyy-mm")</f>
        <v>2026-01</v>
      </c>
    </row>
    <row r="12" spans="1:9">
      <c r="A12" s="11">
        <v>46027</v>
      </c>
      <c r="B12" s="14" t="s">
        <v>12</v>
      </c>
      <c r="C12" s="14" t="s">
        <v>36</v>
      </c>
      <c r="D12" s="14" t="s">
        <v>43</v>
      </c>
      <c r="E12" s="5" t="s">
        <v>44</v>
      </c>
      <c r="F12" s="8">
        <v>34000</v>
      </c>
      <c r="G12" s="19" t="s">
        <v>32</v>
      </c>
      <c r="H12" s="20">
        <f>IF(G12="已核准",F12,0)</f>
        <v>34000</v>
      </c>
      <c r="I12" s="21" t="str">
        <f>TEXT(A12,"yyyy-mm")</f>
        <v>2026-01</v>
      </c>
    </row>
    <row r="13" spans="1:9">
      <c r="A13" s="11">
        <v>46031</v>
      </c>
      <c r="B13" s="14" t="s">
        <v>12</v>
      </c>
      <c r="C13" s="14" t="s">
        <v>45</v>
      </c>
      <c r="D13" s="14" t="s">
        <v>46</v>
      </c>
      <c r="E13" s="5" t="s">
        <v>47</v>
      </c>
      <c r="F13" s="8">
        <v>30600</v>
      </c>
      <c r="G13" s="19" t="s">
        <v>32</v>
      </c>
      <c r="H13" s="20">
        <f>IF(G13="已核准",F13,0)</f>
        <v>30600</v>
      </c>
      <c r="I13" s="21" t="str">
        <f>TEXT(A13,"yyyy-mm")</f>
        <v>2026-01</v>
      </c>
    </row>
    <row r="14" spans="1:9">
      <c r="A14" s="11">
        <v>46035</v>
      </c>
      <c r="B14" s="14" t="s">
        <v>12</v>
      </c>
      <c r="C14" s="14" t="s">
        <v>48</v>
      </c>
      <c r="D14" s="14" t="s">
        <v>43</v>
      </c>
      <c r="E14" s="5" t="s">
        <v>49</v>
      </c>
      <c r="F14" s="8">
        <v>37400</v>
      </c>
      <c r="G14" s="19" t="s">
        <v>32</v>
      </c>
      <c r="H14" s="20">
        <f>IF(G14="已核准",F14,0)</f>
        <v>37400</v>
      </c>
      <c r="I14" s="21" t="str">
        <f>TEXT(A14,"yyyy-mm")</f>
        <v>2026-01</v>
      </c>
    </row>
    <row r="15" spans="1:9">
      <c r="A15" s="11">
        <v>46040</v>
      </c>
      <c r="B15" s="14" t="s">
        <v>12</v>
      </c>
      <c r="C15" s="14" t="s">
        <v>50</v>
      </c>
      <c r="D15" s="14" t="s">
        <v>46</v>
      </c>
      <c r="E15" s="5" t="s">
        <v>51</v>
      </c>
      <c r="F15" s="8">
        <v>25500</v>
      </c>
      <c r="G15" s="19" t="s">
        <v>32</v>
      </c>
      <c r="H15" s="20">
        <f>IF(G15="已核准",F15,0)</f>
        <v>25500</v>
      </c>
      <c r="I15" s="21" t="str">
        <f>TEXT(A15,"yyyy-mm")</f>
        <v>2026-01</v>
      </c>
    </row>
    <row r="16" spans="1:9">
      <c r="A16" s="11">
        <v>46046</v>
      </c>
      <c r="B16" s="14" t="s">
        <v>12</v>
      </c>
      <c r="C16" s="14" t="s">
        <v>52</v>
      </c>
      <c r="D16" s="14" t="s">
        <v>43</v>
      </c>
      <c r="E16" s="5" t="s">
        <v>53</v>
      </c>
      <c r="F16" s="8">
        <v>42500</v>
      </c>
      <c r="G16" s="19" t="s">
        <v>32</v>
      </c>
      <c r="H16" s="20">
        <f>IF(G16="已核准",F16,0)</f>
        <v>42500</v>
      </c>
      <c r="I16" s="21" t="str">
        <f>TEXT(A16,"yyyy-mm")</f>
        <v>2026-01</v>
      </c>
    </row>
    <row r="17" spans="1:9">
      <c r="A17" s="11">
        <v>46049</v>
      </c>
      <c r="B17" s="14" t="s">
        <v>12</v>
      </c>
      <c r="C17" s="14" t="s">
        <v>36</v>
      </c>
      <c r="D17" s="14" t="s">
        <v>46</v>
      </c>
      <c r="E17" s="5" t="s">
        <v>44</v>
      </c>
      <c r="F17" s="8">
        <v>20400</v>
      </c>
      <c r="G17" s="19" t="s">
        <v>42</v>
      </c>
      <c r="H17" s="20">
        <f>IF(G17="已核准",F17,0)</f>
        <v>0</v>
      </c>
      <c r="I17" s="21" t="str">
        <f>TEXT(A17,"yyyy-mm")</f>
        <v>2026-01</v>
      </c>
    </row>
    <row r="18" spans="1:9">
      <c r="A18" s="11">
        <v>46027</v>
      </c>
      <c r="B18" s="14" t="s">
        <v>13</v>
      </c>
      <c r="C18" s="14" t="s">
        <v>54</v>
      </c>
      <c r="D18" s="14" t="s">
        <v>55</v>
      </c>
      <c r="E18" s="5" t="s">
        <v>56</v>
      </c>
      <c r="F18" s="8">
        <v>24000</v>
      </c>
      <c r="G18" s="19" t="s">
        <v>32</v>
      </c>
      <c r="H18" s="20">
        <f>IF(G18="已核准",F18,0)</f>
        <v>24000</v>
      </c>
      <c r="I18" s="21" t="str">
        <f>TEXT(A18,"yyyy-mm")</f>
        <v>2026-01</v>
      </c>
    </row>
    <row r="19" spans="1:9">
      <c r="A19" s="11">
        <v>46031</v>
      </c>
      <c r="B19" s="14" t="s">
        <v>13</v>
      </c>
      <c r="C19" s="14" t="s">
        <v>57</v>
      </c>
      <c r="D19" s="14" t="s">
        <v>58</v>
      </c>
      <c r="E19" s="5" t="s">
        <v>59</v>
      </c>
      <c r="F19" s="8">
        <v>21600</v>
      </c>
      <c r="G19" s="19" t="s">
        <v>32</v>
      </c>
      <c r="H19" s="20">
        <f>IF(G19="已核准",F19,0)</f>
        <v>21600</v>
      </c>
      <c r="I19" s="21" t="str">
        <f>TEXT(A19,"yyyy-mm")</f>
        <v>2026-01</v>
      </c>
    </row>
    <row r="20" spans="1:9">
      <c r="A20" s="11">
        <v>46035</v>
      </c>
      <c r="B20" s="14" t="s">
        <v>13</v>
      </c>
      <c r="C20" s="14" t="s">
        <v>60</v>
      </c>
      <c r="D20" s="14" t="s">
        <v>55</v>
      </c>
      <c r="E20" s="5" t="s">
        <v>61</v>
      </c>
      <c r="F20" s="8">
        <v>26400</v>
      </c>
      <c r="G20" s="19" t="s">
        <v>32</v>
      </c>
      <c r="H20" s="20">
        <f>IF(G20="已核准",F20,0)</f>
        <v>26400</v>
      </c>
      <c r="I20" s="21" t="str">
        <f>TEXT(A20,"yyyy-mm")</f>
        <v>2026-01</v>
      </c>
    </row>
    <row r="21" spans="1:9">
      <c r="A21" s="11">
        <v>46040</v>
      </c>
      <c r="B21" s="14" t="s">
        <v>13</v>
      </c>
      <c r="C21" s="14" t="s">
        <v>62</v>
      </c>
      <c r="D21" s="14" t="s">
        <v>58</v>
      </c>
      <c r="E21" s="5" t="s">
        <v>63</v>
      </c>
      <c r="F21" s="8">
        <v>18000</v>
      </c>
      <c r="G21" s="19" t="s">
        <v>32</v>
      </c>
      <c r="H21" s="20">
        <f>IF(G21="已核准",F21,0)</f>
        <v>18000</v>
      </c>
      <c r="I21" s="21" t="str">
        <f>TEXT(A21,"yyyy-mm")</f>
        <v>2026-01</v>
      </c>
    </row>
    <row r="22" spans="1:9">
      <c r="A22" s="11">
        <v>46046</v>
      </c>
      <c r="B22" s="14" t="s">
        <v>13</v>
      </c>
      <c r="C22" s="14" t="s">
        <v>64</v>
      </c>
      <c r="D22" s="14" t="s">
        <v>55</v>
      </c>
      <c r="E22" s="5" t="s">
        <v>65</v>
      </c>
      <c r="F22" s="8">
        <v>30000</v>
      </c>
      <c r="G22" s="19" t="s">
        <v>32</v>
      </c>
      <c r="H22" s="20">
        <f>IF(G22="已核准",F22,0)</f>
        <v>30000</v>
      </c>
      <c r="I22" s="21" t="str">
        <f>TEXT(A22,"yyyy-mm")</f>
        <v>2026-01</v>
      </c>
    </row>
    <row r="23" spans="1:9">
      <c r="A23" s="11">
        <v>46049</v>
      </c>
      <c r="B23" s="14" t="s">
        <v>13</v>
      </c>
      <c r="C23" s="14" t="s">
        <v>54</v>
      </c>
      <c r="D23" s="14" t="s">
        <v>58</v>
      </c>
      <c r="E23" s="5" t="s">
        <v>56</v>
      </c>
      <c r="F23" s="8">
        <v>14400</v>
      </c>
      <c r="G23" s="19" t="s">
        <v>42</v>
      </c>
      <c r="H23" s="20">
        <f>IF(G23="已核准",F23,0)</f>
        <v>0</v>
      </c>
      <c r="I23" s="21" t="str">
        <f>TEXT(A23,"yyyy-mm")</f>
        <v>2026-01</v>
      </c>
    </row>
    <row r="24" spans="1:9">
      <c r="A24" s="11">
        <v>46027</v>
      </c>
      <c r="B24" s="14" t="s">
        <v>14</v>
      </c>
      <c r="C24" s="14" t="s">
        <v>66</v>
      </c>
      <c r="D24" s="14" t="s">
        <v>67</v>
      </c>
      <c r="E24" s="5" t="s">
        <v>68</v>
      </c>
      <c r="F24" s="8">
        <v>17000</v>
      </c>
      <c r="G24" s="19" t="s">
        <v>32</v>
      </c>
      <c r="H24" s="20">
        <f>IF(G24="已核准",F24,0)</f>
        <v>17000</v>
      </c>
      <c r="I24" s="21" t="str">
        <f>TEXT(A24,"yyyy-mm")</f>
        <v>2026-01</v>
      </c>
    </row>
    <row r="25" spans="1:9">
      <c r="A25" s="11">
        <v>46031</v>
      </c>
      <c r="B25" s="14" t="s">
        <v>14</v>
      </c>
      <c r="C25" s="14" t="s">
        <v>69</v>
      </c>
      <c r="D25" s="14" t="s">
        <v>70</v>
      </c>
      <c r="E25" s="5" t="s">
        <v>71</v>
      </c>
      <c r="F25" s="8">
        <v>15300</v>
      </c>
      <c r="G25" s="19" t="s">
        <v>32</v>
      </c>
      <c r="H25" s="20">
        <f>IF(G25="已核准",F25,0)</f>
        <v>15300</v>
      </c>
      <c r="I25" s="21" t="str">
        <f>TEXT(A25,"yyyy-mm")</f>
        <v>2026-01</v>
      </c>
    </row>
    <row r="26" spans="1:9">
      <c r="A26" s="11">
        <v>46035</v>
      </c>
      <c r="B26" s="14" t="s">
        <v>14</v>
      </c>
      <c r="C26" s="14" t="s">
        <v>72</v>
      </c>
      <c r="D26" s="14" t="s">
        <v>67</v>
      </c>
      <c r="E26" s="5" t="s">
        <v>73</v>
      </c>
      <c r="F26" s="8">
        <v>18700</v>
      </c>
      <c r="G26" s="19" t="s">
        <v>32</v>
      </c>
      <c r="H26" s="20">
        <f>IF(G26="已核准",F26,0)</f>
        <v>18700</v>
      </c>
      <c r="I26" s="21" t="str">
        <f>TEXT(A26,"yyyy-mm")</f>
        <v>2026-01</v>
      </c>
    </row>
    <row r="27" spans="1:9">
      <c r="A27" s="11">
        <v>46040</v>
      </c>
      <c r="B27" s="14" t="s">
        <v>14</v>
      </c>
      <c r="C27" s="14" t="s">
        <v>74</v>
      </c>
      <c r="D27" s="14" t="s">
        <v>70</v>
      </c>
      <c r="E27" s="5" t="s">
        <v>75</v>
      </c>
      <c r="F27" s="8">
        <v>12800</v>
      </c>
      <c r="G27" s="19" t="s">
        <v>32</v>
      </c>
      <c r="H27" s="20">
        <f>IF(G27="已核准",F27,0)</f>
        <v>12800</v>
      </c>
      <c r="I27" s="21" t="str">
        <f>TEXT(A27,"yyyy-mm")</f>
        <v>2026-01</v>
      </c>
    </row>
    <row r="28" spans="1:9">
      <c r="A28" s="11">
        <v>46046</v>
      </c>
      <c r="B28" s="14" t="s">
        <v>14</v>
      </c>
      <c r="C28" s="14" t="s">
        <v>76</v>
      </c>
      <c r="D28" s="14" t="s">
        <v>67</v>
      </c>
      <c r="E28" s="5" t="s">
        <v>77</v>
      </c>
      <c r="F28" s="8">
        <v>21200</v>
      </c>
      <c r="G28" s="19" t="s">
        <v>32</v>
      </c>
      <c r="H28" s="20">
        <f>IF(G28="已核准",F28,0)</f>
        <v>21200</v>
      </c>
      <c r="I28" s="21" t="str">
        <f>TEXT(A28,"yyyy-mm")</f>
        <v>2026-01</v>
      </c>
    </row>
    <row r="29" spans="1:9">
      <c r="A29" s="11">
        <v>46049</v>
      </c>
      <c r="B29" s="14" t="s">
        <v>14</v>
      </c>
      <c r="C29" s="14" t="s">
        <v>66</v>
      </c>
      <c r="D29" s="14" t="s">
        <v>70</v>
      </c>
      <c r="E29" s="5" t="s">
        <v>68</v>
      </c>
      <c r="F29" s="8">
        <v>10200</v>
      </c>
      <c r="G29" s="19" t="s">
        <v>42</v>
      </c>
      <c r="H29" s="20">
        <f>IF(G29="已核准",F29,0)</f>
        <v>0</v>
      </c>
      <c r="I29" s="21" t="str">
        <f>TEXT(A29,"yyyy-mm")</f>
        <v>2026-01</v>
      </c>
    </row>
    <row r="30" spans="1:9">
      <c r="A30" s="11">
        <v>46058</v>
      </c>
      <c r="B30" s="14" t="s">
        <v>11</v>
      </c>
      <c r="C30" s="14" t="s">
        <v>29</v>
      </c>
      <c r="D30" s="14" t="s">
        <v>30</v>
      </c>
      <c r="E30" s="5" t="s">
        <v>31</v>
      </c>
      <c r="F30" s="8">
        <v>15400</v>
      </c>
      <c r="G30" s="19" t="s">
        <v>32</v>
      </c>
      <c r="H30" s="20">
        <f>IF(G30="已核准",F30,0)</f>
        <v>15400</v>
      </c>
      <c r="I30" s="21" t="str">
        <f>TEXT(A30,"yyyy-mm")</f>
        <v>2026-02</v>
      </c>
    </row>
    <row r="31" spans="1:9">
      <c r="A31" s="11">
        <v>46062</v>
      </c>
      <c r="B31" s="14" t="s">
        <v>11</v>
      </c>
      <c r="C31" s="14" t="s">
        <v>33</v>
      </c>
      <c r="D31" s="14" t="s">
        <v>34</v>
      </c>
      <c r="E31" s="5" t="s">
        <v>35</v>
      </c>
      <c r="F31" s="8">
        <v>13900</v>
      </c>
      <c r="G31" s="19" t="s">
        <v>32</v>
      </c>
      <c r="H31" s="20">
        <f>IF(G31="已核准",F31,0)</f>
        <v>13900</v>
      </c>
      <c r="I31" s="21" t="str">
        <f>TEXT(A31,"yyyy-mm")</f>
        <v>2026-02</v>
      </c>
    </row>
    <row r="32" spans="1:9">
      <c r="A32" s="11">
        <v>46066</v>
      </c>
      <c r="B32" s="14" t="s">
        <v>11</v>
      </c>
      <c r="C32" s="14" t="s">
        <v>36</v>
      </c>
      <c r="D32" s="14" t="s">
        <v>30</v>
      </c>
      <c r="E32" s="5" t="s">
        <v>37</v>
      </c>
      <c r="F32" s="8">
        <v>16900</v>
      </c>
      <c r="G32" s="19" t="s">
        <v>32</v>
      </c>
      <c r="H32" s="20">
        <f>IF(G32="已核准",F32,0)</f>
        <v>16900</v>
      </c>
      <c r="I32" s="21" t="str">
        <f>TEXT(A32,"yyyy-mm")</f>
        <v>2026-02</v>
      </c>
    </row>
    <row r="33" spans="1:9">
      <c r="A33" s="11">
        <v>46071</v>
      </c>
      <c r="B33" s="14" t="s">
        <v>11</v>
      </c>
      <c r="C33" s="14" t="s">
        <v>38</v>
      </c>
      <c r="D33" s="14" t="s">
        <v>34</v>
      </c>
      <c r="E33" s="5" t="s">
        <v>39</v>
      </c>
      <c r="F33" s="8">
        <v>11600</v>
      </c>
      <c r="G33" s="19" t="s">
        <v>32</v>
      </c>
      <c r="H33" s="20">
        <f>IF(G33="已核准",F33,0)</f>
        <v>11600</v>
      </c>
      <c r="I33" s="21" t="str">
        <f>TEXT(A33,"yyyy-mm")</f>
        <v>2026-02</v>
      </c>
    </row>
    <row r="34" spans="1:9">
      <c r="A34" s="11">
        <v>46077</v>
      </c>
      <c r="B34" s="14" t="s">
        <v>11</v>
      </c>
      <c r="C34" s="14" t="s">
        <v>40</v>
      </c>
      <c r="D34" s="14" t="s">
        <v>30</v>
      </c>
      <c r="E34" s="5" t="s">
        <v>41</v>
      </c>
      <c r="F34" s="8">
        <v>19200</v>
      </c>
      <c r="G34" s="19" t="s">
        <v>32</v>
      </c>
      <c r="H34" s="20">
        <f>IF(G34="已核准",F34,0)</f>
        <v>19200</v>
      </c>
      <c r="I34" s="21" t="str">
        <f>TEXT(A34,"yyyy-mm")</f>
        <v>2026-02</v>
      </c>
    </row>
    <row r="35" spans="1:9">
      <c r="A35" s="11">
        <v>46080</v>
      </c>
      <c r="B35" s="14" t="s">
        <v>11</v>
      </c>
      <c r="C35" s="14" t="s">
        <v>29</v>
      </c>
      <c r="D35" s="14" t="s">
        <v>34</v>
      </c>
      <c r="E35" s="5" t="s">
        <v>31</v>
      </c>
      <c r="F35" s="8">
        <v>9200</v>
      </c>
      <c r="G35" s="19" t="s">
        <v>78</v>
      </c>
      <c r="H35" s="20">
        <f>IF(G35="已核准",F35,0)</f>
        <v>0</v>
      </c>
      <c r="I35" s="21" t="str">
        <f>TEXT(A35,"yyyy-mm")</f>
        <v>2026-02</v>
      </c>
    </row>
    <row r="36" spans="1:9">
      <c r="A36" s="11">
        <v>46058</v>
      </c>
      <c r="B36" s="14" t="s">
        <v>12</v>
      </c>
      <c r="C36" s="14" t="s">
        <v>36</v>
      </c>
      <c r="D36" s="14" t="s">
        <v>43</v>
      </c>
      <c r="E36" s="5" t="s">
        <v>44</v>
      </c>
      <c r="F36" s="8">
        <v>38000</v>
      </c>
      <c r="G36" s="19" t="s">
        <v>32</v>
      </c>
      <c r="H36" s="20">
        <f>IF(G36="已核准",F36,0)</f>
        <v>38000</v>
      </c>
      <c r="I36" s="21" t="str">
        <f>TEXT(A36,"yyyy-mm")</f>
        <v>2026-02</v>
      </c>
    </row>
    <row r="37" spans="1:9">
      <c r="A37" s="11">
        <v>46062</v>
      </c>
      <c r="B37" s="14" t="s">
        <v>12</v>
      </c>
      <c r="C37" s="14" t="s">
        <v>45</v>
      </c>
      <c r="D37" s="14" t="s">
        <v>46</v>
      </c>
      <c r="E37" s="5" t="s">
        <v>47</v>
      </c>
      <c r="F37" s="8">
        <v>34200</v>
      </c>
      <c r="G37" s="19" t="s">
        <v>32</v>
      </c>
      <c r="H37" s="20">
        <f>IF(G37="已核准",F37,0)</f>
        <v>34200</v>
      </c>
      <c r="I37" s="21" t="str">
        <f>TEXT(A37,"yyyy-mm")</f>
        <v>2026-02</v>
      </c>
    </row>
    <row r="38" spans="1:9">
      <c r="A38" s="11">
        <v>46066</v>
      </c>
      <c r="B38" s="14" t="s">
        <v>12</v>
      </c>
      <c r="C38" s="14" t="s">
        <v>48</v>
      </c>
      <c r="D38" s="14" t="s">
        <v>43</v>
      </c>
      <c r="E38" s="5" t="s">
        <v>49</v>
      </c>
      <c r="F38" s="8">
        <v>41800</v>
      </c>
      <c r="G38" s="19" t="s">
        <v>32</v>
      </c>
      <c r="H38" s="20">
        <f>IF(G38="已核准",F38,0)</f>
        <v>41800</v>
      </c>
      <c r="I38" s="21" t="str">
        <f>TEXT(A38,"yyyy-mm")</f>
        <v>2026-02</v>
      </c>
    </row>
    <row r="39" spans="1:9">
      <c r="A39" s="11">
        <v>46071</v>
      </c>
      <c r="B39" s="14" t="s">
        <v>12</v>
      </c>
      <c r="C39" s="14" t="s">
        <v>50</v>
      </c>
      <c r="D39" s="14" t="s">
        <v>46</v>
      </c>
      <c r="E39" s="5" t="s">
        <v>51</v>
      </c>
      <c r="F39" s="8">
        <v>28500</v>
      </c>
      <c r="G39" s="19" t="s">
        <v>32</v>
      </c>
      <c r="H39" s="20">
        <f>IF(G39="已核准",F39,0)</f>
        <v>28500</v>
      </c>
      <c r="I39" s="21" t="str">
        <f>TEXT(A39,"yyyy-mm")</f>
        <v>2026-02</v>
      </c>
    </row>
    <row r="40" spans="1:9">
      <c r="A40" s="11">
        <v>46077</v>
      </c>
      <c r="B40" s="14" t="s">
        <v>12</v>
      </c>
      <c r="C40" s="14" t="s">
        <v>52</v>
      </c>
      <c r="D40" s="14" t="s">
        <v>43</v>
      </c>
      <c r="E40" s="5" t="s">
        <v>53</v>
      </c>
      <c r="F40" s="8">
        <v>47500</v>
      </c>
      <c r="G40" s="19" t="s">
        <v>32</v>
      </c>
      <c r="H40" s="20">
        <f>IF(G40="已核准",F40,0)</f>
        <v>47500</v>
      </c>
      <c r="I40" s="21" t="str">
        <f>TEXT(A40,"yyyy-mm")</f>
        <v>2026-02</v>
      </c>
    </row>
    <row r="41" spans="1:9">
      <c r="A41" s="11">
        <v>46080</v>
      </c>
      <c r="B41" s="14" t="s">
        <v>12</v>
      </c>
      <c r="C41" s="14" t="s">
        <v>36</v>
      </c>
      <c r="D41" s="14" t="s">
        <v>46</v>
      </c>
      <c r="E41" s="5" t="s">
        <v>44</v>
      </c>
      <c r="F41" s="8">
        <v>22800</v>
      </c>
      <c r="G41" s="19" t="s">
        <v>78</v>
      </c>
      <c r="H41" s="20">
        <f>IF(G41="已核准",F41,0)</f>
        <v>0</v>
      </c>
      <c r="I41" s="21" t="str">
        <f>TEXT(A41,"yyyy-mm")</f>
        <v>2026-02</v>
      </c>
    </row>
    <row r="42" spans="1:9">
      <c r="A42" s="11">
        <v>46058</v>
      </c>
      <c r="B42" s="14" t="s">
        <v>13</v>
      </c>
      <c r="C42" s="14" t="s">
        <v>54</v>
      </c>
      <c r="D42" s="14" t="s">
        <v>55</v>
      </c>
      <c r="E42" s="5" t="s">
        <v>56</v>
      </c>
      <c r="F42" s="8">
        <v>26000</v>
      </c>
      <c r="G42" s="19" t="s">
        <v>32</v>
      </c>
      <c r="H42" s="20">
        <f t="shared" ref="H42:H77" si="0">IF(G42="已核准",F42,0)</f>
        <v>26000</v>
      </c>
      <c r="I42" s="21" t="str">
        <f t="shared" ref="I42:I77" si="1">TEXT(A42,"yyyy-mm")</f>
        <v>2026-02</v>
      </c>
    </row>
    <row r="43" spans="1:9">
      <c r="A43" s="11">
        <v>46062</v>
      </c>
      <c r="B43" s="14" t="s">
        <v>13</v>
      </c>
      <c r="C43" s="14" t="s">
        <v>57</v>
      </c>
      <c r="D43" s="14" t="s">
        <v>58</v>
      </c>
      <c r="E43" s="5" t="s">
        <v>59</v>
      </c>
      <c r="F43" s="8">
        <v>23400</v>
      </c>
      <c r="G43" s="19" t="s">
        <v>32</v>
      </c>
      <c r="H43" s="20">
        <f t="shared" si="0"/>
        <v>23400</v>
      </c>
      <c r="I43" s="21" t="str">
        <f t="shared" si="1"/>
        <v>2026-02</v>
      </c>
    </row>
    <row r="44" spans="1:9">
      <c r="A44" s="11">
        <v>46066</v>
      </c>
      <c r="B44" s="14" t="s">
        <v>13</v>
      </c>
      <c r="C44" s="14" t="s">
        <v>60</v>
      </c>
      <c r="D44" s="14" t="s">
        <v>55</v>
      </c>
      <c r="E44" s="5" t="s">
        <v>61</v>
      </c>
      <c r="F44" s="8">
        <v>28600</v>
      </c>
      <c r="G44" s="19" t="s">
        <v>32</v>
      </c>
      <c r="H44" s="20">
        <f t="shared" si="0"/>
        <v>28600</v>
      </c>
      <c r="I44" s="21" t="str">
        <f t="shared" si="1"/>
        <v>2026-02</v>
      </c>
    </row>
    <row r="45" spans="1:9">
      <c r="A45" s="11">
        <v>46071</v>
      </c>
      <c r="B45" s="14" t="s">
        <v>13</v>
      </c>
      <c r="C45" s="14" t="s">
        <v>62</v>
      </c>
      <c r="D45" s="14" t="s">
        <v>58</v>
      </c>
      <c r="E45" s="5" t="s">
        <v>63</v>
      </c>
      <c r="F45" s="8">
        <v>19500</v>
      </c>
      <c r="G45" s="19" t="s">
        <v>32</v>
      </c>
      <c r="H45" s="20">
        <f t="shared" si="0"/>
        <v>19500</v>
      </c>
      <c r="I45" s="21" t="str">
        <f t="shared" si="1"/>
        <v>2026-02</v>
      </c>
    </row>
    <row r="46" spans="1:9">
      <c r="A46" s="11">
        <v>46077</v>
      </c>
      <c r="B46" s="14" t="s">
        <v>13</v>
      </c>
      <c r="C46" s="14" t="s">
        <v>64</v>
      </c>
      <c r="D46" s="14" t="s">
        <v>55</v>
      </c>
      <c r="E46" s="5" t="s">
        <v>65</v>
      </c>
      <c r="F46" s="8">
        <v>32500</v>
      </c>
      <c r="G46" s="19" t="s">
        <v>32</v>
      </c>
      <c r="H46" s="20">
        <f t="shared" si="0"/>
        <v>32500</v>
      </c>
      <c r="I46" s="21" t="str">
        <f t="shared" si="1"/>
        <v>2026-02</v>
      </c>
    </row>
    <row r="47" spans="1:9">
      <c r="A47" s="11">
        <v>46080</v>
      </c>
      <c r="B47" s="14" t="s">
        <v>13</v>
      </c>
      <c r="C47" s="14" t="s">
        <v>54</v>
      </c>
      <c r="D47" s="14" t="s">
        <v>58</v>
      </c>
      <c r="E47" s="5" t="s">
        <v>56</v>
      </c>
      <c r="F47" s="8">
        <v>15600</v>
      </c>
      <c r="G47" s="19" t="s">
        <v>78</v>
      </c>
      <c r="H47" s="20">
        <f t="shared" si="0"/>
        <v>0</v>
      </c>
      <c r="I47" s="21" t="str">
        <f t="shared" si="1"/>
        <v>2026-02</v>
      </c>
    </row>
    <row r="48" spans="1:9">
      <c r="A48" s="11">
        <v>46058</v>
      </c>
      <c r="B48" s="14" t="s">
        <v>14</v>
      </c>
      <c r="C48" s="14" t="s">
        <v>66</v>
      </c>
      <c r="D48" s="14" t="s">
        <v>67</v>
      </c>
      <c r="E48" s="5" t="s">
        <v>68</v>
      </c>
      <c r="F48" s="8">
        <v>19000</v>
      </c>
      <c r="G48" s="19" t="s">
        <v>32</v>
      </c>
      <c r="H48" s="20">
        <f t="shared" si="0"/>
        <v>19000</v>
      </c>
      <c r="I48" s="21" t="str">
        <f t="shared" si="1"/>
        <v>2026-02</v>
      </c>
    </row>
    <row r="49" spans="1:9">
      <c r="A49" s="11">
        <v>46062</v>
      </c>
      <c r="B49" s="14" t="s">
        <v>14</v>
      </c>
      <c r="C49" s="14" t="s">
        <v>69</v>
      </c>
      <c r="D49" s="14" t="s">
        <v>70</v>
      </c>
      <c r="E49" s="5" t="s">
        <v>71</v>
      </c>
      <c r="F49" s="8">
        <v>17100</v>
      </c>
      <c r="G49" s="19" t="s">
        <v>32</v>
      </c>
      <c r="H49" s="20">
        <f t="shared" si="0"/>
        <v>17100</v>
      </c>
      <c r="I49" s="21" t="str">
        <f t="shared" si="1"/>
        <v>2026-02</v>
      </c>
    </row>
    <row r="50" spans="1:9">
      <c r="A50" s="11">
        <v>46066</v>
      </c>
      <c r="B50" s="14" t="s">
        <v>14</v>
      </c>
      <c r="C50" s="14" t="s">
        <v>72</v>
      </c>
      <c r="D50" s="14" t="s">
        <v>67</v>
      </c>
      <c r="E50" s="5" t="s">
        <v>73</v>
      </c>
      <c r="F50" s="8">
        <v>20900</v>
      </c>
      <c r="G50" s="19" t="s">
        <v>32</v>
      </c>
      <c r="H50" s="20">
        <f t="shared" si="0"/>
        <v>20900</v>
      </c>
      <c r="I50" s="21" t="str">
        <f t="shared" si="1"/>
        <v>2026-02</v>
      </c>
    </row>
    <row r="51" spans="1:9">
      <c r="A51" s="11">
        <v>46071</v>
      </c>
      <c r="B51" s="14" t="s">
        <v>14</v>
      </c>
      <c r="C51" s="14" t="s">
        <v>74</v>
      </c>
      <c r="D51" s="14" t="s">
        <v>70</v>
      </c>
      <c r="E51" s="5" t="s">
        <v>75</v>
      </c>
      <c r="F51" s="8">
        <v>14300</v>
      </c>
      <c r="G51" s="19" t="s">
        <v>32</v>
      </c>
      <c r="H51" s="20">
        <f t="shared" si="0"/>
        <v>14300</v>
      </c>
      <c r="I51" s="21" t="str">
        <f t="shared" si="1"/>
        <v>2026-02</v>
      </c>
    </row>
    <row r="52" spans="1:9">
      <c r="A52" s="11">
        <v>46077</v>
      </c>
      <c r="B52" s="14" t="s">
        <v>14</v>
      </c>
      <c r="C52" s="14" t="s">
        <v>76</v>
      </c>
      <c r="D52" s="14" t="s">
        <v>67</v>
      </c>
      <c r="E52" s="5" t="s">
        <v>77</v>
      </c>
      <c r="F52" s="8">
        <v>23700</v>
      </c>
      <c r="G52" s="19" t="s">
        <v>32</v>
      </c>
      <c r="H52" s="20">
        <f t="shared" si="0"/>
        <v>23700</v>
      </c>
      <c r="I52" s="21" t="str">
        <f t="shared" si="1"/>
        <v>2026-02</v>
      </c>
    </row>
    <row r="53" spans="1:9">
      <c r="A53" s="11">
        <v>46080</v>
      </c>
      <c r="B53" s="14" t="s">
        <v>14</v>
      </c>
      <c r="C53" s="14" t="s">
        <v>66</v>
      </c>
      <c r="D53" s="14" t="s">
        <v>70</v>
      </c>
      <c r="E53" s="5" t="s">
        <v>68</v>
      </c>
      <c r="F53" s="8">
        <v>11400</v>
      </c>
      <c r="G53" s="19" t="s">
        <v>78</v>
      </c>
      <c r="H53" s="20">
        <f t="shared" si="0"/>
        <v>0</v>
      </c>
      <c r="I53" s="21" t="str">
        <f t="shared" si="1"/>
        <v>2026-02</v>
      </c>
    </row>
    <row r="54" spans="1:9">
      <c r="A54" s="11">
        <v>46086</v>
      </c>
      <c r="B54" s="14" t="s">
        <v>11</v>
      </c>
      <c r="C54" s="14" t="s">
        <v>29</v>
      </c>
      <c r="D54" s="14" t="s">
        <v>30</v>
      </c>
      <c r="E54" s="5" t="s">
        <v>31</v>
      </c>
      <c r="F54" s="8">
        <v>17600</v>
      </c>
      <c r="G54" s="19" t="s">
        <v>32</v>
      </c>
      <c r="H54" s="20">
        <f t="shared" si="0"/>
        <v>17600</v>
      </c>
      <c r="I54" s="21" t="str">
        <f t="shared" si="1"/>
        <v>2026-03</v>
      </c>
    </row>
    <row r="55" spans="1:9">
      <c r="A55" s="11">
        <v>46090</v>
      </c>
      <c r="B55" s="14" t="s">
        <v>11</v>
      </c>
      <c r="C55" s="14" t="s">
        <v>33</v>
      </c>
      <c r="D55" s="14" t="s">
        <v>34</v>
      </c>
      <c r="E55" s="5" t="s">
        <v>35</v>
      </c>
      <c r="F55" s="8">
        <v>15800</v>
      </c>
      <c r="G55" s="19" t="s">
        <v>32</v>
      </c>
      <c r="H55" s="20">
        <f t="shared" si="0"/>
        <v>15800</v>
      </c>
      <c r="I55" s="21" t="str">
        <f t="shared" si="1"/>
        <v>2026-03</v>
      </c>
    </row>
    <row r="56" spans="1:9">
      <c r="A56" s="11">
        <v>46094</v>
      </c>
      <c r="B56" s="14" t="s">
        <v>11</v>
      </c>
      <c r="C56" s="14" t="s">
        <v>36</v>
      </c>
      <c r="D56" s="14" t="s">
        <v>30</v>
      </c>
      <c r="E56" s="5" t="s">
        <v>37</v>
      </c>
      <c r="F56" s="8">
        <v>19400</v>
      </c>
      <c r="G56" s="19" t="s">
        <v>32</v>
      </c>
      <c r="H56" s="20">
        <f t="shared" si="0"/>
        <v>19400</v>
      </c>
      <c r="I56" s="21" t="str">
        <f t="shared" si="1"/>
        <v>2026-03</v>
      </c>
    </row>
    <row r="57" spans="1:9">
      <c r="A57" s="11">
        <v>46099</v>
      </c>
      <c r="B57" s="14" t="s">
        <v>11</v>
      </c>
      <c r="C57" s="14" t="s">
        <v>38</v>
      </c>
      <c r="D57" s="14" t="s">
        <v>34</v>
      </c>
      <c r="E57" s="5" t="s">
        <v>39</v>
      </c>
      <c r="F57" s="8">
        <v>13200</v>
      </c>
      <c r="G57" s="19" t="s">
        <v>32</v>
      </c>
      <c r="H57" s="20">
        <f t="shared" si="0"/>
        <v>13200</v>
      </c>
      <c r="I57" s="21" t="str">
        <f t="shared" si="1"/>
        <v>2026-03</v>
      </c>
    </row>
    <row r="58" spans="1:9">
      <c r="A58" s="11">
        <v>46105</v>
      </c>
      <c r="B58" s="14" t="s">
        <v>11</v>
      </c>
      <c r="C58" s="14" t="s">
        <v>40</v>
      </c>
      <c r="D58" s="14" t="s">
        <v>30</v>
      </c>
      <c r="E58" s="5" t="s">
        <v>41</v>
      </c>
      <c r="F58" s="8">
        <v>22000</v>
      </c>
      <c r="G58" s="19" t="s">
        <v>32</v>
      </c>
      <c r="H58" s="20">
        <f t="shared" si="0"/>
        <v>22000</v>
      </c>
      <c r="I58" s="21" t="str">
        <f t="shared" si="1"/>
        <v>2026-03</v>
      </c>
    </row>
    <row r="59" spans="1:9">
      <c r="A59" s="11">
        <v>46108</v>
      </c>
      <c r="B59" s="14" t="s">
        <v>11</v>
      </c>
      <c r="C59" s="14" t="s">
        <v>29</v>
      </c>
      <c r="D59" s="14" t="s">
        <v>34</v>
      </c>
      <c r="E59" s="5" t="s">
        <v>31</v>
      </c>
      <c r="F59" s="8">
        <v>10600</v>
      </c>
      <c r="G59" s="19" t="s">
        <v>79</v>
      </c>
      <c r="H59" s="20">
        <f t="shared" si="0"/>
        <v>0</v>
      </c>
      <c r="I59" s="21" t="str">
        <f t="shared" si="1"/>
        <v>2026-03</v>
      </c>
    </row>
    <row r="60" spans="1:9">
      <c r="A60" s="11">
        <v>46086</v>
      </c>
      <c r="B60" s="14" t="s">
        <v>12</v>
      </c>
      <c r="C60" s="14" t="s">
        <v>36</v>
      </c>
      <c r="D60" s="14" t="s">
        <v>43</v>
      </c>
      <c r="E60" s="5" t="s">
        <v>44</v>
      </c>
      <c r="F60" s="8">
        <v>41000</v>
      </c>
      <c r="G60" s="19" t="s">
        <v>32</v>
      </c>
      <c r="H60" s="20">
        <f t="shared" si="0"/>
        <v>41000</v>
      </c>
      <c r="I60" s="21" t="str">
        <f t="shared" si="1"/>
        <v>2026-03</v>
      </c>
    </row>
    <row r="61" spans="1:9">
      <c r="A61" s="11">
        <v>46090</v>
      </c>
      <c r="B61" s="14" t="s">
        <v>12</v>
      </c>
      <c r="C61" s="14" t="s">
        <v>45</v>
      </c>
      <c r="D61" s="14" t="s">
        <v>46</v>
      </c>
      <c r="E61" s="5" t="s">
        <v>47</v>
      </c>
      <c r="F61" s="8">
        <v>36900</v>
      </c>
      <c r="G61" s="19" t="s">
        <v>32</v>
      </c>
      <c r="H61" s="20">
        <f t="shared" si="0"/>
        <v>36900</v>
      </c>
      <c r="I61" s="21" t="str">
        <f t="shared" si="1"/>
        <v>2026-03</v>
      </c>
    </row>
    <row r="62" spans="1:9">
      <c r="A62" s="11">
        <v>46094</v>
      </c>
      <c r="B62" s="14" t="s">
        <v>12</v>
      </c>
      <c r="C62" s="14" t="s">
        <v>48</v>
      </c>
      <c r="D62" s="14" t="s">
        <v>43</v>
      </c>
      <c r="E62" s="5" t="s">
        <v>49</v>
      </c>
      <c r="F62" s="8">
        <v>45100</v>
      </c>
      <c r="G62" s="19" t="s">
        <v>32</v>
      </c>
      <c r="H62" s="20">
        <f t="shared" si="0"/>
        <v>45100</v>
      </c>
      <c r="I62" s="21" t="str">
        <f t="shared" si="1"/>
        <v>2026-03</v>
      </c>
    </row>
    <row r="63" spans="1:9">
      <c r="A63" s="11">
        <v>46099</v>
      </c>
      <c r="B63" s="14" t="s">
        <v>12</v>
      </c>
      <c r="C63" s="14" t="s">
        <v>50</v>
      </c>
      <c r="D63" s="14" t="s">
        <v>46</v>
      </c>
      <c r="E63" s="5" t="s">
        <v>51</v>
      </c>
      <c r="F63" s="8">
        <v>30800</v>
      </c>
      <c r="G63" s="19" t="s">
        <v>32</v>
      </c>
      <c r="H63" s="20">
        <f t="shared" si="0"/>
        <v>30800</v>
      </c>
      <c r="I63" s="21" t="str">
        <f t="shared" si="1"/>
        <v>2026-03</v>
      </c>
    </row>
    <row r="64" spans="1:9">
      <c r="A64" s="11">
        <v>46105</v>
      </c>
      <c r="B64" s="14" t="s">
        <v>12</v>
      </c>
      <c r="C64" s="14" t="s">
        <v>52</v>
      </c>
      <c r="D64" s="14" t="s">
        <v>43</v>
      </c>
      <c r="E64" s="5" t="s">
        <v>53</v>
      </c>
      <c r="F64" s="8">
        <v>51200</v>
      </c>
      <c r="G64" s="19" t="s">
        <v>32</v>
      </c>
      <c r="H64" s="20">
        <f t="shared" si="0"/>
        <v>51200</v>
      </c>
      <c r="I64" s="21" t="str">
        <f t="shared" si="1"/>
        <v>2026-03</v>
      </c>
    </row>
    <row r="65" spans="1:9">
      <c r="A65" s="11">
        <v>46108</v>
      </c>
      <c r="B65" s="14" t="s">
        <v>12</v>
      </c>
      <c r="C65" s="14" t="s">
        <v>36</v>
      </c>
      <c r="D65" s="14" t="s">
        <v>46</v>
      </c>
      <c r="E65" s="5" t="s">
        <v>44</v>
      </c>
      <c r="F65" s="8">
        <v>24600</v>
      </c>
      <c r="G65" s="19" t="s">
        <v>79</v>
      </c>
      <c r="H65" s="20">
        <f t="shared" si="0"/>
        <v>0</v>
      </c>
      <c r="I65" s="21" t="str">
        <f t="shared" si="1"/>
        <v>2026-03</v>
      </c>
    </row>
    <row r="66" spans="1:9">
      <c r="A66" s="11">
        <v>46086</v>
      </c>
      <c r="B66" s="14" t="s">
        <v>13</v>
      </c>
      <c r="C66" s="14" t="s">
        <v>54</v>
      </c>
      <c r="D66" s="14" t="s">
        <v>55</v>
      </c>
      <c r="E66" s="5" t="s">
        <v>56</v>
      </c>
      <c r="F66" s="8">
        <v>31000</v>
      </c>
      <c r="G66" s="19" t="s">
        <v>32</v>
      </c>
      <c r="H66" s="20">
        <f t="shared" si="0"/>
        <v>31000</v>
      </c>
      <c r="I66" s="21" t="str">
        <f t="shared" si="1"/>
        <v>2026-03</v>
      </c>
    </row>
    <row r="67" spans="1:9">
      <c r="A67" s="11">
        <v>46090</v>
      </c>
      <c r="B67" s="14" t="s">
        <v>13</v>
      </c>
      <c r="C67" s="14" t="s">
        <v>57</v>
      </c>
      <c r="D67" s="14" t="s">
        <v>58</v>
      </c>
      <c r="E67" s="5" t="s">
        <v>59</v>
      </c>
      <c r="F67" s="8">
        <v>27900</v>
      </c>
      <c r="G67" s="19" t="s">
        <v>32</v>
      </c>
      <c r="H67" s="20">
        <f t="shared" si="0"/>
        <v>27900</v>
      </c>
      <c r="I67" s="21" t="str">
        <f t="shared" si="1"/>
        <v>2026-03</v>
      </c>
    </row>
    <row r="68" spans="1:9">
      <c r="A68" s="11">
        <v>46094</v>
      </c>
      <c r="B68" s="14" t="s">
        <v>13</v>
      </c>
      <c r="C68" s="14" t="s">
        <v>60</v>
      </c>
      <c r="D68" s="14" t="s">
        <v>55</v>
      </c>
      <c r="E68" s="5" t="s">
        <v>61</v>
      </c>
      <c r="F68" s="8">
        <v>34100</v>
      </c>
      <c r="G68" s="19" t="s">
        <v>32</v>
      </c>
      <c r="H68" s="20">
        <f t="shared" si="0"/>
        <v>34100</v>
      </c>
      <c r="I68" s="21" t="str">
        <f t="shared" si="1"/>
        <v>2026-03</v>
      </c>
    </row>
    <row r="69" spans="1:9">
      <c r="A69" s="11">
        <v>46099</v>
      </c>
      <c r="B69" s="14" t="s">
        <v>13</v>
      </c>
      <c r="C69" s="14" t="s">
        <v>62</v>
      </c>
      <c r="D69" s="14" t="s">
        <v>58</v>
      </c>
      <c r="E69" s="5" t="s">
        <v>63</v>
      </c>
      <c r="F69" s="8">
        <v>23300</v>
      </c>
      <c r="G69" s="19" t="s">
        <v>32</v>
      </c>
      <c r="H69" s="20">
        <f t="shared" si="0"/>
        <v>23300</v>
      </c>
      <c r="I69" s="21" t="str">
        <f t="shared" si="1"/>
        <v>2026-03</v>
      </c>
    </row>
    <row r="70" spans="1:9">
      <c r="A70" s="11">
        <v>46105</v>
      </c>
      <c r="B70" s="14" t="s">
        <v>13</v>
      </c>
      <c r="C70" s="14" t="s">
        <v>64</v>
      </c>
      <c r="D70" s="14" t="s">
        <v>55</v>
      </c>
      <c r="E70" s="5" t="s">
        <v>65</v>
      </c>
      <c r="F70" s="8">
        <v>38700</v>
      </c>
      <c r="G70" s="19" t="s">
        <v>32</v>
      </c>
      <c r="H70" s="20">
        <f t="shared" si="0"/>
        <v>38700</v>
      </c>
      <c r="I70" s="21" t="str">
        <f t="shared" si="1"/>
        <v>2026-03</v>
      </c>
    </row>
    <row r="71" spans="1:9">
      <c r="A71" s="11">
        <v>46108</v>
      </c>
      <c r="B71" s="14" t="s">
        <v>13</v>
      </c>
      <c r="C71" s="14" t="s">
        <v>54</v>
      </c>
      <c r="D71" s="14" t="s">
        <v>58</v>
      </c>
      <c r="E71" s="5" t="s">
        <v>56</v>
      </c>
      <c r="F71" s="8">
        <v>18600</v>
      </c>
      <c r="G71" s="19" t="s">
        <v>79</v>
      </c>
      <c r="H71" s="20">
        <f t="shared" si="0"/>
        <v>0</v>
      </c>
      <c r="I71" s="21" t="str">
        <f t="shared" si="1"/>
        <v>2026-03</v>
      </c>
    </row>
    <row r="72" spans="1:9">
      <c r="A72" s="11">
        <v>46086</v>
      </c>
      <c r="B72" s="14" t="s">
        <v>14</v>
      </c>
      <c r="C72" s="14" t="s">
        <v>66</v>
      </c>
      <c r="D72" s="14" t="s">
        <v>67</v>
      </c>
      <c r="E72" s="5" t="s">
        <v>68</v>
      </c>
      <c r="F72" s="8">
        <v>20000</v>
      </c>
      <c r="G72" s="19" t="s">
        <v>32</v>
      </c>
      <c r="H72" s="20">
        <f t="shared" si="0"/>
        <v>20000</v>
      </c>
      <c r="I72" s="21" t="str">
        <f t="shared" si="1"/>
        <v>2026-03</v>
      </c>
    </row>
    <row r="73" spans="1:9">
      <c r="A73" s="11">
        <v>46090</v>
      </c>
      <c r="B73" s="14" t="s">
        <v>14</v>
      </c>
      <c r="C73" s="14" t="s">
        <v>69</v>
      </c>
      <c r="D73" s="14" t="s">
        <v>70</v>
      </c>
      <c r="E73" s="5" t="s">
        <v>71</v>
      </c>
      <c r="F73" s="8">
        <v>18000</v>
      </c>
      <c r="G73" s="19" t="s">
        <v>32</v>
      </c>
      <c r="H73" s="20">
        <f t="shared" si="0"/>
        <v>18000</v>
      </c>
      <c r="I73" s="21" t="str">
        <f t="shared" si="1"/>
        <v>2026-03</v>
      </c>
    </row>
    <row r="74" spans="1:9">
      <c r="A74" s="11">
        <v>46094</v>
      </c>
      <c r="B74" s="14" t="s">
        <v>14</v>
      </c>
      <c r="C74" s="14" t="s">
        <v>72</v>
      </c>
      <c r="D74" s="14" t="s">
        <v>67</v>
      </c>
      <c r="E74" s="5" t="s">
        <v>73</v>
      </c>
      <c r="F74" s="8">
        <v>22000</v>
      </c>
      <c r="G74" s="19" t="s">
        <v>32</v>
      </c>
      <c r="H74" s="20">
        <f t="shared" si="0"/>
        <v>22000</v>
      </c>
      <c r="I74" s="21" t="str">
        <f t="shared" si="1"/>
        <v>2026-03</v>
      </c>
    </row>
    <row r="75" spans="1:9">
      <c r="A75" s="11">
        <v>46099</v>
      </c>
      <c r="B75" s="14" t="s">
        <v>14</v>
      </c>
      <c r="C75" s="14" t="s">
        <v>74</v>
      </c>
      <c r="D75" s="14" t="s">
        <v>70</v>
      </c>
      <c r="E75" s="5" t="s">
        <v>75</v>
      </c>
      <c r="F75" s="8">
        <v>15000</v>
      </c>
      <c r="G75" s="19" t="s">
        <v>32</v>
      </c>
      <c r="H75" s="20">
        <f t="shared" si="0"/>
        <v>15000</v>
      </c>
      <c r="I75" s="21" t="str">
        <f t="shared" si="1"/>
        <v>2026-03</v>
      </c>
    </row>
    <row r="76" spans="1:9">
      <c r="A76" s="11">
        <v>46105</v>
      </c>
      <c r="B76" s="14" t="s">
        <v>14</v>
      </c>
      <c r="C76" s="14" t="s">
        <v>76</v>
      </c>
      <c r="D76" s="14" t="s">
        <v>67</v>
      </c>
      <c r="E76" s="5" t="s">
        <v>77</v>
      </c>
      <c r="F76" s="8">
        <v>25000</v>
      </c>
      <c r="G76" s="19" t="s">
        <v>32</v>
      </c>
      <c r="H76" s="20">
        <f t="shared" si="0"/>
        <v>25000</v>
      </c>
      <c r="I76" s="21" t="str">
        <f t="shared" si="1"/>
        <v>2026-03</v>
      </c>
    </row>
    <row r="77" spans="1:9">
      <c r="A77" s="12">
        <v>46108</v>
      </c>
      <c r="B77" s="15" t="s">
        <v>14</v>
      </c>
      <c r="C77" s="15" t="s">
        <v>66</v>
      </c>
      <c r="D77" s="15" t="s">
        <v>70</v>
      </c>
      <c r="E77" s="6" t="s">
        <v>68</v>
      </c>
      <c r="F77" s="9">
        <v>12000</v>
      </c>
      <c r="G77" s="22" t="s">
        <v>79</v>
      </c>
      <c r="H77" s="20">
        <f t="shared" si="0"/>
        <v>0</v>
      </c>
      <c r="I77" s="21" t="str">
        <f t="shared" si="1"/>
        <v>2026-03</v>
      </c>
    </row>
  </sheetData>
  <mergeCells count="4">
    <mergeCell ref="A1:I1"/>
    <mergeCell ref="A2:I2"/>
    <mergeCell ref="A3:G3"/>
    <mergeCell ref="H3:I3"/>
  </mergeCells>
  <phoneticPr fontId="10" type="noConversion"/>
  <conditionalFormatting sqref="G6:G77">
    <cfRule type="containsText" dxfId="2" priority="1" operator="containsText" text="已核准"/>
    <cfRule type="containsText" dxfId="1" priority="2" operator="containsText" text="已退回"/>
  </conditionalFormatting>
  <conditionalFormatting sqref="H6:I77">
    <cfRule type="containsBlanks" dxfId="0" priority="3"/>
  </conditionalFormatting>
  <dataValidations count="1">
    <dataValidation type="list" sqref="G6:G77" xr:uid="{00000000-0002-0000-0100-000000000000}">
      <formula1>"已核准,審核中,待補件,已退回"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57D1-875B-4706-AF08-B742B8AE2C87}">
  <dimension ref="A1:E10"/>
  <sheetViews>
    <sheetView workbookViewId="0">
      <selection activeCell="B8" sqref="B8"/>
    </sheetView>
  </sheetViews>
  <sheetFormatPr defaultRowHeight="13.8"/>
  <cols>
    <col min="1" max="1" width="13" customWidth="1"/>
    <col min="2" max="4" width="15" customWidth="1"/>
    <col min="5" max="5" width="16" customWidth="1"/>
  </cols>
  <sheetData>
    <row r="1" spans="1:5" ht="25.65" customHeight="1">
      <c r="A1" s="49" t="s">
        <v>80</v>
      </c>
      <c r="B1" s="49"/>
      <c r="C1" s="49"/>
      <c r="D1" s="49"/>
      <c r="E1" s="49"/>
    </row>
    <row r="2" spans="1:5" ht="24" customHeight="1">
      <c r="A2" s="50" t="s">
        <v>81</v>
      </c>
      <c r="B2" s="50"/>
      <c r="C2" s="50"/>
      <c r="D2" s="50"/>
      <c r="E2" s="50"/>
    </row>
    <row r="5" spans="1:5">
      <c r="A5" s="1" t="s">
        <v>5</v>
      </c>
      <c r="B5" s="2" t="s">
        <v>82</v>
      </c>
      <c r="C5" s="2" t="s">
        <v>83</v>
      </c>
      <c r="D5" s="2" t="s">
        <v>84</v>
      </c>
      <c r="E5" s="3" t="s">
        <v>6</v>
      </c>
    </row>
    <row r="6" spans="1:5" ht="14.4">
      <c r="A6" s="31" t="s">
        <v>11</v>
      </c>
      <c r="B6" s="24">
        <v>90000</v>
      </c>
      <c r="C6" s="24">
        <v>85000</v>
      </c>
      <c r="D6" s="24">
        <v>95000</v>
      </c>
      <c r="E6" s="25">
        <f>SUM(B6:D6)</f>
        <v>270000</v>
      </c>
    </row>
    <row r="7" spans="1:5" ht="14.4">
      <c r="A7" s="32" t="s">
        <v>12</v>
      </c>
      <c r="B7" s="26">
        <v>160000</v>
      </c>
      <c r="C7" s="26">
        <v>170000</v>
      </c>
      <c r="D7" s="26">
        <v>180000</v>
      </c>
      <c r="E7" s="27">
        <f>SUM(B7:D7)</f>
        <v>510000</v>
      </c>
    </row>
    <row r="8" spans="1:5" ht="14.4">
      <c r="A8" s="32" t="s">
        <v>13</v>
      </c>
      <c r="B8" s="26">
        <v>140000</v>
      </c>
      <c r="C8" s="26">
        <v>150000</v>
      </c>
      <c r="D8" s="26">
        <v>160000</v>
      </c>
      <c r="E8" s="27">
        <f>SUM(B8:D8)</f>
        <v>450000</v>
      </c>
    </row>
    <row r="9" spans="1:5" ht="14.4">
      <c r="A9" s="33" t="s">
        <v>14</v>
      </c>
      <c r="B9" s="28">
        <v>120000</v>
      </c>
      <c r="C9" s="28">
        <v>120000</v>
      </c>
      <c r="D9" s="28">
        <v>130000</v>
      </c>
      <c r="E9" s="29">
        <f>SUM(B9:D9)</f>
        <v>370000</v>
      </c>
    </row>
    <row r="10" spans="1:5" ht="15" thickBot="1">
      <c r="A10" s="34" t="s">
        <v>15</v>
      </c>
      <c r="B10" s="30">
        <f>SUM(B6:B9)</f>
        <v>510000</v>
      </c>
      <c r="C10" s="30">
        <f>SUM(C6:C9)</f>
        <v>525000</v>
      </c>
      <c r="D10" s="30">
        <f>SUM(D6:D9)</f>
        <v>565000</v>
      </c>
      <c r="E10" s="30">
        <f>SUM(E6:E9)</f>
        <v>1600000</v>
      </c>
    </row>
  </sheetData>
  <mergeCells count="2">
    <mergeCell ref="A1:E1"/>
    <mergeCell ref="A2:E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月報</vt:lpstr>
      <vt:lpstr>費用明細</vt:lpstr>
      <vt:lpstr>部門預算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振豪 何</cp:lastModifiedBy>
  <dcterms:modified xsi:type="dcterms:W3CDTF">2026-07-29T05:37:08Z</dcterms:modified>
</cp:coreProperties>
</file>