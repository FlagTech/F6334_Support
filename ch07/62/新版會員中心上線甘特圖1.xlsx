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c6d50e0ee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甘特圖" sheetId="1" r:id="R2f251cc9c0634c4d"/>
    <x:sheet xmlns:r="http://schemas.openxmlformats.org/officeDocument/2006/relationships" name="風險與待確認" sheetId="2" r:id="R5b211ca2897c4a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/d"/>
    <x:numFmt numFmtId="201" formatCode="yyyy-mm-dd"/>
  </x:numFmts>
  <x:fonts count="12">
    <x:font>
      <x:sz val="11"/>
      <x:name val="Carlito"/>
    </x:font>
    <x:font>
      <x:b/>
      <x:sz val="18"/>
      <x:color rgb="FF111827"/>
      <x:name val="Carlito"/>
    </x:font>
    <x:font>
      <x:sz val="10"/>
      <x:color rgb="FF4B5563"/>
      <x:name val="Carlito"/>
    </x:font>
    <x:font>
      <x:sz val="10"/>
      <x:color rgb="FF374151"/>
      <x:name val="Carlito"/>
    </x:font>
    <x:font>
      <x:b/>
      <x:sz val="10"/>
      <x:color rgb="FF111827"/>
      <x:name val="Carlito"/>
    </x:font>
    <x:font>
      <x:b/>
      <x:sz val="9"/>
      <x:color rgb="FF111827"/>
      <x:name val="Carlito"/>
    </x:font>
    <x:font>
      <x:sz val="9"/>
      <x:color rgb="FF111827"/>
      <x:name val="Carlito"/>
    </x:font>
    <x:font>
      <x:b/>
      <x:sz val="10"/>
      <x:name val="Carlito"/>
    </x:font>
    <x:font>
      <x:b/>
      <x:sz val="16"/>
      <x:color rgb="FF111827"/>
      <x:name val="Carlito"/>
    </x:font>
    <x:font>
      <x:b/>
      <x:sz val="11"/>
      <x:color rgb="FF991B1B"/>
      <x:name val="Carlito"/>
    </x:font>
    <x:font>
      <x:b/>
      <x:sz val="11"/>
      <x:color rgb="FF111827"/>
      <x:name val="Carlito"/>
    </x:font>
    <x:font>
      <x:b/>
      <x:sz val="11"/>
      <x:color rgb="FF92400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22"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right style="thin">
        <x:color rgb="FFF3F4F6"/>
      </x:right>
      <x:bottom style="thin">
        <x:color rgb="FFE5E7EB"/>
      </x:bottom>
    </x:border>
    <x:border>
      <x:left style="thin">
        <x:color rgb="FFF3F4F6"/>
      </x:left>
      <x:right style="thin">
        <x:color rgb="FFF3F4F6"/>
      </x:right>
      <x:bottom style="thin">
        <x:color rgb="FFE5E7EB"/>
      </x:bottom>
    </x:border>
    <x:border>
      <x:left style="thin">
        <x:color rgb="FFF3F4F6"/>
      </x:left>
      <x:bottom style="thin">
        <x:color rgb="FFE5E7EB"/>
      </x:bottom>
    </x:border>
    <x:border>
      <x:right style="thin">
        <x:color rgb="FFF3F4F6"/>
      </x:right>
      <x:top style="thin">
        <x:color rgb="FFE5E7EB"/>
      </x:top>
      <x:bottom style="thin">
        <x:color rgb="FFE5E7EB"/>
      </x:bottom>
    </x:border>
    <x:border>
      <x:left style="thin">
        <x:color rgb="FFF3F4F6"/>
      </x:left>
      <x:right style="thin">
        <x:color rgb="FFF3F4F6"/>
      </x:right>
      <x:top style="thin">
        <x:color rgb="FFE5E7EB"/>
      </x:top>
      <x:bottom style="thin">
        <x:color rgb="FFE5E7EB"/>
      </x:bottom>
    </x:border>
    <x:border>
      <x:left style="thin">
        <x:color rgb="FFF3F4F6"/>
      </x:left>
      <x:top style="thin">
        <x:color rgb="FFE5E7EB"/>
      </x:top>
      <x:bottom style="thin">
        <x:color rgb="FFE5E7EB"/>
      </x:bottom>
    </x:border>
    <x:border>
      <x:right style="thin">
        <x:color rgb="FFF3F4F6"/>
      </x:right>
      <x:top style="thin">
        <x:color rgb="FFE5E7EB"/>
      </x:top>
    </x:border>
    <x:border>
      <x:left style="thin">
        <x:color rgb="FFF3F4F6"/>
      </x:left>
      <x:right style="thin">
        <x:color rgb="FFF3F4F6"/>
      </x:right>
      <x:top style="thin">
        <x:color rgb="FFE5E7EB"/>
      </x:top>
    </x:border>
    <x:border>
      <x:left style="thin">
        <x:color rgb="FFF3F4F6"/>
      </x:left>
      <x:top style="thin">
        <x:color rgb="FFE5E7EB"/>
      </x:top>
    </x:border>
    <x:border>
      <x:right style="thin">
        <x:color rgb="FFD1D5DB"/>
      </x:right>
      <x:top style="thin">
        <x:color rgb="FFE5E7EB"/>
      </x:top>
      <x:bottom style="thin">
        <x:color rgb="FFE5E7EB"/>
      </x:bottom>
    </x:border>
    <x:border>
      <x:left style="thin">
        <x:color rgb="FFD1D5DB"/>
      </x:left>
      <x:right style="thin">
        <x:color rgb="FFD1D5DB"/>
      </x:right>
      <x:top style="thin">
        <x:color rgb="FFE5E7EB"/>
      </x:top>
      <x:bottom style="thin">
        <x:color rgb="FFE5E7EB"/>
      </x:bottom>
    </x:border>
    <x:border>
      <x:left style="thin">
        <x:color rgb="FFD1D5DB"/>
      </x:lef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0" fontId="5" fillId="4" borderId="7" xfId="0" applyNumberFormat="1" applyFont="1" applyFill="1" applyBorder="1"/>
    <x:xf numFmtId="200" fontId="5" fillId="4" borderId="7" xfId="0" applyNumberFormat="1" applyFont="1" applyFill="1" applyBorder="1"/>
    <x:xf numFmtId="0" fontId="5" fillId="4" borderId="7" xfId="0" applyNumberFormat="1" applyFont="1" applyFill="1" applyBorder="1" applyAlignment="1">
      <x:alignment horizontal="center"/>
    </x:xf>
    <x:xf numFmtId="200" fontId="5" fillId="4" borderId="7" xfId="0" applyNumberFormat="1" applyFont="1" applyFill="1" applyBorder="1" applyAlignment="1">
      <x:alignment horizontal="center"/>
    </x:xf>
    <x:xf numFmtId="0" fontId="5" fillId="4" borderId="7" xfId="0" applyNumberFormat="1" applyFont="1" applyFill="1" applyBorder="1" applyAlignment="1">
      <x:alignment horizontal="center" vertical="center"/>
    </x:xf>
    <x:xf numFmtId="200" fontId="5" fillId="4" borderId="7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6" fillId="0" borderId="8" xfId="0" applyNumberFormat="1" applyFont="1" applyFill="1" applyBorder="1"/>
    <x:xf numFmtId="201" fontId="6" fillId="0" borderId="8" xfId="0" applyNumberFormat="1" applyFont="1" applyFill="1" applyBorder="1"/>
    <x:xf numFmtId="0" fontId="6" fillId="0" borderId="5" xfId="0" applyNumberFormat="1" applyFont="1" applyFill="1" applyBorder="1"/>
    <x:xf numFmtId="201" fontId="6" fillId="0" borderId="5" xfId="0" applyNumberFormat="1" applyFont="1" applyFill="1" applyBorder="1"/>
    <x:xf numFmtId="0" fontId="6" fillId="0" borderId="9" xfId="0" applyNumberFormat="1" applyFont="1" applyFill="1" applyBorder="1"/>
    <x:xf numFmtId="201" fontId="6" fillId="0" borderId="9" xfId="0" applyNumberFormat="1" applyFont="1" applyFill="1" applyBorder="1"/>
    <x:xf numFmtId="0" fontId="6" fillId="0" borderId="8" xfId="0" applyNumberFormat="1" applyFont="1" applyFill="1" applyBorder="1" applyAlignment="1">
      <x:alignment vertical="center"/>
    </x:xf>
    <x:xf numFmtId="201" fontId="6" fillId="0" borderId="8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201" fontId="6" fillId="0" borderId="9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 wrapText="1"/>
    </x:xf>
    <x:xf numFmtId="201" fontId="6" fillId="0" borderId="8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201" fontId="6" fillId="0" borderId="5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201" fontId="6" fillId="0" borderId="9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horizontal="center" vertical="center"/>
    </x:xf>
    <x:xf numFmtId="0" fontId="6" fillId="0" borderId="5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 wrapText="1"/>
    </x:xf>
    <x:xf numFmtId="201" fontId="6" fillId="0" borderId="8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horizontal="center" vertical="center" wrapText="1"/>
    </x:xf>
    <x:xf numFmtId="201" fontId="6" fillId="0" borderId="5" xfId="0" applyNumberFormat="1" applyFont="1" applyFill="1" applyBorder="1" applyAlignment="1">
      <x:alignment horizontal="center" vertical="center" wrapText="1"/>
    </x:xf>
    <x:xf numFmtId="0" fontId="6" fillId="0" borderId="9" xfId="0" applyNumberFormat="1" applyFont="1" applyFill="1" applyBorder="1" applyAlignment="1">
      <x:alignment horizontal="center" vertical="center" wrapText="1"/>
    </x:xf>
    <x:xf numFmtId="201" fontId="6" fillId="0" borderId="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0" xfId="0" applyNumberFormat="1" applyFont="1" applyFill="1" applyBorder="1"/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13" xfId="0" applyNumberFormat="1" applyFont="1" applyFill="1" applyBorder="1"/>
    <x:xf numFmtId="0" fontId="7" fillId="0" borderId="14" xfId="0" applyNumberFormat="1" applyFont="1" applyFill="1" applyBorder="1"/>
    <x:xf numFmtId="0" fontId="7" fillId="0" borderId="15" xfId="0" applyNumberFormat="1" applyFont="1" applyFill="1" applyBorder="1"/>
    <x:xf numFmtId="0" fontId="7" fillId="0" borderId="16" xfId="0" applyNumberFormat="1" applyFont="1" applyFill="1" applyBorder="1"/>
    <x:xf numFmtId="0" fontId="7" fillId="0" borderId="17" xfId="0" applyNumberFormat="1" applyFont="1" applyFill="1" applyBorder="1"/>
    <x:xf numFmtId="0" fontId="7" fillId="0" borderId="18" xfId="0" applyNumberFormat="1" applyFont="1" applyFill="1" applyBorder="1"/>
    <x:xf numFmtId="0" fontId="7" fillId="0" borderId="10" xfId="0" applyNumberFormat="1" applyFont="1" applyFill="1" applyBorder="1" applyAlignment="1">
      <x:alignment horizontal="center"/>
    </x:xf>
    <x:xf numFmtId="0" fontId="7" fillId="0" borderId="11" xfId="0" applyNumberFormat="1" applyFont="1" applyFill="1" applyBorder="1" applyAlignment="1">
      <x:alignment horizontal="center"/>
    </x:xf>
    <x:xf numFmtId="0" fontId="7" fillId="0" borderId="12" xfId="0" applyNumberFormat="1" applyFont="1" applyFill="1" applyBorder="1" applyAlignment="1">
      <x:alignment horizontal="center"/>
    </x:xf>
    <x:xf numFmtId="0" fontId="7" fillId="0" borderId="13" xfId="0" applyNumberFormat="1" applyFont="1" applyFill="1" applyBorder="1" applyAlignment="1">
      <x:alignment horizontal="center"/>
    </x:xf>
    <x:xf numFmtId="0" fontId="7" fillId="0" borderId="14" xfId="0" applyNumberFormat="1" applyFont="1" applyFill="1" applyBorder="1" applyAlignment="1">
      <x:alignment horizontal="center"/>
    </x:xf>
    <x:xf numFmtId="0" fontId="7" fillId="0" borderId="15" xfId="0" applyNumberFormat="1" applyFont="1" applyFill="1" applyBorder="1" applyAlignment="1">
      <x:alignment horizontal="center"/>
    </x:xf>
    <x:xf numFmtId="0" fontId="7" fillId="0" borderId="16" xfId="0" applyNumberFormat="1" applyFont="1" applyFill="1" applyBorder="1" applyAlignment="1">
      <x:alignment horizontal="center"/>
    </x:xf>
    <x:xf numFmtId="0" fontId="7" fillId="0" borderId="17" xfId="0" applyNumberFormat="1" applyFont="1" applyFill="1" applyBorder="1" applyAlignment="1">
      <x:alignment horizontal="center"/>
    </x:xf>
    <x:xf numFmtId="0" fontId="7" fillId="0" borderId="18" xfId="0" applyNumberFormat="1" applyFont="1" applyFill="1" applyBorder="1" applyAlignment="1">
      <x:alignment horizontal="center"/>
    </x:xf>
    <x:xf numFmtId="0" fontId="7" fillId="0" borderId="10" xfId="0" applyNumberFormat="1" applyFont="1" applyFill="1" applyBorder="1" applyAlignment="1">
      <x:alignment horizontal="center" vertical="center"/>
    </x:xf>
    <x:xf numFmtId="0" fontId="7" fillId="0" borderId="11" xfId="0" applyNumberFormat="1" applyFont="1" applyFill="1" applyBorder="1" applyAlignment="1">
      <x:alignment horizontal="center" vertical="center"/>
    </x:xf>
    <x:xf numFmtId="0" fontId="7" fillId="0" borderId="12" xfId="0" applyNumberFormat="1" applyFont="1" applyFill="1" applyBorder="1" applyAlignment="1">
      <x:alignment horizontal="center" vertical="center"/>
    </x:xf>
    <x:xf numFmtId="0" fontId="7" fillId="0" borderId="13" xfId="0" applyNumberFormat="1" applyFont="1" applyFill="1" applyBorder="1" applyAlignment="1">
      <x:alignment horizontal="center" vertical="center"/>
    </x:xf>
    <x:xf numFmtId="0" fontId="7" fillId="0" borderId="14" xfId="0" applyNumberFormat="1" applyFont="1" applyFill="1" applyBorder="1" applyAlignment="1">
      <x:alignment horizontal="center" vertical="center"/>
    </x:xf>
    <x:xf numFmtId="0" fontId="7" fillId="0" borderId="15" xfId="0" applyNumberFormat="1" applyFont="1" applyFill="1" applyBorder="1" applyAlignment="1">
      <x:alignment horizontal="center" vertical="center"/>
    </x:xf>
    <x:xf numFmtId="0" fontId="7" fillId="0" borderId="16" xfId="0" applyNumberFormat="1" applyFont="1" applyFill="1" applyBorder="1" applyAlignment="1">
      <x:alignment horizontal="center" vertical="center"/>
    </x:xf>
    <x:xf numFmtId="0" fontId="7" fillId="0" borderId="17" xfId="0" applyNumberFormat="1" applyFont="1" applyFill="1" applyBorder="1" applyAlignment="1">
      <x:alignment horizontal="center" vertical="center"/>
    </x:xf>
    <x:xf numFmtId="0" fontId="7" fillId="0" borderId="18" xfId="0" applyNumberFormat="1" applyFont="1" applyFill="1" applyBorder="1" applyAlignment="1">
      <x:alignment horizontal="center" vertical="center"/>
    </x:xf>
    <x:xf numFmtId="200" fontId="5" fillId="2" borderId="7" xfId="0" applyNumberFormat="1" applyFont="1" applyFill="1" applyBorder="1" applyAlignment="1">
      <x:alignment horizontal="center" vertical="center"/>
    </x:xf>
    <x:xf numFmtId="0" fontId="7" fillId="2" borderId="11" xfId="0" applyNumberFormat="1" applyFont="1" applyFill="1" applyBorder="1" applyAlignment="1">
      <x:alignment horizontal="center" vertical="center"/>
    </x:xf>
    <x:xf numFmtId="0" fontId="7" fillId="2" borderId="14" xfId="0" applyNumberFormat="1" applyFont="1" applyFill="1" applyBorder="1" applyAlignment="1">
      <x:alignment horizontal="center" vertical="center"/>
    </x:xf>
    <x:xf numFmtId="0" fontId="7" fillId="2" borderId="17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7" xfId="0" applyNumberFormat="1" applyFont="1" applyFill="1" applyBorder="1"/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4" borderId="19" xfId="0" applyNumberFormat="1" applyFont="1" applyFill="1" applyBorder="1"/>
    <x:xf numFmtId="0" fontId="5" fillId="4" borderId="20" xfId="0" applyNumberFormat="1" applyFont="1" applyFill="1" applyBorder="1"/>
    <x:xf numFmtId="0" fontId="5" fillId="4" borderId="21" xfId="0" applyNumberFormat="1" applyFont="1" applyFill="1" applyBorder="1"/>
    <x:xf numFmtId="0" fontId="6" fillId="0" borderId="8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5" fillId="4" borderId="19" xfId="0" applyNumberFormat="1" applyFont="1" applyFill="1" applyBorder="1" applyAlignment="1">
      <x:alignment wrapText="1"/>
    </x:xf>
    <x:xf numFmtId="0" fontId="5" fillId="4" borderId="20" xfId="0" applyNumberFormat="1" applyFont="1" applyFill="1" applyBorder="1" applyAlignment="1">
      <x:alignment wrapText="1"/>
    </x:xf>
    <x:xf numFmtId="0" fontId="5" fillId="4" borderId="21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vertical="center" wrapText="1"/>
    </x:xf>
    <x:xf numFmtId="0" fontId="5" fillId="4" borderId="19" xfId="0" applyNumberFormat="1" applyFont="1" applyFill="1" applyBorder="1" applyAlignment="1">
      <x:alignment vertical="center" wrapText="1"/>
    </x:xf>
    <x:xf numFmtId="0" fontId="5" fillId="4" borderId="20" xfId="0" applyNumberFormat="1" applyFont="1" applyFill="1" applyBorder="1" applyAlignment="1">
      <x:alignment vertical="center" wrapText="1"/>
    </x:xf>
    <x:xf numFmtId="0" fontId="5" fillId="4" borderId="2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2563EB"/>
      </x:font>
      <x:fill>
        <x:patternFill patternType="solid">
          <x:bgColor rgb="FF2563EB"/>
        </x:patternFill>
      </x:fill>
    </x:dxf>
    <x:dxf>
      <x:font>
        <x:b/>
        <x:color rgb="FFF59E0B"/>
      </x:font>
      <x:fill>
        <x:patternFill patternType="solid">
          <x:bgColor rgb="FFFF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abe293d3b94cdf" /><Relationship Type="http://schemas.openxmlformats.org/officeDocument/2006/relationships/theme" Target="/xl/theme/theme1.xml" Id="R6716fc586e3f4f5d" /><Relationship Type="http://schemas.openxmlformats.org/officeDocument/2006/relationships/sharedStrings" Target="/xl/sharedStrings.xml" Id="R5eb9b1d69a324815" /><Relationship Type="http://schemas.openxmlformats.org/officeDocument/2006/relationships/worksheet" Target="/xl/worksheets/sheet1.xml" Id="R2f251cc9c0634c4d" /><Relationship Type="http://schemas.openxmlformats.org/officeDocument/2006/relationships/worksheet" Target="/xl/worksheets/sheet2.xml" Id="R5b211ca2897c4a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11.880000114440918" hidden="0" customWidth="1"/>
    <x:col min="3" max="3" width="8.75" hidden="0" customWidth="1"/>
    <x:col min="4" max="4" width="35" hidden="0" customWidth="1"/>
    <x:col min="5" max="5" width="11.25" hidden="0" customWidth="1"/>
    <x:col min="6" max="6" width="11" hidden="0" customWidth="1"/>
    <x:col min="7" max="7" width="11" hidden="0" customWidth="1"/>
    <x:col min="8" max="8" width="13.130000114440918" hidden="0" customWidth="1"/>
    <x:col min="9" max="9" width="40" hidden="0" customWidth="1"/>
    <x:col min="10" max="10" width="3.880000114440918" hidden="0" customWidth="1"/>
    <x:col min="11" max="11" width="3.880000114440918" hidden="0" customWidth="1"/>
    <x:col min="12" max="12" width="3.880000114440918" hidden="0" customWidth="1"/>
    <x:col min="13" max="13" width="3.880000114440918" hidden="0" customWidth="1"/>
    <x:col min="14" max="14" width="3.880000114440918" hidden="0" customWidth="1"/>
    <x:col min="15" max="15" width="3.880000114440918" hidden="0" customWidth="1"/>
    <x:col min="16" max="16" width="3.880000114440918" hidden="0" customWidth="1"/>
    <x:col min="17" max="17" width="3.880000114440918" hidden="0" customWidth="1"/>
    <x:col min="18" max="18" width="3.880000114440918" hidden="0" customWidth="1"/>
    <x:col min="19" max="19" width="3.880000114440918" hidden="0" customWidth="1"/>
    <x:col min="20" max="20" width="3.880000114440918" hidden="0" customWidth="1"/>
    <x:col min="21" max="21" width="3.880000114440918" hidden="0" customWidth="1"/>
    <x:col min="22" max="22" width="3.880000114440918" hidden="0" customWidth="1"/>
    <x:col min="23" max="23" width="3.880000114440918" hidden="0" customWidth="1"/>
    <x:col min="24" max="24" width="3.880000114440918" hidden="0" customWidth="1"/>
    <x:col min="25" max="25" width="3.880000114440918" hidden="0" customWidth="1"/>
    <x:col min="26" max="26" width="3.880000114440918" hidden="0" customWidth="1"/>
    <x:col min="27" max="27" width="3.880000114440918" hidden="0" customWidth="1"/>
    <x:col min="28" max="28" width="3.880000114440918" hidden="0" customWidth="1"/>
    <x:col min="29" max="29" width="3.880000114440918" hidden="0" customWidth="1"/>
    <x:col min="30" max="30" width="3.880000114440918" hidden="0" customWidth="1"/>
    <x:col min="31" max="31" width="3.880000114440918" hidden="0" customWidth="1"/>
    <x:col min="32" max="32" width="3.880000114440918" hidden="0" customWidth="1"/>
    <x:col min="33" max="33" width="3.880000114440918" hidden="0" customWidth="1"/>
    <x:col min="34" max="34" width="3.880000114440918" hidden="0" customWidth="1"/>
    <x:col min="35" max="35" width="3.880000114440918" hidden="0" customWidth="1"/>
    <x:col min="36" max="36" width="3.880000114440918" hidden="0" customWidth="1"/>
    <x:col min="37" max="37" width="3.880000114440918" hidden="0" customWidth="1"/>
    <x:col min="38" max="38" width="3.880000114440918" hidden="0" customWidth="1"/>
    <x:col min="39" max="39" width="3.880000114440918" hidden="0" customWidth="1"/>
    <x:col min="40" max="40" width="3.880000114440918" hidden="0" customWidth="1"/>
    <x:col min="41" max="41" width="3.880000114440918" hidden="0" customWidth="1"/>
  </x:cols>
  <x:sheetData>
    <x:row r="1" ht="25.5" customHeight="1">
      <x:c r="A1" s="4" t="str">
        <x:v>新版會員中心上線甘特圖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</x:row>
    <x:row r="2" ht="16.5" customHeight="1">
      <x:c r="A2" s="6" t="str">
        <x:v>來源：2026/07/28「新版會員中心上線準備」會議｜排程原則：不推測未提供的開始日期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</x:row>
    <x:row r="3" ht="21" customHeight="1">
      <x:c r="A3" s="16" t="str">
        <x:v>專案期間</x:v>
      </x:c>
      <x:c r="B3" s="13" t="str">
        <x:v>2026/07/28～2026/08/28</x:v>
      </x:c>
      <x:c r="C3" s="13"/>
      <x:c r="D3" s="13" t="str">
        <x:v>來源會議</x:v>
      </x:c>
      <x:c r="E3" s="13" t="str">
        <x:v>新版會員中心上線準備</x:v>
      </x:c>
      <x:c r="F3" s="13"/>
      <x:c r="G3" s="13"/>
      <x:c r="H3" s="13"/>
      <x:c r="I3" s="13"/>
      <x:c r="J3" s="13" t="str">
        <x:v>上線狀態</x:v>
      </x:c>
      <x:c r="K3" s="13" t="str">
        <x:v>正式上線暫定 2026/08/28；付款紀錄匯入為目前最大風險</x:v>
      </x:c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  <x:c r="AH3" s="13"/>
      <x:c r="AI3" s="13"/>
      <x:c r="AJ3" s="13"/>
      <x:c r="AK3" s="13"/>
      <x:c r="AL3" s="13"/>
      <x:c r="AM3" s="13"/>
      <x:c r="AN3" s="13"/>
      <x:c r="AO3" s="14"/>
    </x:row>
    <x:row r="5" ht="18" customHeight="1">
      <x:c r="A5" s="22" t="str">
        <x:v>圖例：■ 明確期間　◆ 單日期限／里程碑　淺灰底為週末　｜　日期待確認的任務保留資料列但不顯示標記</x:v>
      </x:c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  <x:c r="AA5" s="23"/>
      <x:c r="AB5" s="23"/>
      <x:c r="AC5" s="23"/>
      <x:c r="AD5" s="23"/>
      <x:c r="AE5" s="23"/>
      <x:c r="AF5" s="23"/>
      <x:c r="AG5" s="23"/>
      <x:c r="AH5" s="23"/>
      <x:c r="AI5" s="23"/>
      <x:c r="AJ5" s="23"/>
      <x:c r="AK5" s="23"/>
      <x:c r="AL5" s="23"/>
      <x:c r="AM5" s="23"/>
      <x:c r="AN5" s="23"/>
      <x:c r="AO5" s="24"/>
    </x:row>
    <x:row r="8" ht="22.5" customHeight="1">
      <x:c r="A8" s="34" t="str">
        <x:v>ID</x:v>
      </x:c>
      <x:c r="B8" s="34" t="str">
        <x:v>工作流</x:v>
      </x:c>
      <x:c r="C8" s="34" t="str">
        <x:v>類型</x:v>
      </x:c>
      <x:c r="D8" s="34" t="str">
        <x:v>項目</x:v>
      </x:c>
      <x:c r="E8" s="34" t="str">
        <x:v>負責人</x:v>
      </x:c>
      <x:c r="F8" s="34" t="str">
        <x:v>開始日</x:v>
      </x:c>
      <x:c r="G8" s="34" t="str">
        <x:v>期限／結束日</x:v>
      </x:c>
      <x:c r="H8" s="34" t="str">
        <x:v>狀態</x:v>
      </x:c>
      <x:c r="I8" s="34" t="str">
        <x:v>相依條件／備註</x:v>
      </x:c>
      <x:c r="J8" s="35" t="n">
        <x:v>46231</x:v>
      </x:c>
      <x:c r="K8" s="35" t="n">
        <x:v>46232</x:v>
      </x:c>
      <x:c r="L8" s="35" t="n">
        <x:v>46233</x:v>
      </x:c>
      <x:c r="M8" s="35" t="n">
        <x:v>46234</x:v>
      </x:c>
      <x:c r="N8" s="94" t="n">
        <x:v>46235</x:v>
      </x:c>
      <x:c r="O8" s="94" t="n">
        <x:v>46236</x:v>
      </x:c>
      <x:c r="P8" s="35" t="n">
        <x:v>46237</x:v>
      </x:c>
      <x:c r="Q8" s="35" t="n">
        <x:v>46238</x:v>
      </x:c>
      <x:c r="R8" s="35" t="n">
        <x:v>46239</x:v>
      </x:c>
      <x:c r="S8" s="35" t="n">
        <x:v>46240</x:v>
      </x:c>
      <x:c r="T8" s="35" t="n">
        <x:v>46241</x:v>
      </x:c>
      <x:c r="U8" s="94" t="n">
        <x:v>46242</x:v>
      </x:c>
      <x:c r="V8" s="94" t="n">
        <x:v>46243</x:v>
      </x:c>
      <x:c r="W8" s="35" t="n">
        <x:v>46244</x:v>
      </x:c>
      <x:c r="X8" s="35" t="n">
        <x:v>46245</x:v>
      </x:c>
      <x:c r="Y8" s="35" t="n">
        <x:v>46246</x:v>
      </x:c>
      <x:c r="Z8" s="35" t="n">
        <x:v>46247</x:v>
      </x:c>
      <x:c r="AA8" s="35" t="n">
        <x:v>46248</x:v>
      </x:c>
      <x:c r="AB8" s="94" t="n">
        <x:v>46249</x:v>
      </x:c>
      <x:c r="AC8" s="94" t="n">
        <x:v>46250</x:v>
      </x:c>
      <x:c r="AD8" s="35" t="n">
        <x:v>46251</x:v>
      </x:c>
      <x:c r="AE8" s="35" t="n">
        <x:v>46252</x:v>
      </x:c>
      <x:c r="AF8" s="35" t="n">
        <x:v>46253</x:v>
      </x:c>
      <x:c r="AG8" s="35" t="n">
        <x:v>46254</x:v>
      </x:c>
      <x:c r="AH8" s="35" t="n">
        <x:v>46255</x:v>
      </x:c>
      <x:c r="AI8" s="94" t="n">
        <x:v>46256</x:v>
      </x:c>
      <x:c r="AJ8" s="94" t="n">
        <x:v>46257</x:v>
      </x:c>
      <x:c r="AK8" s="35" t="n">
        <x:v>46258</x:v>
      </x:c>
      <x:c r="AL8" s="35" t="n">
        <x:v>46259</x:v>
      </x:c>
      <x:c r="AM8" s="35" t="n">
        <x:v>46260</x:v>
      </x:c>
      <x:c r="AN8" s="35" t="n">
        <x:v>46261</x:v>
      </x:c>
      <x:c r="AO8" s="35" t="n">
        <x:v>46262</x:v>
      </x:c>
    </x:row>
    <x:row r="9" ht="28.5" customHeight="1">
      <x:c r="A9" s="57" t="str">
        <x:v>A01</x:v>
      </x:c>
      <x:c r="B9" s="57" t="str">
        <x:v>資料</x:v>
      </x:c>
      <x:c r="C9" s="57" t="str">
        <x:v>任務</x:v>
      </x:c>
      <x:c r="D9" s="51" t="str">
        <x:v>整理付款紀錄缺失資料清單並交給 Kevin</x:v>
      </x:c>
      <x:c r="E9" s="60" t="str">
        <x:v>志豪</x:v>
      </x:c>
      <x:c r="F9" s="61"/>
      <x:c r="G9" s="61" t="n">
        <x:v>46234</x:v>
      </x:c>
      <x:c r="H9" s="60" t="str">
        <x:v>原始資料未提及</x:v>
      </x:c>
      <x:c r="I9" s="51" t="str">
        <x:v>涉及約 3% 缺少訂單編號的資料。</x:v>
      </x:c>
      <x:c r="J9" s="85" t="str">
        <x:f>IF($G9="","",IF(OR(J$8&lt;IF($F9="",$G9,$F9),J$8&gt;$G9),"",IF(AND($F9&lt;&gt;"",$F9&lt;$G9),"■","◆")))</x:f>
      </x:c>
      <x:c r="K9" s="86" t="str">
        <x:f>IF($G9="","",IF(OR(K$8&lt;IF($F9="",$G9,$F9),K$8&gt;$G9),"",IF(AND($F9&lt;&gt;"",$F9&lt;$G9),"■","◆")))</x:f>
      </x:c>
      <x:c r="L9" s="86" t="str">
        <x:f>IF($G9="","",IF(OR(L$8&lt;IF($F9="",$G9,$F9),L$8&gt;$G9),"",IF(AND($F9&lt;&gt;"",$F9&lt;$G9),"■","◆")))</x:f>
      </x:c>
      <x:c r="M9" s="86" t="str">
        <x:f>IF($G9="","",IF(OR(M$8&lt;IF($F9="",$G9,$F9),M$8&gt;$G9),"",IF(AND($F9&lt;&gt;"",$F9&lt;$G9),"■","◆")))</x:f>
        <x:v>◆</x:v>
      </x:c>
      <x:c r="N9" s="95" t="str">
        <x:f>IF($G9="","",IF(OR(N$8&lt;IF($F9="",$G9,$F9),N$8&gt;$G9),"",IF(AND($F9&lt;&gt;"",$F9&lt;$G9),"■","◆")))</x:f>
      </x:c>
      <x:c r="O9" s="95" t="str">
        <x:f>IF($G9="","",IF(OR(O$8&lt;IF($F9="",$G9,$F9),O$8&gt;$G9),"",IF(AND($F9&lt;&gt;"",$F9&lt;$G9),"■","◆")))</x:f>
      </x:c>
      <x:c r="P9" s="86" t="str">
        <x:f>IF($G9="","",IF(OR(P$8&lt;IF($F9="",$G9,$F9),P$8&gt;$G9),"",IF(AND($F9&lt;&gt;"",$F9&lt;$G9),"■","◆")))</x:f>
      </x:c>
      <x:c r="Q9" s="86" t="str">
        <x:f>IF($G9="","",IF(OR(Q$8&lt;IF($F9="",$G9,$F9),Q$8&gt;$G9),"",IF(AND($F9&lt;&gt;"",$F9&lt;$G9),"■","◆")))</x:f>
      </x:c>
      <x:c r="R9" s="86" t="str">
        <x:f>IF($G9="","",IF(OR(R$8&lt;IF($F9="",$G9,$F9),R$8&gt;$G9),"",IF(AND($F9&lt;&gt;"",$F9&lt;$G9),"■","◆")))</x:f>
      </x:c>
      <x:c r="S9" s="86" t="str">
        <x:f>IF($G9="","",IF(OR(S$8&lt;IF($F9="",$G9,$F9),S$8&gt;$G9),"",IF(AND($F9&lt;&gt;"",$F9&lt;$G9),"■","◆")))</x:f>
      </x:c>
      <x:c r="T9" s="86" t="str">
        <x:f>IF($G9="","",IF(OR(T$8&lt;IF($F9="",$G9,$F9),T$8&gt;$G9),"",IF(AND($F9&lt;&gt;"",$F9&lt;$G9),"■","◆")))</x:f>
      </x:c>
      <x:c r="U9" s="95" t="str">
        <x:f>IF($G9="","",IF(OR(U$8&lt;IF($F9="",$G9,$F9),U$8&gt;$G9),"",IF(AND($F9&lt;&gt;"",$F9&lt;$G9),"■","◆")))</x:f>
      </x:c>
      <x:c r="V9" s="95" t="str">
        <x:f>IF($G9="","",IF(OR(V$8&lt;IF($F9="",$G9,$F9),V$8&gt;$G9),"",IF(AND($F9&lt;&gt;"",$F9&lt;$G9),"■","◆")))</x:f>
      </x:c>
      <x:c r="W9" s="86" t="str">
        <x:f>IF($G9="","",IF(OR(W$8&lt;IF($F9="",$G9,$F9),W$8&gt;$G9),"",IF(AND($F9&lt;&gt;"",$F9&lt;$G9),"■","◆")))</x:f>
      </x:c>
      <x:c r="X9" s="86" t="str">
        <x:f>IF($G9="","",IF(OR(X$8&lt;IF($F9="",$G9,$F9),X$8&gt;$G9),"",IF(AND($F9&lt;&gt;"",$F9&lt;$G9),"■","◆")))</x:f>
      </x:c>
      <x:c r="Y9" s="86" t="str">
        <x:f>IF($G9="","",IF(OR(Y$8&lt;IF($F9="",$G9,$F9),Y$8&gt;$G9),"",IF(AND($F9&lt;&gt;"",$F9&lt;$G9),"■","◆")))</x:f>
      </x:c>
      <x:c r="Z9" s="86" t="str">
        <x:f>IF($G9="","",IF(OR(Z$8&lt;IF($F9="",$G9,$F9),Z$8&gt;$G9),"",IF(AND($F9&lt;&gt;"",$F9&lt;$G9),"■","◆")))</x:f>
      </x:c>
      <x:c r="AA9" s="86" t="str">
        <x:f>IF($G9="","",IF(OR(AA$8&lt;IF($F9="",$G9,$F9),AA$8&gt;$G9),"",IF(AND($F9&lt;&gt;"",$F9&lt;$G9),"■","◆")))</x:f>
      </x:c>
      <x:c r="AB9" s="95" t="str">
        <x:f>IF($G9="","",IF(OR(AB$8&lt;IF($F9="",$G9,$F9),AB$8&gt;$G9),"",IF(AND($F9&lt;&gt;"",$F9&lt;$G9),"■","◆")))</x:f>
      </x:c>
      <x:c r="AC9" s="95" t="str">
        <x:f>IF($G9="","",IF(OR(AC$8&lt;IF($F9="",$G9,$F9),AC$8&gt;$G9),"",IF(AND($F9&lt;&gt;"",$F9&lt;$G9),"■","◆")))</x:f>
      </x:c>
      <x:c r="AD9" s="86" t="str">
        <x:f>IF($G9="","",IF(OR(AD$8&lt;IF($F9="",$G9,$F9),AD$8&gt;$G9),"",IF(AND($F9&lt;&gt;"",$F9&lt;$G9),"■","◆")))</x:f>
      </x:c>
      <x:c r="AE9" s="86" t="str">
        <x:f>IF($G9="","",IF(OR(AE$8&lt;IF($F9="",$G9,$F9),AE$8&gt;$G9),"",IF(AND($F9&lt;&gt;"",$F9&lt;$G9),"■","◆")))</x:f>
      </x:c>
      <x:c r="AF9" s="86" t="str">
        <x:f>IF($G9="","",IF(OR(AF$8&lt;IF($F9="",$G9,$F9),AF$8&gt;$G9),"",IF(AND($F9&lt;&gt;"",$F9&lt;$G9),"■","◆")))</x:f>
      </x:c>
      <x:c r="AG9" s="86" t="str">
        <x:f>IF($G9="","",IF(OR(AG$8&lt;IF($F9="",$G9,$F9),AG$8&gt;$G9),"",IF(AND($F9&lt;&gt;"",$F9&lt;$G9),"■","◆")))</x:f>
      </x:c>
      <x:c r="AH9" s="86" t="str">
        <x:f>IF($G9="","",IF(OR(AH$8&lt;IF($F9="",$G9,$F9),AH$8&gt;$G9),"",IF(AND($F9&lt;&gt;"",$F9&lt;$G9),"■","◆")))</x:f>
      </x:c>
      <x:c r="AI9" s="95" t="str">
        <x:f>IF($G9="","",IF(OR(AI$8&lt;IF($F9="",$G9,$F9),AI$8&gt;$G9),"",IF(AND($F9&lt;&gt;"",$F9&lt;$G9),"■","◆")))</x:f>
      </x:c>
      <x:c r="AJ9" s="95" t="str">
        <x:f>IF($G9="","",IF(OR(AJ$8&lt;IF($F9="",$G9,$F9),AJ$8&gt;$G9),"",IF(AND($F9&lt;&gt;"",$F9&lt;$G9),"■","◆")))</x:f>
      </x:c>
      <x:c r="AK9" s="86" t="str">
        <x:f>IF($G9="","",IF(OR(AK$8&lt;IF($F9="",$G9,$F9),AK$8&gt;$G9),"",IF(AND($F9&lt;&gt;"",$F9&lt;$G9),"■","◆")))</x:f>
      </x:c>
      <x:c r="AL9" s="86" t="str">
        <x:f>IF($G9="","",IF(OR(AL$8&lt;IF($F9="",$G9,$F9),AL$8&gt;$G9),"",IF(AND($F9&lt;&gt;"",$F9&lt;$G9),"■","◆")))</x:f>
      </x:c>
      <x:c r="AM9" s="86" t="str">
        <x:f>IF($G9="","",IF(OR(AM$8&lt;IF($F9="",$G9,$F9),AM$8&gt;$G9),"",IF(AND($F9&lt;&gt;"",$F9&lt;$G9),"■","◆")))</x:f>
      </x:c>
      <x:c r="AN9" s="86" t="str">
        <x:f>IF($G9="","",IF(OR(AN$8&lt;IF($F9="",$G9,$F9),AN$8&gt;$G9),"",IF(AND($F9&lt;&gt;"",$F9&lt;$G9),"■","◆")))</x:f>
      </x:c>
      <x:c r="AO9" s="87" t="str">
        <x:f>IF($G9="","",IF(OR(AO$8&lt;IF($F9="",$G9,$F9),AO$8&gt;$G9),"",IF(AND($F9&lt;&gt;"",$F9&lt;$G9),"■","◆")))</x:f>
      </x:c>
    </x:row>
    <x:row r="10" ht="28.5" customHeight="1">
      <x:c r="A10" s="58" t="str">
        <x:v>A02</x:v>
      </x:c>
      <x:c r="B10" s="58" t="str">
        <x:v>資料</x:v>
      </x:c>
      <x:c r="C10" s="58" t="str">
        <x:v>任務</x:v>
      </x:c>
      <x:c r="D10" s="53" t="str">
        <x:v>回覆付款紀錄修復方式及影響筆數</x:v>
      </x:c>
      <x:c r="E10" s="62" t="str">
        <x:v>Kevin</x:v>
      </x:c>
      <x:c r="F10" s="63"/>
      <x:c r="G10" s="63" t="n">
        <x:v>46239</x:v>
      </x:c>
      <x:c r="H10" s="62" t="str">
        <x:v>原始資料未提及</x:v>
      </x:c>
      <x:c r="I10" s="53" t="str">
        <x:v>依缺失資料清單評估。</x:v>
      </x:c>
      <x:c r="J10" s="88" t="str">
        <x:f>IF($G10="","",IF(OR(J$8&lt;IF($F10="",$G10,$F10),J$8&gt;$G10),"",IF(AND($F10&lt;&gt;"",$F10&lt;$G10),"■","◆")))</x:f>
      </x:c>
      <x:c r="K10" s="89" t="str">
        <x:f>IF($G10="","",IF(OR(K$8&lt;IF($F10="",$G10,$F10),K$8&gt;$G10),"",IF(AND($F10&lt;&gt;"",$F10&lt;$G10),"■","◆")))</x:f>
      </x:c>
      <x:c r="L10" s="89" t="str">
        <x:f>IF($G10="","",IF(OR(L$8&lt;IF($F10="",$G10,$F10),L$8&gt;$G10),"",IF(AND($F10&lt;&gt;"",$F10&lt;$G10),"■","◆")))</x:f>
      </x:c>
      <x:c r="M10" s="89" t="str">
        <x:f>IF($G10="","",IF(OR(M$8&lt;IF($F10="",$G10,$F10),M$8&gt;$G10),"",IF(AND($F10&lt;&gt;"",$F10&lt;$G10),"■","◆")))</x:f>
      </x:c>
      <x:c r="N10" s="96" t="str">
        <x:f>IF($G10="","",IF(OR(N$8&lt;IF($F10="",$G10,$F10),N$8&gt;$G10),"",IF(AND($F10&lt;&gt;"",$F10&lt;$G10),"■","◆")))</x:f>
      </x:c>
      <x:c r="O10" s="96" t="str">
        <x:f>IF($G10="","",IF(OR(O$8&lt;IF($F10="",$G10,$F10),O$8&gt;$G10),"",IF(AND($F10&lt;&gt;"",$F10&lt;$G10),"■","◆")))</x:f>
      </x:c>
      <x:c r="P10" s="89" t="str">
        <x:f>IF($G10="","",IF(OR(P$8&lt;IF($F10="",$G10,$F10),P$8&gt;$G10),"",IF(AND($F10&lt;&gt;"",$F10&lt;$G10),"■","◆")))</x:f>
      </x:c>
      <x:c r="Q10" s="89" t="str">
        <x:f>IF($G10="","",IF(OR(Q$8&lt;IF($F10="",$G10,$F10),Q$8&gt;$G10),"",IF(AND($F10&lt;&gt;"",$F10&lt;$G10),"■","◆")))</x:f>
      </x:c>
      <x:c r="R10" s="89" t="str">
        <x:f>IF($G10="","",IF(OR(R$8&lt;IF($F10="",$G10,$F10),R$8&gt;$G10),"",IF(AND($F10&lt;&gt;"",$F10&lt;$G10),"■","◆")))</x:f>
        <x:v>◆</x:v>
      </x:c>
      <x:c r="S10" s="89" t="str">
        <x:f>IF($G10="","",IF(OR(S$8&lt;IF($F10="",$G10,$F10),S$8&gt;$G10),"",IF(AND($F10&lt;&gt;"",$F10&lt;$G10),"■","◆")))</x:f>
      </x:c>
      <x:c r="T10" s="89" t="str">
        <x:f>IF($G10="","",IF(OR(T$8&lt;IF($F10="",$G10,$F10),T$8&gt;$G10),"",IF(AND($F10&lt;&gt;"",$F10&lt;$G10),"■","◆")))</x:f>
      </x:c>
      <x:c r="U10" s="96" t="str">
        <x:f>IF($G10="","",IF(OR(U$8&lt;IF($F10="",$G10,$F10),U$8&gt;$G10),"",IF(AND($F10&lt;&gt;"",$F10&lt;$G10),"■","◆")))</x:f>
      </x:c>
      <x:c r="V10" s="96" t="str">
        <x:f>IF($G10="","",IF(OR(V$8&lt;IF($F10="",$G10,$F10),V$8&gt;$G10),"",IF(AND($F10&lt;&gt;"",$F10&lt;$G10),"■","◆")))</x:f>
      </x:c>
      <x:c r="W10" s="89" t="str">
        <x:f>IF($G10="","",IF(OR(W$8&lt;IF($F10="",$G10,$F10),W$8&gt;$G10),"",IF(AND($F10&lt;&gt;"",$F10&lt;$G10),"■","◆")))</x:f>
      </x:c>
      <x:c r="X10" s="89" t="str">
        <x:f>IF($G10="","",IF(OR(X$8&lt;IF($F10="",$G10,$F10),X$8&gt;$G10),"",IF(AND($F10&lt;&gt;"",$F10&lt;$G10),"■","◆")))</x:f>
      </x:c>
      <x:c r="Y10" s="89" t="str">
        <x:f>IF($G10="","",IF(OR(Y$8&lt;IF($F10="",$G10,$F10),Y$8&gt;$G10),"",IF(AND($F10&lt;&gt;"",$F10&lt;$G10),"■","◆")))</x:f>
      </x:c>
      <x:c r="Z10" s="89" t="str">
        <x:f>IF($G10="","",IF(OR(Z$8&lt;IF($F10="",$G10,$F10),Z$8&gt;$G10),"",IF(AND($F10&lt;&gt;"",$F10&lt;$G10),"■","◆")))</x:f>
      </x:c>
      <x:c r="AA10" s="89" t="str">
        <x:f>IF($G10="","",IF(OR(AA$8&lt;IF($F10="",$G10,$F10),AA$8&gt;$G10),"",IF(AND($F10&lt;&gt;"",$F10&lt;$G10),"■","◆")))</x:f>
      </x:c>
      <x:c r="AB10" s="96" t="str">
        <x:f>IF($G10="","",IF(OR(AB$8&lt;IF($F10="",$G10,$F10),AB$8&gt;$G10),"",IF(AND($F10&lt;&gt;"",$F10&lt;$G10),"■","◆")))</x:f>
      </x:c>
      <x:c r="AC10" s="96" t="str">
        <x:f>IF($G10="","",IF(OR(AC$8&lt;IF($F10="",$G10,$F10),AC$8&gt;$G10),"",IF(AND($F10&lt;&gt;"",$F10&lt;$G10),"■","◆")))</x:f>
      </x:c>
      <x:c r="AD10" s="89" t="str">
        <x:f>IF($G10="","",IF(OR(AD$8&lt;IF($F10="",$G10,$F10),AD$8&gt;$G10),"",IF(AND($F10&lt;&gt;"",$F10&lt;$G10),"■","◆")))</x:f>
      </x:c>
      <x:c r="AE10" s="89" t="str">
        <x:f>IF($G10="","",IF(OR(AE$8&lt;IF($F10="",$G10,$F10),AE$8&gt;$G10),"",IF(AND($F10&lt;&gt;"",$F10&lt;$G10),"■","◆")))</x:f>
      </x:c>
      <x:c r="AF10" s="89" t="str">
        <x:f>IF($G10="","",IF(OR(AF$8&lt;IF($F10="",$G10,$F10),AF$8&gt;$G10),"",IF(AND($F10&lt;&gt;"",$F10&lt;$G10),"■","◆")))</x:f>
      </x:c>
      <x:c r="AG10" s="89" t="str">
        <x:f>IF($G10="","",IF(OR(AG$8&lt;IF($F10="",$G10,$F10),AG$8&gt;$G10),"",IF(AND($F10&lt;&gt;"",$F10&lt;$G10),"■","◆")))</x:f>
      </x:c>
      <x:c r="AH10" s="89" t="str">
        <x:f>IF($G10="","",IF(OR(AH$8&lt;IF($F10="",$G10,$F10),AH$8&gt;$G10),"",IF(AND($F10&lt;&gt;"",$F10&lt;$G10),"■","◆")))</x:f>
      </x:c>
      <x:c r="AI10" s="96" t="str">
        <x:f>IF($G10="","",IF(OR(AI$8&lt;IF($F10="",$G10,$F10),AI$8&gt;$G10),"",IF(AND($F10&lt;&gt;"",$F10&lt;$G10),"■","◆")))</x:f>
      </x:c>
      <x:c r="AJ10" s="96" t="str">
        <x:f>IF($G10="","",IF(OR(AJ$8&lt;IF($F10="",$G10,$F10),AJ$8&gt;$G10),"",IF(AND($F10&lt;&gt;"",$F10&lt;$G10),"■","◆")))</x:f>
      </x:c>
      <x:c r="AK10" s="89" t="str">
        <x:f>IF($G10="","",IF(OR(AK$8&lt;IF($F10="",$G10,$F10),AK$8&gt;$G10),"",IF(AND($F10&lt;&gt;"",$F10&lt;$G10),"■","◆")))</x:f>
      </x:c>
      <x:c r="AL10" s="89" t="str">
        <x:f>IF($G10="","",IF(OR(AL$8&lt;IF($F10="",$G10,$F10),AL$8&gt;$G10),"",IF(AND($F10&lt;&gt;"",$F10&lt;$G10),"■","◆")))</x:f>
      </x:c>
      <x:c r="AM10" s="89" t="str">
        <x:f>IF($G10="","",IF(OR(AM$8&lt;IF($F10="",$G10,$F10),AM$8&gt;$G10),"",IF(AND($F10&lt;&gt;"",$F10&lt;$G10),"■","◆")))</x:f>
      </x:c>
      <x:c r="AN10" s="89" t="str">
        <x:f>IF($G10="","",IF(OR(AN$8&lt;IF($F10="",$G10,$F10),AN$8&gt;$G10),"",IF(AND($F10&lt;&gt;"",$F10&lt;$G10),"■","◆")))</x:f>
      </x:c>
      <x:c r="AO10" s="90" t="str">
        <x:f>IF($G10="","",IF(OR(AO$8&lt;IF($F10="",$G10,$F10),AO$8&gt;$G10),"",IF(AND($F10&lt;&gt;"",$F10&lt;$G10),"■","◆")))</x:f>
      </x:c>
    </x:row>
    <x:row r="11" ht="28.5" customHeight="1">
      <x:c r="A11" s="58" t="str">
        <x:v>A03</x:v>
      </x:c>
      <x:c r="B11" s="58" t="str">
        <x:v>設計</x:v>
      </x:c>
      <x:c r="C11" s="58" t="str">
        <x:v>任務</x:v>
      </x:c>
      <x:c r="D11" s="53" t="str">
        <x:v>更新刪除帳號入口設計稿</x:v>
      </x:c>
      <x:c r="E11" s="62" t="str">
        <x:v>Emily</x:v>
      </x:c>
      <x:c r="F11" s="63"/>
      <x:c r="G11" s="63" t="n">
        <x:v>46233</x:v>
      </x:c>
      <x:c r="H11" s="62" t="str">
        <x:v>原始資料未提及</x:v>
      </x:c>
      <x:c r="I11" s="53" t="str">
        <x:v>移至「帳號與安全性」、使用紅色文字、不放首頁；提示文字待法務確認。</x:v>
      </x:c>
      <x:c r="J11" s="88" t="str">
        <x:f>IF($G11="","",IF(OR(J$8&lt;IF($F11="",$G11,$F11),J$8&gt;$G11),"",IF(AND($F11&lt;&gt;"",$F11&lt;$G11),"■","◆")))</x:f>
      </x:c>
      <x:c r="K11" s="89" t="str">
        <x:f>IF($G11="","",IF(OR(K$8&lt;IF($F11="",$G11,$F11),K$8&gt;$G11),"",IF(AND($F11&lt;&gt;"",$F11&lt;$G11),"■","◆")))</x:f>
      </x:c>
      <x:c r="L11" s="89" t="str">
        <x:f>IF($G11="","",IF(OR(L$8&lt;IF($F11="",$G11,$F11),L$8&gt;$G11),"",IF(AND($F11&lt;&gt;"",$F11&lt;$G11),"■","◆")))</x:f>
        <x:v>◆</x:v>
      </x:c>
      <x:c r="M11" s="89" t="str">
        <x:f>IF($G11="","",IF(OR(M$8&lt;IF($F11="",$G11,$F11),M$8&gt;$G11),"",IF(AND($F11&lt;&gt;"",$F11&lt;$G11),"■","◆")))</x:f>
      </x:c>
      <x:c r="N11" s="96" t="str">
        <x:f>IF($G11="","",IF(OR(N$8&lt;IF($F11="",$G11,$F11),N$8&gt;$G11),"",IF(AND($F11&lt;&gt;"",$F11&lt;$G11),"■","◆")))</x:f>
      </x:c>
      <x:c r="O11" s="96" t="str">
        <x:f>IF($G11="","",IF(OR(O$8&lt;IF($F11="",$G11,$F11),O$8&gt;$G11),"",IF(AND($F11&lt;&gt;"",$F11&lt;$G11),"■","◆")))</x:f>
      </x:c>
      <x:c r="P11" s="89" t="str">
        <x:f>IF($G11="","",IF(OR(P$8&lt;IF($F11="",$G11,$F11),P$8&gt;$G11),"",IF(AND($F11&lt;&gt;"",$F11&lt;$G11),"■","◆")))</x:f>
      </x:c>
      <x:c r="Q11" s="89" t="str">
        <x:f>IF($G11="","",IF(OR(Q$8&lt;IF($F11="",$G11,$F11),Q$8&gt;$G11),"",IF(AND($F11&lt;&gt;"",$F11&lt;$G11),"■","◆")))</x:f>
      </x:c>
      <x:c r="R11" s="89" t="str">
        <x:f>IF($G11="","",IF(OR(R$8&lt;IF($F11="",$G11,$F11),R$8&gt;$G11),"",IF(AND($F11&lt;&gt;"",$F11&lt;$G11),"■","◆")))</x:f>
      </x:c>
      <x:c r="S11" s="89" t="str">
        <x:f>IF($G11="","",IF(OR(S$8&lt;IF($F11="",$G11,$F11),S$8&gt;$G11),"",IF(AND($F11&lt;&gt;"",$F11&lt;$G11),"■","◆")))</x:f>
      </x:c>
      <x:c r="T11" s="89" t="str">
        <x:f>IF($G11="","",IF(OR(T$8&lt;IF($F11="",$G11,$F11),T$8&gt;$G11),"",IF(AND($F11&lt;&gt;"",$F11&lt;$G11),"■","◆")))</x:f>
      </x:c>
      <x:c r="U11" s="96" t="str">
        <x:f>IF($G11="","",IF(OR(U$8&lt;IF($F11="",$G11,$F11),U$8&gt;$G11),"",IF(AND($F11&lt;&gt;"",$F11&lt;$G11),"■","◆")))</x:f>
      </x:c>
      <x:c r="V11" s="96" t="str">
        <x:f>IF($G11="","",IF(OR(V$8&lt;IF($F11="",$G11,$F11),V$8&gt;$G11),"",IF(AND($F11&lt;&gt;"",$F11&lt;$G11),"■","◆")))</x:f>
      </x:c>
      <x:c r="W11" s="89" t="str">
        <x:f>IF($G11="","",IF(OR(W$8&lt;IF($F11="",$G11,$F11),W$8&gt;$G11),"",IF(AND($F11&lt;&gt;"",$F11&lt;$G11),"■","◆")))</x:f>
      </x:c>
      <x:c r="X11" s="89" t="str">
        <x:f>IF($G11="","",IF(OR(X$8&lt;IF($F11="",$G11,$F11),X$8&gt;$G11),"",IF(AND($F11&lt;&gt;"",$F11&lt;$G11),"■","◆")))</x:f>
      </x:c>
      <x:c r="Y11" s="89" t="str">
        <x:f>IF($G11="","",IF(OR(Y$8&lt;IF($F11="",$G11,$F11),Y$8&gt;$G11),"",IF(AND($F11&lt;&gt;"",$F11&lt;$G11),"■","◆")))</x:f>
      </x:c>
      <x:c r="Z11" s="89" t="str">
        <x:f>IF($G11="","",IF(OR(Z$8&lt;IF($F11="",$G11,$F11),Z$8&gt;$G11),"",IF(AND($F11&lt;&gt;"",$F11&lt;$G11),"■","◆")))</x:f>
      </x:c>
      <x:c r="AA11" s="89" t="str">
        <x:f>IF($G11="","",IF(OR(AA$8&lt;IF($F11="",$G11,$F11),AA$8&gt;$G11),"",IF(AND($F11&lt;&gt;"",$F11&lt;$G11),"■","◆")))</x:f>
      </x:c>
      <x:c r="AB11" s="96" t="str">
        <x:f>IF($G11="","",IF(OR(AB$8&lt;IF($F11="",$G11,$F11),AB$8&gt;$G11),"",IF(AND($F11&lt;&gt;"",$F11&lt;$G11),"■","◆")))</x:f>
      </x:c>
      <x:c r="AC11" s="96" t="str">
        <x:f>IF($G11="","",IF(OR(AC$8&lt;IF($F11="",$G11,$F11),AC$8&gt;$G11),"",IF(AND($F11&lt;&gt;"",$F11&lt;$G11),"■","◆")))</x:f>
      </x:c>
      <x:c r="AD11" s="89" t="str">
        <x:f>IF($G11="","",IF(OR(AD$8&lt;IF($F11="",$G11,$F11),AD$8&gt;$G11),"",IF(AND($F11&lt;&gt;"",$F11&lt;$G11),"■","◆")))</x:f>
      </x:c>
      <x:c r="AE11" s="89" t="str">
        <x:f>IF($G11="","",IF(OR(AE$8&lt;IF($F11="",$G11,$F11),AE$8&gt;$G11),"",IF(AND($F11&lt;&gt;"",$F11&lt;$G11),"■","◆")))</x:f>
      </x:c>
      <x:c r="AF11" s="89" t="str">
        <x:f>IF($G11="","",IF(OR(AF$8&lt;IF($F11="",$G11,$F11),AF$8&gt;$G11),"",IF(AND($F11&lt;&gt;"",$F11&lt;$G11),"■","◆")))</x:f>
      </x:c>
      <x:c r="AG11" s="89" t="str">
        <x:f>IF($G11="","",IF(OR(AG$8&lt;IF($F11="",$G11,$F11),AG$8&gt;$G11),"",IF(AND($F11&lt;&gt;"",$F11&lt;$G11),"■","◆")))</x:f>
      </x:c>
      <x:c r="AH11" s="89" t="str">
        <x:f>IF($G11="","",IF(OR(AH$8&lt;IF($F11="",$G11,$F11),AH$8&gt;$G11),"",IF(AND($F11&lt;&gt;"",$F11&lt;$G11),"■","◆")))</x:f>
      </x:c>
      <x:c r="AI11" s="96" t="str">
        <x:f>IF($G11="","",IF(OR(AI$8&lt;IF($F11="",$G11,$F11),AI$8&gt;$G11),"",IF(AND($F11&lt;&gt;"",$F11&lt;$G11),"■","◆")))</x:f>
      </x:c>
      <x:c r="AJ11" s="96" t="str">
        <x:f>IF($G11="","",IF(OR(AJ$8&lt;IF($F11="",$G11,$F11),AJ$8&gt;$G11),"",IF(AND($F11&lt;&gt;"",$F11&lt;$G11),"■","◆")))</x:f>
      </x:c>
      <x:c r="AK11" s="89" t="str">
        <x:f>IF($G11="","",IF(OR(AK$8&lt;IF($F11="",$G11,$F11),AK$8&gt;$G11),"",IF(AND($F11&lt;&gt;"",$F11&lt;$G11),"■","◆")))</x:f>
      </x:c>
      <x:c r="AL11" s="89" t="str">
        <x:f>IF($G11="","",IF(OR(AL$8&lt;IF($F11="",$G11,$F11),AL$8&gt;$G11),"",IF(AND($F11&lt;&gt;"",$F11&lt;$G11),"■","◆")))</x:f>
      </x:c>
      <x:c r="AM11" s="89" t="str">
        <x:f>IF($G11="","",IF(OR(AM$8&lt;IF($F11="",$G11,$F11),AM$8&gt;$G11),"",IF(AND($F11&lt;&gt;"",$F11&lt;$G11),"■","◆")))</x:f>
      </x:c>
      <x:c r="AN11" s="89" t="str">
        <x:f>IF($G11="","",IF(OR(AN$8&lt;IF($F11="",$G11,$F11),AN$8&gt;$G11),"",IF(AND($F11&lt;&gt;"",$F11&lt;$G11),"■","◆")))</x:f>
      </x:c>
      <x:c r="AO11" s="90" t="str">
        <x:f>IF($G11="","",IF(OR(AO$8&lt;IF($F11="",$G11,$F11),AO$8&gt;$G11),"",IF(AND($F11&lt;&gt;"",$F11&lt;$G11),"■","◆")))</x:f>
      </x:c>
    </x:row>
    <x:row r="12" ht="28.5" customHeight="1">
      <x:c r="A12" s="58" t="str">
        <x:v>A04</x:v>
      </x:c>
      <x:c r="B12" s="58" t="str">
        <x:v>產品／行銷</x:v>
      </x:c>
      <x:c r="C12" s="58" t="str">
        <x:v>任務</x:v>
      </x:c>
      <x:c r="D12" s="53" t="str">
        <x:v>提供第一版 release note</x:v>
      </x:c>
      <x:c r="E12" s="62" t="str">
        <x:v>怡君</x:v>
      </x:c>
      <x:c r="F12" s="63"/>
      <x:c r="G12" s="63" t="n">
        <x:v>46241</x:v>
      </x:c>
      <x:c r="H12" s="62" t="str">
        <x:v>原始資料未提及</x:v>
      </x:c>
      <x:c r="I12" s="53" t="str">
        <x:v>供行銷準備素材。</x:v>
      </x:c>
      <x:c r="J12" s="88" t="str">
        <x:f>IF($G12="","",IF(OR(J$8&lt;IF($F12="",$G12,$F12),J$8&gt;$G12),"",IF(AND($F12&lt;&gt;"",$F12&lt;$G12),"■","◆")))</x:f>
      </x:c>
      <x:c r="K12" s="89" t="str">
        <x:f>IF($G12="","",IF(OR(K$8&lt;IF($F12="",$G12,$F12),K$8&gt;$G12),"",IF(AND($F12&lt;&gt;"",$F12&lt;$G12),"■","◆")))</x:f>
      </x:c>
      <x:c r="L12" s="89" t="str">
        <x:f>IF($G12="","",IF(OR(L$8&lt;IF($F12="",$G12,$F12),L$8&gt;$G12),"",IF(AND($F12&lt;&gt;"",$F12&lt;$G12),"■","◆")))</x:f>
      </x:c>
      <x:c r="M12" s="89" t="str">
        <x:f>IF($G12="","",IF(OR(M$8&lt;IF($F12="",$G12,$F12),M$8&gt;$G12),"",IF(AND($F12&lt;&gt;"",$F12&lt;$G12),"■","◆")))</x:f>
      </x:c>
      <x:c r="N12" s="96" t="str">
        <x:f>IF($G12="","",IF(OR(N$8&lt;IF($F12="",$G12,$F12),N$8&gt;$G12),"",IF(AND($F12&lt;&gt;"",$F12&lt;$G12),"■","◆")))</x:f>
      </x:c>
      <x:c r="O12" s="96" t="str">
        <x:f>IF($G12="","",IF(OR(O$8&lt;IF($F12="",$G12,$F12),O$8&gt;$G12),"",IF(AND($F12&lt;&gt;"",$F12&lt;$G12),"■","◆")))</x:f>
      </x:c>
      <x:c r="P12" s="89" t="str">
        <x:f>IF($G12="","",IF(OR(P$8&lt;IF($F12="",$G12,$F12),P$8&gt;$G12),"",IF(AND($F12&lt;&gt;"",$F12&lt;$G12),"■","◆")))</x:f>
      </x:c>
      <x:c r="Q12" s="89" t="str">
        <x:f>IF($G12="","",IF(OR(Q$8&lt;IF($F12="",$G12,$F12),Q$8&gt;$G12),"",IF(AND($F12&lt;&gt;"",$F12&lt;$G12),"■","◆")))</x:f>
      </x:c>
      <x:c r="R12" s="89" t="str">
        <x:f>IF($G12="","",IF(OR(R$8&lt;IF($F12="",$G12,$F12),R$8&gt;$G12),"",IF(AND($F12&lt;&gt;"",$F12&lt;$G12),"■","◆")))</x:f>
      </x:c>
      <x:c r="S12" s="89" t="str">
        <x:f>IF($G12="","",IF(OR(S$8&lt;IF($F12="",$G12,$F12),S$8&gt;$G12),"",IF(AND($F12&lt;&gt;"",$F12&lt;$G12),"■","◆")))</x:f>
      </x:c>
      <x:c r="T12" s="89" t="str">
        <x:f>IF($G12="","",IF(OR(T$8&lt;IF($F12="",$G12,$F12),T$8&gt;$G12),"",IF(AND($F12&lt;&gt;"",$F12&lt;$G12),"■","◆")))</x:f>
        <x:v>◆</x:v>
      </x:c>
      <x:c r="U12" s="96" t="str">
        <x:f>IF($G12="","",IF(OR(U$8&lt;IF($F12="",$G12,$F12),U$8&gt;$G12),"",IF(AND($F12&lt;&gt;"",$F12&lt;$G12),"■","◆")))</x:f>
      </x:c>
      <x:c r="V12" s="96" t="str">
        <x:f>IF($G12="","",IF(OR(V$8&lt;IF($F12="",$G12,$F12),V$8&gt;$G12),"",IF(AND($F12&lt;&gt;"",$F12&lt;$G12),"■","◆")))</x:f>
      </x:c>
      <x:c r="W12" s="89" t="str">
        <x:f>IF($G12="","",IF(OR(W$8&lt;IF($F12="",$G12,$F12),W$8&gt;$G12),"",IF(AND($F12&lt;&gt;"",$F12&lt;$G12),"■","◆")))</x:f>
      </x:c>
      <x:c r="X12" s="89" t="str">
        <x:f>IF($G12="","",IF(OR(X$8&lt;IF($F12="",$G12,$F12),X$8&gt;$G12),"",IF(AND($F12&lt;&gt;"",$F12&lt;$G12),"■","◆")))</x:f>
      </x:c>
      <x:c r="Y12" s="89" t="str">
        <x:f>IF($G12="","",IF(OR(Y$8&lt;IF($F12="",$G12,$F12),Y$8&gt;$G12),"",IF(AND($F12&lt;&gt;"",$F12&lt;$G12),"■","◆")))</x:f>
      </x:c>
      <x:c r="Z12" s="89" t="str">
        <x:f>IF($G12="","",IF(OR(Z$8&lt;IF($F12="",$G12,$F12),Z$8&gt;$G12),"",IF(AND($F12&lt;&gt;"",$F12&lt;$G12),"■","◆")))</x:f>
      </x:c>
      <x:c r="AA12" s="89" t="str">
        <x:f>IF($G12="","",IF(OR(AA$8&lt;IF($F12="",$G12,$F12),AA$8&gt;$G12),"",IF(AND($F12&lt;&gt;"",$F12&lt;$G12),"■","◆")))</x:f>
      </x:c>
      <x:c r="AB12" s="96" t="str">
        <x:f>IF($G12="","",IF(OR(AB$8&lt;IF($F12="",$G12,$F12),AB$8&gt;$G12),"",IF(AND($F12&lt;&gt;"",$F12&lt;$G12),"■","◆")))</x:f>
      </x:c>
      <x:c r="AC12" s="96" t="str">
        <x:f>IF($G12="","",IF(OR(AC$8&lt;IF($F12="",$G12,$F12),AC$8&gt;$G12),"",IF(AND($F12&lt;&gt;"",$F12&lt;$G12),"■","◆")))</x:f>
      </x:c>
      <x:c r="AD12" s="89" t="str">
        <x:f>IF($G12="","",IF(OR(AD$8&lt;IF($F12="",$G12,$F12),AD$8&gt;$G12),"",IF(AND($F12&lt;&gt;"",$F12&lt;$G12),"■","◆")))</x:f>
      </x:c>
      <x:c r="AE12" s="89" t="str">
        <x:f>IF($G12="","",IF(OR(AE$8&lt;IF($F12="",$G12,$F12),AE$8&gt;$G12),"",IF(AND($F12&lt;&gt;"",$F12&lt;$G12),"■","◆")))</x:f>
      </x:c>
      <x:c r="AF12" s="89" t="str">
        <x:f>IF($G12="","",IF(OR(AF$8&lt;IF($F12="",$G12,$F12),AF$8&gt;$G12),"",IF(AND($F12&lt;&gt;"",$F12&lt;$G12),"■","◆")))</x:f>
      </x:c>
      <x:c r="AG12" s="89" t="str">
        <x:f>IF($G12="","",IF(OR(AG$8&lt;IF($F12="",$G12,$F12),AG$8&gt;$G12),"",IF(AND($F12&lt;&gt;"",$F12&lt;$G12),"■","◆")))</x:f>
      </x:c>
      <x:c r="AH12" s="89" t="str">
        <x:f>IF($G12="","",IF(OR(AH$8&lt;IF($F12="",$G12,$F12),AH$8&gt;$G12),"",IF(AND($F12&lt;&gt;"",$F12&lt;$G12),"■","◆")))</x:f>
      </x:c>
      <x:c r="AI12" s="96" t="str">
        <x:f>IF($G12="","",IF(OR(AI$8&lt;IF($F12="",$G12,$F12),AI$8&gt;$G12),"",IF(AND($F12&lt;&gt;"",$F12&lt;$G12),"■","◆")))</x:f>
      </x:c>
      <x:c r="AJ12" s="96" t="str">
        <x:f>IF($G12="","",IF(OR(AJ$8&lt;IF($F12="",$G12,$F12),AJ$8&gt;$G12),"",IF(AND($F12&lt;&gt;"",$F12&lt;$G12),"■","◆")))</x:f>
      </x:c>
      <x:c r="AK12" s="89" t="str">
        <x:f>IF($G12="","",IF(OR(AK$8&lt;IF($F12="",$G12,$F12),AK$8&gt;$G12),"",IF(AND($F12&lt;&gt;"",$F12&lt;$G12),"■","◆")))</x:f>
      </x:c>
      <x:c r="AL12" s="89" t="str">
        <x:f>IF($G12="","",IF(OR(AL$8&lt;IF($F12="",$G12,$F12),AL$8&gt;$G12),"",IF(AND($F12&lt;&gt;"",$F12&lt;$G12),"■","◆")))</x:f>
      </x:c>
      <x:c r="AM12" s="89" t="str">
        <x:f>IF($G12="","",IF(OR(AM$8&lt;IF($F12="",$G12,$F12),AM$8&gt;$G12),"",IF(AND($F12&lt;&gt;"",$F12&lt;$G12),"■","◆")))</x:f>
      </x:c>
      <x:c r="AN12" s="89" t="str">
        <x:f>IF($G12="","",IF(OR(AN$8&lt;IF($F12="",$G12,$F12),AN$8&gt;$G12),"",IF(AND($F12&lt;&gt;"",$F12&lt;$G12),"■","◆")))</x:f>
      </x:c>
      <x:c r="AO12" s="90" t="str">
        <x:f>IF($G12="","",IF(OR(AO$8&lt;IF($F12="",$G12,$F12),AO$8&gt;$G12),"",IF(AND($F12&lt;&gt;"",$F12&lt;$G12),"■","◆")))</x:f>
      </x:c>
    </x:row>
    <x:row r="13" ht="28.5" customHeight="1">
      <x:c r="A13" s="58" t="str">
        <x:v>A05</x:v>
      </x:c>
      <x:c r="B13" s="58" t="str">
        <x:v>產品／行銷</x:v>
      </x:c>
      <x:c r="C13" s="58" t="str">
        <x:v>任務</x:v>
      </x:c>
      <x:c r="D13" s="53" t="str">
        <x:v>確認最終版畫面與功能清單</x:v>
      </x:c>
      <x:c r="E13" s="62" t="str">
        <x:v>怡君</x:v>
      </x:c>
      <x:c r="F13" s="63"/>
      <x:c r="G13" s="63" t="n">
        <x:v>46244</x:v>
      </x:c>
      <x:c r="H13" s="62" t="str">
        <x:v>原始資料未提及</x:v>
      </x:c>
      <x:c r="I13" s="53" t="str">
        <x:v>行銷至少需要兩週準備。</x:v>
      </x:c>
      <x:c r="J13" s="88" t="str">
        <x:f>IF($G13="","",IF(OR(J$8&lt;IF($F13="",$G13,$F13),J$8&gt;$G13),"",IF(AND($F13&lt;&gt;"",$F13&lt;$G13),"■","◆")))</x:f>
      </x:c>
      <x:c r="K13" s="89" t="str">
        <x:f>IF($G13="","",IF(OR(K$8&lt;IF($F13="",$G13,$F13),K$8&gt;$G13),"",IF(AND($F13&lt;&gt;"",$F13&lt;$G13),"■","◆")))</x:f>
      </x:c>
      <x:c r="L13" s="89" t="str">
        <x:f>IF($G13="","",IF(OR(L$8&lt;IF($F13="",$G13,$F13),L$8&gt;$G13),"",IF(AND($F13&lt;&gt;"",$F13&lt;$G13),"■","◆")))</x:f>
      </x:c>
      <x:c r="M13" s="89" t="str">
        <x:f>IF($G13="","",IF(OR(M$8&lt;IF($F13="",$G13,$F13),M$8&gt;$G13),"",IF(AND($F13&lt;&gt;"",$F13&lt;$G13),"■","◆")))</x:f>
      </x:c>
      <x:c r="N13" s="96" t="str">
        <x:f>IF($G13="","",IF(OR(N$8&lt;IF($F13="",$G13,$F13),N$8&gt;$G13),"",IF(AND($F13&lt;&gt;"",$F13&lt;$G13),"■","◆")))</x:f>
      </x:c>
      <x:c r="O13" s="96" t="str">
        <x:f>IF($G13="","",IF(OR(O$8&lt;IF($F13="",$G13,$F13),O$8&gt;$G13),"",IF(AND($F13&lt;&gt;"",$F13&lt;$G13),"■","◆")))</x:f>
      </x:c>
      <x:c r="P13" s="89" t="str">
        <x:f>IF($G13="","",IF(OR(P$8&lt;IF($F13="",$G13,$F13),P$8&gt;$G13),"",IF(AND($F13&lt;&gt;"",$F13&lt;$G13),"■","◆")))</x:f>
      </x:c>
      <x:c r="Q13" s="89" t="str">
        <x:f>IF($G13="","",IF(OR(Q$8&lt;IF($F13="",$G13,$F13),Q$8&gt;$G13),"",IF(AND($F13&lt;&gt;"",$F13&lt;$G13),"■","◆")))</x:f>
      </x:c>
      <x:c r="R13" s="89" t="str">
        <x:f>IF($G13="","",IF(OR(R$8&lt;IF($F13="",$G13,$F13),R$8&gt;$G13),"",IF(AND($F13&lt;&gt;"",$F13&lt;$G13),"■","◆")))</x:f>
      </x:c>
      <x:c r="S13" s="89" t="str">
        <x:f>IF($G13="","",IF(OR(S$8&lt;IF($F13="",$G13,$F13),S$8&gt;$G13),"",IF(AND($F13&lt;&gt;"",$F13&lt;$G13),"■","◆")))</x:f>
      </x:c>
      <x:c r="T13" s="89" t="str">
        <x:f>IF($G13="","",IF(OR(T$8&lt;IF($F13="",$G13,$F13),T$8&gt;$G13),"",IF(AND($F13&lt;&gt;"",$F13&lt;$G13),"■","◆")))</x:f>
      </x:c>
      <x:c r="U13" s="96" t="str">
        <x:f>IF($G13="","",IF(OR(U$8&lt;IF($F13="",$G13,$F13),U$8&gt;$G13),"",IF(AND($F13&lt;&gt;"",$F13&lt;$G13),"■","◆")))</x:f>
      </x:c>
      <x:c r="V13" s="96" t="str">
        <x:f>IF($G13="","",IF(OR(V$8&lt;IF($F13="",$G13,$F13),V$8&gt;$G13),"",IF(AND($F13&lt;&gt;"",$F13&lt;$G13),"■","◆")))</x:f>
      </x:c>
      <x:c r="W13" s="89" t="str">
        <x:f>IF($G13="","",IF(OR(W$8&lt;IF($F13="",$G13,$F13),W$8&gt;$G13),"",IF(AND($F13&lt;&gt;"",$F13&lt;$G13),"■","◆")))</x:f>
        <x:v>◆</x:v>
      </x:c>
      <x:c r="X13" s="89" t="str">
        <x:f>IF($G13="","",IF(OR(X$8&lt;IF($F13="",$G13,$F13),X$8&gt;$G13),"",IF(AND($F13&lt;&gt;"",$F13&lt;$G13),"■","◆")))</x:f>
      </x:c>
      <x:c r="Y13" s="89" t="str">
        <x:f>IF($G13="","",IF(OR(Y$8&lt;IF($F13="",$G13,$F13),Y$8&gt;$G13),"",IF(AND($F13&lt;&gt;"",$F13&lt;$G13),"■","◆")))</x:f>
      </x:c>
      <x:c r="Z13" s="89" t="str">
        <x:f>IF($G13="","",IF(OR(Z$8&lt;IF($F13="",$G13,$F13),Z$8&gt;$G13),"",IF(AND($F13&lt;&gt;"",$F13&lt;$G13),"■","◆")))</x:f>
      </x:c>
      <x:c r="AA13" s="89" t="str">
        <x:f>IF($G13="","",IF(OR(AA$8&lt;IF($F13="",$G13,$F13),AA$8&gt;$G13),"",IF(AND($F13&lt;&gt;"",$F13&lt;$G13),"■","◆")))</x:f>
      </x:c>
      <x:c r="AB13" s="96" t="str">
        <x:f>IF($G13="","",IF(OR(AB$8&lt;IF($F13="",$G13,$F13),AB$8&gt;$G13),"",IF(AND($F13&lt;&gt;"",$F13&lt;$G13),"■","◆")))</x:f>
      </x:c>
      <x:c r="AC13" s="96" t="str">
        <x:f>IF($G13="","",IF(OR(AC$8&lt;IF($F13="",$G13,$F13),AC$8&gt;$G13),"",IF(AND($F13&lt;&gt;"",$F13&lt;$G13),"■","◆")))</x:f>
      </x:c>
      <x:c r="AD13" s="89" t="str">
        <x:f>IF($G13="","",IF(OR(AD$8&lt;IF($F13="",$G13,$F13),AD$8&gt;$G13),"",IF(AND($F13&lt;&gt;"",$F13&lt;$G13),"■","◆")))</x:f>
      </x:c>
      <x:c r="AE13" s="89" t="str">
        <x:f>IF($G13="","",IF(OR(AE$8&lt;IF($F13="",$G13,$F13),AE$8&gt;$G13),"",IF(AND($F13&lt;&gt;"",$F13&lt;$G13),"■","◆")))</x:f>
      </x:c>
      <x:c r="AF13" s="89" t="str">
        <x:f>IF($G13="","",IF(OR(AF$8&lt;IF($F13="",$G13,$F13),AF$8&gt;$G13),"",IF(AND($F13&lt;&gt;"",$F13&lt;$G13),"■","◆")))</x:f>
      </x:c>
      <x:c r="AG13" s="89" t="str">
        <x:f>IF($G13="","",IF(OR(AG$8&lt;IF($F13="",$G13,$F13),AG$8&gt;$G13),"",IF(AND($F13&lt;&gt;"",$F13&lt;$G13),"■","◆")))</x:f>
      </x:c>
      <x:c r="AH13" s="89" t="str">
        <x:f>IF($G13="","",IF(OR(AH$8&lt;IF($F13="",$G13,$F13),AH$8&gt;$G13),"",IF(AND($F13&lt;&gt;"",$F13&lt;$G13),"■","◆")))</x:f>
      </x:c>
      <x:c r="AI13" s="96" t="str">
        <x:f>IF($G13="","",IF(OR(AI$8&lt;IF($F13="",$G13,$F13),AI$8&gt;$G13),"",IF(AND($F13&lt;&gt;"",$F13&lt;$G13),"■","◆")))</x:f>
      </x:c>
      <x:c r="AJ13" s="96" t="str">
        <x:f>IF($G13="","",IF(OR(AJ$8&lt;IF($F13="",$G13,$F13),AJ$8&gt;$G13),"",IF(AND($F13&lt;&gt;"",$F13&lt;$G13),"■","◆")))</x:f>
      </x:c>
      <x:c r="AK13" s="89" t="str">
        <x:f>IF($G13="","",IF(OR(AK$8&lt;IF($F13="",$G13,$F13),AK$8&gt;$G13),"",IF(AND($F13&lt;&gt;"",$F13&lt;$G13),"■","◆")))</x:f>
      </x:c>
      <x:c r="AL13" s="89" t="str">
        <x:f>IF($G13="","",IF(OR(AL$8&lt;IF($F13="",$G13,$F13),AL$8&gt;$G13),"",IF(AND($F13&lt;&gt;"",$F13&lt;$G13),"■","◆")))</x:f>
      </x:c>
      <x:c r="AM13" s="89" t="str">
        <x:f>IF($G13="","",IF(OR(AM$8&lt;IF($F13="",$G13,$F13),AM$8&gt;$G13),"",IF(AND($F13&lt;&gt;"",$F13&lt;$G13),"■","◆")))</x:f>
      </x:c>
      <x:c r="AN13" s="89" t="str">
        <x:f>IF($G13="","",IF(OR(AN$8&lt;IF($F13="",$G13,$F13),AN$8&gt;$G13),"",IF(AND($F13&lt;&gt;"",$F13&lt;$G13),"■","◆")))</x:f>
      </x:c>
      <x:c r="AO13" s="90" t="str">
        <x:f>IF($G13="","",IF(OR(AO$8&lt;IF($F13="",$G13,$F13),AO$8&gt;$G13),"",IF(AND($F13&lt;&gt;"",$F13&lt;$G13),"■","◆")))</x:f>
      </x:c>
    </x:row>
    <x:row r="14" ht="28.5" customHeight="1">
      <x:c r="A14" s="58" t="str">
        <x:v>A06</x:v>
      </x:c>
      <x:c r="B14" s="58" t="str">
        <x:v>資料／行銷</x:v>
      </x:c>
      <x:c r="C14" s="58" t="str">
        <x:v>任務</x:v>
      </x:c>
      <x:c r="D14" s="53" t="str">
        <x:v>產出 EDM 發送名單並排除取消訂閱者</x:v>
      </x:c>
      <x:c r="E14" s="62" t="str">
        <x:v>Kevin</x:v>
      </x:c>
      <x:c r="F14" s="63"/>
      <x:c r="G14" s="63"/>
      <x:c r="H14" s="62" t="str">
        <x:v>待確認</x:v>
      </x:c>
      <x:c r="I14" s="53" t="str">
        <x:v>EDM 預計於 2026/08/26 發送；原始資料未提供名單期限。</x:v>
      </x:c>
      <x:c r="J14" s="88" t="str">
        <x:f>IF($G14="","",IF(OR(J$8&lt;IF($F14="",$G14,$F14),J$8&gt;$G14),"",IF(AND($F14&lt;&gt;"",$F14&lt;$G14),"■","◆")))</x:f>
      </x:c>
      <x:c r="K14" s="89" t="str">
        <x:f>IF($G14="","",IF(OR(K$8&lt;IF($F14="",$G14,$F14),K$8&gt;$G14),"",IF(AND($F14&lt;&gt;"",$F14&lt;$G14),"■","◆")))</x:f>
      </x:c>
      <x:c r="L14" s="89" t="str">
        <x:f>IF($G14="","",IF(OR(L$8&lt;IF($F14="",$G14,$F14),L$8&gt;$G14),"",IF(AND($F14&lt;&gt;"",$F14&lt;$G14),"■","◆")))</x:f>
      </x:c>
      <x:c r="M14" s="89" t="str">
        <x:f>IF($G14="","",IF(OR(M$8&lt;IF($F14="",$G14,$F14),M$8&gt;$G14),"",IF(AND($F14&lt;&gt;"",$F14&lt;$G14),"■","◆")))</x:f>
      </x:c>
      <x:c r="N14" s="96" t="str">
        <x:f>IF($G14="","",IF(OR(N$8&lt;IF($F14="",$G14,$F14),N$8&gt;$G14),"",IF(AND($F14&lt;&gt;"",$F14&lt;$G14),"■","◆")))</x:f>
      </x:c>
      <x:c r="O14" s="96" t="str">
        <x:f>IF($G14="","",IF(OR(O$8&lt;IF($F14="",$G14,$F14),O$8&gt;$G14),"",IF(AND($F14&lt;&gt;"",$F14&lt;$G14),"■","◆")))</x:f>
      </x:c>
      <x:c r="P14" s="89" t="str">
        <x:f>IF($G14="","",IF(OR(P$8&lt;IF($F14="",$G14,$F14),P$8&gt;$G14),"",IF(AND($F14&lt;&gt;"",$F14&lt;$G14),"■","◆")))</x:f>
      </x:c>
      <x:c r="Q14" s="89" t="str">
        <x:f>IF($G14="","",IF(OR(Q$8&lt;IF($F14="",$G14,$F14),Q$8&gt;$G14),"",IF(AND($F14&lt;&gt;"",$F14&lt;$G14),"■","◆")))</x:f>
      </x:c>
      <x:c r="R14" s="89" t="str">
        <x:f>IF($G14="","",IF(OR(R$8&lt;IF($F14="",$G14,$F14),R$8&gt;$G14),"",IF(AND($F14&lt;&gt;"",$F14&lt;$G14),"■","◆")))</x:f>
      </x:c>
      <x:c r="S14" s="89" t="str">
        <x:f>IF($G14="","",IF(OR(S$8&lt;IF($F14="",$G14,$F14),S$8&gt;$G14),"",IF(AND($F14&lt;&gt;"",$F14&lt;$G14),"■","◆")))</x:f>
      </x:c>
      <x:c r="T14" s="89" t="str">
        <x:f>IF($G14="","",IF(OR(T$8&lt;IF($F14="",$G14,$F14),T$8&gt;$G14),"",IF(AND($F14&lt;&gt;"",$F14&lt;$G14),"■","◆")))</x:f>
      </x:c>
      <x:c r="U14" s="96" t="str">
        <x:f>IF($G14="","",IF(OR(U$8&lt;IF($F14="",$G14,$F14),U$8&gt;$G14),"",IF(AND($F14&lt;&gt;"",$F14&lt;$G14),"■","◆")))</x:f>
      </x:c>
      <x:c r="V14" s="96" t="str">
        <x:f>IF($G14="","",IF(OR(V$8&lt;IF($F14="",$G14,$F14),V$8&gt;$G14),"",IF(AND($F14&lt;&gt;"",$F14&lt;$G14),"■","◆")))</x:f>
      </x:c>
      <x:c r="W14" s="89" t="str">
        <x:f>IF($G14="","",IF(OR(W$8&lt;IF($F14="",$G14,$F14),W$8&gt;$G14),"",IF(AND($F14&lt;&gt;"",$F14&lt;$G14),"■","◆")))</x:f>
      </x:c>
      <x:c r="X14" s="89" t="str">
        <x:f>IF($G14="","",IF(OR(X$8&lt;IF($F14="",$G14,$F14),X$8&gt;$G14),"",IF(AND($F14&lt;&gt;"",$F14&lt;$G14),"■","◆")))</x:f>
      </x:c>
      <x:c r="Y14" s="89" t="str">
        <x:f>IF($G14="","",IF(OR(Y$8&lt;IF($F14="",$G14,$F14),Y$8&gt;$G14),"",IF(AND($F14&lt;&gt;"",$F14&lt;$G14),"■","◆")))</x:f>
      </x:c>
      <x:c r="Z14" s="89" t="str">
        <x:f>IF($G14="","",IF(OR(Z$8&lt;IF($F14="",$G14,$F14),Z$8&gt;$G14),"",IF(AND($F14&lt;&gt;"",$F14&lt;$G14),"■","◆")))</x:f>
      </x:c>
      <x:c r="AA14" s="89" t="str">
        <x:f>IF($G14="","",IF(OR(AA$8&lt;IF($F14="",$G14,$F14),AA$8&gt;$G14),"",IF(AND($F14&lt;&gt;"",$F14&lt;$G14),"■","◆")))</x:f>
      </x:c>
      <x:c r="AB14" s="96" t="str">
        <x:f>IF($G14="","",IF(OR(AB$8&lt;IF($F14="",$G14,$F14),AB$8&gt;$G14),"",IF(AND($F14&lt;&gt;"",$F14&lt;$G14),"■","◆")))</x:f>
      </x:c>
      <x:c r="AC14" s="96" t="str">
        <x:f>IF($G14="","",IF(OR(AC$8&lt;IF($F14="",$G14,$F14),AC$8&gt;$G14),"",IF(AND($F14&lt;&gt;"",$F14&lt;$G14),"■","◆")))</x:f>
      </x:c>
      <x:c r="AD14" s="89" t="str">
        <x:f>IF($G14="","",IF(OR(AD$8&lt;IF($F14="",$G14,$F14),AD$8&gt;$G14),"",IF(AND($F14&lt;&gt;"",$F14&lt;$G14),"■","◆")))</x:f>
      </x:c>
      <x:c r="AE14" s="89" t="str">
        <x:f>IF($G14="","",IF(OR(AE$8&lt;IF($F14="",$G14,$F14),AE$8&gt;$G14),"",IF(AND($F14&lt;&gt;"",$F14&lt;$G14),"■","◆")))</x:f>
      </x:c>
      <x:c r="AF14" s="89" t="str">
        <x:f>IF($G14="","",IF(OR(AF$8&lt;IF($F14="",$G14,$F14),AF$8&gt;$G14),"",IF(AND($F14&lt;&gt;"",$F14&lt;$G14),"■","◆")))</x:f>
      </x:c>
      <x:c r="AG14" s="89" t="str">
        <x:f>IF($G14="","",IF(OR(AG$8&lt;IF($F14="",$G14,$F14),AG$8&gt;$G14),"",IF(AND($F14&lt;&gt;"",$F14&lt;$G14),"■","◆")))</x:f>
      </x:c>
      <x:c r="AH14" s="89" t="str">
        <x:f>IF($G14="","",IF(OR(AH$8&lt;IF($F14="",$G14,$F14),AH$8&gt;$G14),"",IF(AND($F14&lt;&gt;"",$F14&lt;$G14),"■","◆")))</x:f>
      </x:c>
      <x:c r="AI14" s="96" t="str">
        <x:f>IF($G14="","",IF(OR(AI$8&lt;IF($F14="",$G14,$F14),AI$8&gt;$G14),"",IF(AND($F14&lt;&gt;"",$F14&lt;$G14),"■","◆")))</x:f>
      </x:c>
      <x:c r="AJ14" s="96" t="str">
        <x:f>IF($G14="","",IF(OR(AJ$8&lt;IF($F14="",$G14,$F14),AJ$8&gt;$G14),"",IF(AND($F14&lt;&gt;"",$F14&lt;$G14),"■","◆")))</x:f>
      </x:c>
      <x:c r="AK14" s="89" t="str">
        <x:f>IF($G14="","",IF(OR(AK$8&lt;IF($F14="",$G14,$F14),AK$8&gt;$G14),"",IF(AND($F14&lt;&gt;"",$F14&lt;$G14),"■","◆")))</x:f>
      </x:c>
      <x:c r="AL14" s="89" t="str">
        <x:f>IF($G14="","",IF(OR(AL$8&lt;IF($F14="",$G14,$F14),AL$8&gt;$G14),"",IF(AND($F14&lt;&gt;"",$F14&lt;$G14),"■","◆")))</x:f>
      </x:c>
      <x:c r="AM14" s="89" t="str">
        <x:f>IF($G14="","",IF(OR(AM$8&lt;IF($F14="",$G14,$F14),AM$8&gt;$G14),"",IF(AND($F14&lt;&gt;"",$F14&lt;$G14),"■","◆")))</x:f>
      </x:c>
      <x:c r="AN14" s="89" t="str">
        <x:f>IF($G14="","",IF(OR(AN$8&lt;IF($F14="",$G14,$F14),AN$8&gt;$G14),"",IF(AND($F14&lt;&gt;"",$F14&lt;$G14),"■","◆")))</x:f>
      </x:c>
      <x:c r="AO14" s="90" t="str">
        <x:f>IF($G14="","",IF(OR(AO$8&lt;IF($F14="",$G14,$F14),AO$8&gt;$G14),"",IF(AND($F14&lt;&gt;"",$F14&lt;$G14),"■","◆")))</x:f>
      </x:c>
    </x:row>
    <x:row r="15" ht="28.5" customHeight="1">
      <x:c r="A15" s="58" t="str">
        <x:v>A07</x:v>
      </x:c>
      <x:c r="B15" s="58" t="str">
        <x:v>行銷</x:v>
      </x:c>
      <x:c r="C15" s="58" t="str">
        <x:v>任務</x:v>
      </x:c>
      <x:c r="D15" s="53" t="str">
        <x:v>估算教學影片成本並取得兩家外包報價</x:v>
      </x:c>
      <x:c r="E15" s="62" t="str">
        <x:v>冠宇</x:v>
      </x:c>
      <x:c r="F15" s="63"/>
      <x:c r="G15" s="63"/>
      <x:c r="H15" s="62" t="str">
        <x:v>待確認</x:v>
      </x:c>
      <x:c r="I15" s="53" t="str">
        <x:v>供下次會議討論，不代表外包已核准。</x:v>
      </x:c>
      <x:c r="J15" s="88" t="str">
        <x:f>IF($G15="","",IF(OR(J$8&lt;IF($F15="",$G15,$F15),J$8&gt;$G15),"",IF(AND($F15&lt;&gt;"",$F15&lt;$G15),"■","◆")))</x:f>
      </x:c>
      <x:c r="K15" s="89" t="str">
        <x:f>IF($G15="","",IF(OR(K$8&lt;IF($F15="",$G15,$F15),K$8&gt;$G15),"",IF(AND($F15&lt;&gt;"",$F15&lt;$G15),"■","◆")))</x:f>
      </x:c>
      <x:c r="L15" s="89" t="str">
        <x:f>IF($G15="","",IF(OR(L$8&lt;IF($F15="",$G15,$F15),L$8&gt;$G15),"",IF(AND($F15&lt;&gt;"",$F15&lt;$G15),"■","◆")))</x:f>
      </x:c>
      <x:c r="M15" s="89" t="str">
        <x:f>IF($G15="","",IF(OR(M$8&lt;IF($F15="",$G15,$F15),M$8&gt;$G15),"",IF(AND($F15&lt;&gt;"",$F15&lt;$G15),"■","◆")))</x:f>
      </x:c>
      <x:c r="N15" s="96" t="str">
        <x:f>IF($G15="","",IF(OR(N$8&lt;IF($F15="",$G15,$F15),N$8&gt;$G15),"",IF(AND($F15&lt;&gt;"",$F15&lt;$G15),"■","◆")))</x:f>
      </x:c>
      <x:c r="O15" s="96" t="str">
        <x:f>IF($G15="","",IF(OR(O$8&lt;IF($F15="",$G15,$F15),O$8&gt;$G15),"",IF(AND($F15&lt;&gt;"",$F15&lt;$G15),"■","◆")))</x:f>
      </x:c>
      <x:c r="P15" s="89" t="str">
        <x:f>IF($G15="","",IF(OR(P$8&lt;IF($F15="",$G15,$F15),P$8&gt;$G15),"",IF(AND($F15&lt;&gt;"",$F15&lt;$G15),"■","◆")))</x:f>
      </x:c>
      <x:c r="Q15" s="89" t="str">
        <x:f>IF($G15="","",IF(OR(Q$8&lt;IF($F15="",$G15,$F15),Q$8&gt;$G15),"",IF(AND($F15&lt;&gt;"",$F15&lt;$G15),"■","◆")))</x:f>
      </x:c>
      <x:c r="R15" s="89" t="str">
        <x:f>IF($G15="","",IF(OR(R$8&lt;IF($F15="",$G15,$F15),R$8&gt;$G15),"",IF(AND($F15&lt;&gt;"",$F15&lt;$G15),"■","◆")))</x:f>
      </x:c>
      <x:c r="S15" s="89" t="str">
        <x:f>IF($G15="","",IF(OR(S$8&lt;IF($F15="",$G15,$F15),S$8&gt;$G15),"",IF(AND($F15&lt;&gt;"",$F15&lt;$G15),"■","◆")))</x:f>
      </x:c>
      <x:c r="T15" s="89" t="str">
        <x:f>IF($G15="","",IF(OR(T$8&lt;IF($F15="",$G15,$F15),T$8&gt;$G15),"",IF(AND($F15&lt;&gt;"",$F15&lt;$G15),"■","◆")))</x:f>
      </x:c>
      <x:c r="U15" s="96" t="str">
        <x:f>IF($G15="","",IF(OR(U$8&lt;IF($F15="",$G15,$F15),U$8&gt;$G15),"",IF(AND($F15&lt;&gt;"",$F15&lt;$G15),"■","◆")))</x:f>
      </x:c>
      <x:c r="V15" s="96" t="str">
        <x:f>IF($G15="","",IF(OR(V$8&lt;IF($F15="",$G15,$F15),V$8&gt;$G15),"",IF(AND($F15&lt;&gt;"",$F15&lt;$G15),"■","◆")))</x:f>
      </x:c>
      <x:c r="W15" s="89" t="str">
        <x:f>IF($G15="","",IF(OR(W$8&lt;IF($F15="",$G15,$F15),W$8&gt;$G15),"",IF(AND($F15&lt;&gt;"",$F15&lt;$G15),"■","◆")))</x:f>
      </x:c>
      <x:c r="X15" s="89" t="str">
        <x:f>IF($G15="","",IF(OR(X$8&lt;IF($F15="",$G15,$F15),X$8&gt;$G15),"",IF(AND($F15&lt;&gt;"",$F15&lt;$G15),"■","◆")))</x:f>
      </x:c>
      <x:c r="Y15" s="89" t="str">
        <x:f>IF($G15="","",IF(OR(Y$8&lt;IF($F15="",$G15,$F15),Y$8&gt;$G15),"",IF(AND($F15&lt;&gt;"",$F15&lt;$G15),"■","◆")))</x:f>
      </x:c>
      <x:c r="Z15" s="89" t="str">
        <x:f>IF($G15="","",IF(OR(Z$8&lt;IF($F15="",$G15,$F15),Z$8&gt;$G15),"",IF(AND($F15&lt;&gt;"",$F15&lt;$G15),"■","◆")))</x:f>
      </x:c>
      <x:c r="AA15" s="89" t="str">
        <x:f>IF($G15="","",IF(OR(AA$8&lt;IF($F15="",$G15,$F15),AA$8&gt;$G15),"",IF(AND($F15&lt;&gt;"",$F15&lt;$G15),"■","◆")))</x:f>
      </x:c>
      <x:c r="AB15" s="96" t="str">
        <x:f>IF($G15="","",IF(OR(AB$8&lt;IF($F15="",$G15,$F15),AB$8&gt;$G15),"",IF(AND($F15&lt;&gt;"",$F15&lt;$G15),"■","◆")))</x:f>
      </x:c>
      <x:c r="AC15" s="96" t="str">
        <x:f>IF($G15="","",IF(OR(AC$8&lt;IF($F15="",$G15,$F15),AC$8&gt;$G15),"",IF(AND($F15&lt;&gt;"",$F15&lt;$G15),"■","◆")))</x:f>
      </x:c>
      <x:c r="AD15" s="89" t="str">
        <x:f>IF($G15="","",IF(OR(AD$8&lt;IF($F15="",$G15,$F15),AD$8&gt;$G15),"",IF(AND($F15&lt;&gt;"",$F15&lt;$G15),"■","◆")))</x:f>
      </x:c>
      <x:c r="AE15" s="89" t="str">
        <x:f>IF($G15="","",IF(OR(AE$8&lt;IF($F15="",$G15,$F15),AE$8&gt;$G15),"",IF(AND($F15&lt;&gt;"",$F15&lt;$G15),"■","◆")))</x:f>
      </x:c>
      <x:c r="AF15" s="89" t="str">
        <x:f>IF($G15="","",IF(OR(AF$8&lt;IF($F15="",$G15,$F15),AF$8&gt;$G15),"",IF(AND($F15&lt;&gt;"",$F15&lt;$G15),"■","◆")))</x:f>
      </x:c>
      <x:c r="AG15" s="89" t="str">
        <x:f>IF($G15="","",IF(OR(AG$8&lt;IF($F15="",$G15,$F15),AG$8&gt;$G15),"",IF(AND($F15&lt;&gt;"",$F15&lt;$G15),"■","◆")))</x:f>
      </x:c>
      <x:c r="AH15" s="89" t="str">
        <x:f>IF($G15="","",IF(OR(AH$8&lt;IF($F15="",$G15,$F15),AH$8&gt;$G15),"",IF(AND($F15&lt;&gt;"",$F15&lt;$G15),"■","◆")))</x:f>
      </x:c>
      <x:c r="AI15" s="96" t="str">
        <x:f>IF($G15="","",IF(OR(AI$8&lt;IF($F15="",$G15,$F15),AI$8&gt;$G15),"",IF(AND($F15&lt;&gt;"",$F15&lt;$G15),"■","◆")))</x:f>
      </x:c>
      <x:c r="AJ15" s="96" t="str">
        <x:f>IF($G15="","",IF(OR(AJ$8&lt;IF($F15="",$G15,$F15),AJ$8&gt;$G15),"",IF(AND($F15&lt;&gt;"",$F15&lt;$G15),"■","◆")))</x:f>
      </x:c>
      <x:c r="AK15" s="89" t="str">
        <x:f>IF($G15="","",IF(OR(AK$8&lt;IF($F15="",$G15,$F15),AK$8&gt;$G15),"",IF(AND($F15&lt;&gt;"",$F15&lt;$G15),"■","◆")))</x:f>
      </x:c>
      <x:c r="AL15" s="89" t="str">
        <x:f>IF($G15="","",IF(OR(AL$8&lt;IF($F15="",$G15,$F15),AL$8&gt;$G15),"",IF(AND($F15&lt;&gt;"",$F15&lt;$G15),"■","◆")))</x:f>
      </x:c>
      <x:c r="AM15" s="89" t="str">
        <x:f>IF($G15="","",IF(OR(AM$8&lt;IF($F15="",$G15,$F15),AM$8&gt;$G15),"",IF(AND($F15&lt;&gt;"",$F15&lt;$G15),"■","◆")))</x:f>
      </x:c>
      <x:c r="AN15" s="89" t="str">
        <x:f>IF($G15="","",IF(OR(AN$8&lt;IF($F15="",$G15,$F15),AN$8&gt;$G15),"",IF(AND($F15&lt;&gt;"",$F15&lt;$G15),"■","◆")))</x:f>
      </x:c>
      <x:c r="AO15" s="90" t="str">
        <x:f>IF($G15="","",IF(OR(AO$8&lt;IF($F15="",$G15,$F15),AO$8&gt;$G15),"",IF(AND($F15&lt;&gt;"",$F15&lt;$G15),"■","◆")))</x:f>
      </x:c>
    </x:row>
    <x:row r="16" ht="28.5" customHeight="1">
      <x:c r="A16" s="58" t="str">
        <x:v>A08</x:v>
      </x:c>
      <x:c r="B16" s="58" t="str">
        <x:v>客服</x:v>
      </x:c>
      <x:c r="C16" s="58" t="str">
        <x:v>任務</x:v>
      </x:c>
      <x:c r="D16" s="53" t="str">
        <x:v>撰寫 FAQ 初稿</x:v>
      </x:c>
      <x:c r="E16" s="62" t="str">
        <x:v>怡君</x:v>
      </x:c>
      <x:c r="F16" s="63"/>
      <x:c r="G16" s="63" t="n">
        <x:v>46251</x:v>
      </x:c>
      <x:c r="H16" s="62" t="str">
        <x:v>原始資料未提及</x:v>
      </x:c>
      <x:c r="I16" s="53" t="str">
        <x:v>涵蓋登入失敗、資料不一致、收不到驗證信。</x:v>
      </x:c>
      <x:c r="J16" s="88" t="str">
        <x:f>IF($G16="","",IF(OR(J$8&lt;IF($F16="",$G16,$F16),J$8&gt;$G16),"",IF(AND($F16&lt;&gt;"",$F16&lt;$G16),"■","◆")))</x:f>
      </x:c>
      <x:c r="K16" s="89" t="str">
        <x:f>IF($G16="","",IF(OR(K$8&lt;IF($F16="",$G16,$F16),K$8&gt;$G16),"",IF(AND($F16&lt;&gt;"",$F16&lt;$G16),"■","◆")))</x:f>
      </x:c>
      <x:c r="L16" s="89" t="str">
        <x:f>IF($G16="","",IF(OR(L$8&lt;IF($F16="",$G16,$F16),L$8&gt;$G16),"",IF(AND($F16&lt;&gt;"",$F16&lt;$G16),"■","◆")))</x:f>
      </x:c>
      <x:c r="M16" s="89" t="str">
        <x:f>IF($G16="","",IF(OR(M$8&lt;IF($F16="",$G16,$F16),M$8&gt;$G16),"",IF(AND($F16&lt;&gt;"",$F16&lt;$G16),"■","◆")))</x:f>
      </x:c>
      <x:c r="N16" s="96" t="str">
        <x:f>IF($G16="","",IF(OR(N$8&lt;IF($F16="",$G16,$F16),N$8&gt;$G16),"",IF(AND($F16&lt;&gt;"",$F16&lt;$G16),"■","◆")))</x:f>
      </x:c>
      <x:c r="O16" s="96" t="str">
        <x:f>IF($G16="","",IF(OR(O$8&lt;IF($F16="",$G16,$F16),O$8&gt;$G16),"",IF(AND($F16&lt;&gt;"",$F16&lt;$G16),"■","◆")))</x:f>
      </x:c>
      <x:c r="P16" s="89" t="str">
        <x:f>IF($G16="","",IF(OR(P$8&lt;IF($F16="",$G16,$F16),P$8&gt;$G16),"",IF(AND($F16&lt;&gt;"",$F16&lt;$G16),"■","◆")))</x:f>
      </x:c>
      <x:c r="Q16" s="89" t="str">
        <x:f>IF($G16="","",IF(OR(Q$8&lt;IF($F16="",$G16,$F16),Q$8&gt;$G16),"",IF(AND($F16&lt;&gt;"",$F16&lt;$G16),"■","◆")))</x:f>
      </x:c>
      <x:c r="R16" s="89" t="str">
        <x:f>IF($G16="","",IF(OR(R$8&lt;IF($F16="",$G16,$F16),R$8&gt;$G16),"",IF(AND($F16&lt;&gt;"",$F16&lt;$G16),"■","◆")))</x:f>
      </x:c>
      <x:c r="S16" s="89" t="str">
        <x:f>IF($G16="","",IF(OR(S$8&lt;IF($F16="",$G16,$F16),S$8&gt;$G16),"",IF(AND($F16&lt;&gt;"",$F16&lt;$G16),"■","◆")))</x:f>
      </x:c>
      <x:c r="T16" s="89" t="str">
        <x:f>IF($G16="","",IF(OR(T$8&lt;IF($F16="",$G16,$F16),T$8&gt;$G16),"",IF(AND($F16&lt;&gt;"",$F16&lt;$G16),"■","◆")))</x:f>
      </x:c>
      <x:c r="U16" s="96" t="str">
        <x:f>IF($G16="","",IF(OR(U$8&lt;IF($F16="",$G16,$F16),U$8&gt;$G16),"",IF(AND($F16&lt;&gt;"",$F16&lt;$G16),"■","◆")))</x:f>
      </x:c>
      <x:c r="V16" s="96" t="str">
        <x:f>IF($G16="","",IF(OR(V$8&lt;IF($F16="",$G16,$F16),V$8&gt;$G16),"",IF(AND($F16&lt;&gt;"",$F16&lt;$G16),"■","◆")))</x:f>
      </x:c>
      <x:c r="W16" s="89" t="str">
        <x:f>IF($G16="","",IF(OR(W$8&lt;IF($F16="",$G16,$F16),W$8&gt;$G16),"",IF(AND($F16&lt;&gt;"",$F16&lt;$G16),"■","◆")))</x:f>
      </x:c>
      <x:c r="X16" s="89" t="str">
        <x:f>IF($G16="","",IF(OR(X$8&lt;IF($F16="",$G16,$F16),X$8&gt;$G16),"",IF(AND($F16&lt;&gt;"",$F16&lt;$G16),"■","◆")))</x:f>
      </x:c>
      <x:c r="Y16" s="89" t="str">
        <x:f>IF($G16="","",IF(OR(Y$8&lt;IF($F16="",$G16,$F16),Y$8&gt;$G16),"",IF(AND($F16&lt;&gt;"",$F16&lt;$G16),"■","◆")))</x:f>
      </x:c>
      <x:c r="Z16" s="89" t="str">
        <x:f>IF($G16="","",IF(OR(Z$8&lt;IF($F16="",$G16,$F16),Z$8&gt;$G16),"",IF(AND($F16&lt;&gt;"",$F16&lt;$G16),"■","◆")))</x:f>
      </x:c>
      <x:c r="AA16" s="89" t="str">
        <x:f>IF($G16="","",IF(OR(AA$8&lt;IF($F16="",$G16,$F16),AA$8&gt;$G16),"",IF(AND($F16&lt;&gt;"",$F16&lt;$G16),"■","◆")))</x:f>
      </x:c>
      <x:c r="AB16" s="96" t="str">
        <x:f>IF($G16="","",IF(OR(AB$8&lt;IF($F16="",$G16,$F16),AB$8&gt;$G16),"",IF(AND($F16&lt;&gt;"",$F16&lt;$G16),"■","◆")))</x:f>
      </x:c>
      <x:c r="AC16" s="96" t="str">
        <x:f>IF($G16="","",IF(OR(AC$8&lt;IF($F16="",$G16,$F16),AC$8&gt;$G16),"",IF(AND($F16&lt;&gt;"",$F16&lt;$G16),"■","◆")))</x:f>
      </x:c>
      <x:c r="AD16" s="89" t="str">
        <x:f>IF($G16="","",IF(OR(AD$8&lt;IF($F16="",$G16,$F16),AD$8&gt;$G16),"",IF(AND($F16&lt;&gt;"",$F16&lt;$G16),"■","◆")))</x:f>
        <x:v>◆</x:v>
      </x:c>
      <x:c r="AE16" s="89" t="str">
        <x:f>IF($G16="","",IF(OR(AE$8&lt;IF($F16="",$G16,$F16),AE$8&gt;$G16),"",IF(AND($F16&lt;&gt;"",$F16&lt;$G16),"■","◆")))</x:f>
      </x:c>
      <x:c r="AF16" s="89" t="str">
        <x:f>IF($G16="","",IF(OR(AF$8&lt;IF($F16="",$G16,$F16),AF$8&gt;$G16),"",IF(AND($F16&lt;&gt;"",$F16&lt;$G16),"■","◆")))</x:f>
      </x:c>
      <x:c r="AG16" s="89" t="str">
        <x:f>IF($G16="","",IF(OR(AG$8&lt;IF($F16="",$G16,$F16),AG$8&gt;$G16),"",IF(AND($F16&lt;&gt;"",$F16&lt;$G16),"■","◆")))</x:f>
      </x:c>
      <x:c r="AH16" s="89" t="str">
        <x:f>IF($G16="","",IF(OR(AH$8&lt;IF($F16="",$G16,$F16),AH$8&gt;$G16),"",IF(AND($F16&lt;&gt;"",$F16&lt;$G16),"■","◆")))</x:f>
      </x:c>
      <x:c r="AI16" s="96" t="str">
        <x:f>IF($G16="","",IF(OR(AI$8&lt;IF($F16="",$G16,$F16),AI$8&gt;$G16),"",IF(AND($F16&lt;&gt;"",$F16&lt;$G16),"■","◆")))</x:f>
      </x:c>
      <x:c r="AJ16" s="96" t="str">
        <x:f>IF($G16="","",IF(OR(AJ$8&lt;IF($F16="",$G16,$F16),AJ$8&gt;$G16),"",IF(AND($F16&lt;&gt;"",$F16&lt;$G16),"■","◆")))</x:f>
      </x:c>
      <x:c r="AK16" s="89" t="str">
        <x:f>IF($G16="","",IF(OR(AK$8&lt;IF($F16="",$G16,$F16),AK$8&gt;$G16),"",IF(AND($F16&lt;&gt;"",$F16&lt;$G16),"■","◆")))</x:f>
      </x:c>
      <x:c r="AL16" s="89" t="str">
        <x:f>IF($G16="","",IF(OR(AL$8&lt;IF($F16="",$G16,$F16),AL$8&gt;$G16),"",IF(AND($F16&lt;&gt;"",$F16&lt;$G16),"■","◆")))</x:f>
      </x:c>
      <x:c r="AM16" s="89" t="str">
        <x:f>IF($G16="","",IF(OR(AM$8&lt;IF($F16="",$G16,$F16),AM$8&gt;$G16),"",IF(AND($F16&lt;&gt;"",$F16&lt;$G16),"■","◆")))</x:f>
      </x:c>
      <x:c r="AN16" s="89" t="str">
        <x:f>IF($G16="","",IF(OR(AN$8&lt;IF($F16="",$G16,$F16),AN$8&gt;$G16),"",IF(AND($F16&lt;&gt;"",$F16&lt;$G16),"■","◆")))</x:f>
      </x:c>
      <x:c r="AO16" s="90" t="str">
        <x:f>IF($G16="","",IF(OR(AO$8&lt;IF($F16="",$G16,$F16),AO$8&gt;$G16),"",IF(AND($F16&lt;&gt;"",$F16&lt;$G16),"■","◆")))</x:f>
      </x:c>
    </x:row>
    <x:row r="17" ht="28.5" customHeight="1">
      <x:c r="A17" s="58" t="str">
        <x:v>A09</x:v>
      </x:c>
      <x:c r="B17" s="58" t="str">
        <x:v>工程／客服</x:v>
      </x:c>
      <x:c r="C17" s="58" t="str">
        <x:v>任務</x:v>
      </x:c>
      <x:c r="D17" s="53" t="str">
        <x:v>補充 FAQ 技術排錯步驟</x:v>
      </x:c>
      <x:c r="E17" s="62" t="str">
        <x:v>志豪</x:v>
      </x:c>
      <x:c r="F17" s="63"/>
      <x:c r="G17" s="63" t="n">
        <x:v>46253</x:v>
      </x:c>
      <x:c r="H17" s="62" t="str">
        <x:v>原始資料未提及</x:v>
      </x:c>
      <x:c r="I17" s="53" t="str">
        <x:v>依 FAQ 初稿補充。</x:v>
      </x:c>
      <x:c r="J17" s="88" t="str">
        <x:f>IF($G17="","",IF(OR(J$8&lt;IF($F17="",$G17,$F17),J$8&gt;$G17),"",IF(AND($F17&lt;&gt;"",$F17&lt;$G17),"■","◆")))</x:f>
      </x:c>
      <x:c r="K17" s="89" t="str">
        <x:f>IF($G17="","",IF(OR(K$8&lt;IF($F17="",$G17,$F17),K$8&gt;$G17),"",IF(AND($F17&lt;&gt;"",$F17&lt;$G17),"■","◆")))</x:f>
      </x:c>
      <x:c r="L17" s="89" t="str">
        <x:f>IF($G17="","",IF(OR(L$8&lt;IF($F17="",$G17,$F17),L$8&gt;$G17),"",IF(AND($F17&lt;&gt;"",$F17&lt;$G17),"■","◆")))</x:f>
      </x:c>
      <x:c r="M17" s="89" t="str">
        <x:f>IF($G17="","",IF(OR(M$8&lt;IF($F17="",$G17,$F17),M$8&gt;$G17),"",IF(AND($F17&lt;&gt;"",$F17&lt;$G17),"■","◆")))</x:f>
      </x:c>
      <x:c r="N17" s="96" t="str">
        <x:f>IF($G17="","",IF(OR(N$8&lt;IF($F17="",$G17,$F17),N$8&gt;$G17),"",IF(AND($F17&lt;&gt;"",$F17&lt;$G17),"■","◆")))</x:f>
      </x:c>
      <x:c r="O17" s="96" t="str">
        <x:f>IF($G17="","",IF(OR(O$8&lt;IF($F17="",$G17,$F17),O$8&gt;$G17),"",IF(AND($F17&lt;&gt;"",$F17&lt;$G17),"■","◆")))</x:f>
      </x:c>
      <x:c r="P17" s="89" t="str">
        <x:f>IF($G17="","",IF(OR(P$8&lt;IF($F17="",$G17,$F17),P$8&gt;$G17),"",IF(AND($F17&lt;&gt;"",$F17&lt;$G17),"■","◆")))</x:f>
      </x:c>
      <x:c r="Q17" s="89" t="str">
        <x:f>IF($G17="","",IF(OR(Q$8&lt;IF($F17="",$G17,$F17),Q$8&gt;$G17),"",IF(AND($F17&lt;&gt;"",$F17&lt;$G17),"■","◆")))</x:f>
      </x:c>
      <x:c r="R17" s="89" t="str">
        <x:f>IF($G17="","",IF(OR(R$8&lt;IF($F17="",$G17,$F17),R$8&gt;$G17),"",IF(AND($F17&lt;&gt;"",$F17&lt;$G17),"■","◆")))</x:f>
      </x:c>
      <x:c r="S17" s="89" t="str">
        <x:f>IF($G17="","",IF(OR(S$8&lt;IF($F17="",$G17,$F17),S$8&gt;$G17),"",IF(AND($F17&lt;&gt;"",$F17&lt;$G17),"■","◆")))</x:f>
      </x:c>
      <x:c r="T17" s="89" t="str">
        <x:f>IF($G17="","",IF(OR(T$8&lt;IF($F17="",$G17,$F17),T$8&gt;$G17),"",IF(AND($F17&lt;&gt;"",$F17&lt;$G17),"■","◆")))</x:f>
      </x:c>
      <x:c r="U17" s="96" t="str">
        <x:f>IF($G17="","",IF(OR(U$8&lt;IF($F17="",$G17,$F17),U$8&gt;$G17),"",IF(AND($F17&lt;&gt;"",$F17&lt;$G17),"■","◆")))</x:f>
      </x:c>
      <x:c r="V17" s="96" t="str">
        <x:f>IF($G17="","",IF(OR(V$8&lt;IF($F17="",$G17,$F17),V$8&gt;$G17),"",IF(AND($F17&lt;&gt;"",$F17&lt;$G17),"■","◆")))</x:f>
      </x:c>
      <x:c r="W17" s="89" t="str">
        <x:f>IF($G17="","",IF(OR(W$8&lt;IF($F17="",$G17,$F17),W$8&gt;$G17),"",IF(AND($F17&lt;&gt;"",$F17&lt;$G17),"■","◆")))</x:f>
      </x:c>
      <x:c r="X17" s="89" t="str">
        <x:f>IF($G17="","",IF(OR(X$8&lt;IF($F17="",$G17,$F17),X$8&gt;$G17),"",IF(AND($F17&lt;&gt;"",$F17&lt;$G17),"■","◆")))</x:f>
      </x:c>
      <x:c r="Y17" s="89" t="str">
        <x:f>IF($G17="","",IF(OR(Y$8&lt;IF($F17="",$G17,$F17),Y$8&gt;$G17),"",IF(AND($F17&lt;&gt;"",$F17&lt;$G17),"■","◆")))</x:f>
      </x:c>
      <x:c r="Z17" s="89" t="str">
        <x:f>IF($G17="","",IF(OR(Z$8&lt;IF($F17="",$G17,$F17),Z$8&gt;$G17),"",IF(AND($F17&lt;&gt;"",$F17&lt;$G17),"■","◆")))</x:f>
      </x:c>
      <x:c r="AA17" s="89" t="str">
        <x:f>IF($G17="","",IF(OR(AA$8&lt;IF($F17="",$G17,$F17),AA$8&gt;$G17),"",IF(AND($F17&lt;&gt;"",$F17&lt;$G17),"■","◆")))</x:f>
      </x:c>
      <x:c r="AB17" s="96" t="str">
        <x:f>IF($G17="","",IF(OR(AB$8&lt;IF($F17="",$G17,$F17),AB$8&gt;$G17),"",IF(AND($F17&lt;&gt;"",$F17&lt;$G17),"■","◆")))</x:f>
      </x:c>
      <x:c r="AC17" s="96" t="str">
        <x:f>IF($G17="","",IF(OR(AC$8&lt;IF($F17="",$G17,$F17),AC$8&gt;$G17),"",IF(AND($F17&lt;&gt;"",$F17&lt;$G17),"■","◆")))</x:f>
      </x:c>
      <x:c r="AD17" s="89" t="str">
        <x:f>IF($G17="","",IF(OR(AD$8&lt;IF($F17="",$G17,$F17),AD$8&gt;$G17),"",IF(AND($F17&lt;&gt;"",$F17&lt;$G17),"■","◆")))</x:f>
      </x:c>
      <x:c r="AE17" s="89" t="str">
        <x:f>IF($G17="","",IF(OR(AE$8&lt;IF($F17="",$G17,$F17),AE$8&gt;$G17),"",IF(AND($F17&lt;&gt;"",$F17&lt;$G17),"■","◆")))</x:f>
      </x:c>
      <x:c r="AF17" s="89" t="str">
        <x:f>IF($G17="","",IF(OR(AF$8&lt;IF($F17="",$G17,$F17),AF$8&gt;$G17),"",IF(AND($F17&lt;&gt;"",$F17&lt;$G17),"■","◆")))</x:f>
        <x:v>◆</x:v>
      </x:c>
      <x:c r="AG17" s="89" t="str">
        <x:f>IF($G17="","",IF(OR(AG$8&lt;IF($F17="",$G17,$F17),AG$8&gt;$G17),"",IF(AND($F17&lt;&gt;"",$F17&lt;$G17),"■","◆")))</x:f>
      </x:c>
      <x:c r="AH17" s="89" t="str">
        <x:f>IF($G17="","",IF(OR(AH$8&lt;IF($F17="",$G17,$F17),AH$8&gt;$G17),"",IF(AND($F17&lt;&gt;"",$F17&lt;$G17),"■","◆")))</x:f>
      </x:c>
      <x:c r="AI17" s="96" t="str">
        <x:f>IF($G17="","",IF(OR(AI$8&lt;IF($F17="",$G17,$F17),AI$8&gt;$G17),"",IF(AND($F17&lt;&gt;"",$F17&lt;$G17),"■","◆")))</x:f>
      </x:c>
      <x:c r="AJ17" s="96" t="str">
        <x:f>IF($G17="","",IF(OR(AJ$8&lt;IF($F17="",$G17,$F17),AJ$8&gt;$G17),"",IF(AND($F17&lt;&gt;"",$F17&lt;$G17),"■","◆")))</x:f>
      </x:c>
      <x:c r="AK17" s="89" t="str">
        <x:f>IF($G17="","",IF(OR(AK$8&lt;IF($F17="",$G17,$F17),AK$8&gt;$G17),"",IF(AND($F17&lt;&gt;"",$F17&lt;$G17),"■","◆")))</x:f>
      </x:c>
      <x:c r="AL17" s="89" t="str">
        <x:f>IF($G17="","",IF(OR(AL$8&lt;IF($F17="",$G17,$F17),AL$8&gt;$G17),"",IF(AND($F17&lt;&gt;"",$F17&lt;$G17),"■","◆")))</x:f>
      </x:c>
      <x:c r="AM17" s="89" t="str">
        <x:f>IF($G17="","",IF(OR(AM$8&lt;IF($F17="",$G17,$F17),AM$8&gt;$G17),"",IF(AND($F17&lt;&gt;"",$F17&lt;$G17),"■","◆")))</x:f>
      </x:c>
      <x:c r="AN17" s="89" t="str">
        <x:f>IF($G17="","",IF(OR(AN$8&lt;IF($F17="",$G17,$F17),AN$8&gt;$G17),"",IF(AND($F17&lt;&gt;"",$F17&lt;$G17),"■","◆")))</x:f>
      </x:c>
      <x:c r="AO17" s="90" t="str">
        <x:f>IF($G17="","",IF(OR(AO$8&lt;IF($F17="",$G17,$F17),AO$8&gt;$G17),"",IF(AND($F17&lt;&gt;"",$F17&lt;$G17),"■","◆")))</x:f>
      </x:c>
    </x:row>
    <x:row r="18" ht="28.5" customHeight="1">
      <x:c r="A18" s="58" t="str">
        <x:v>A10</x:v>
      </x:c>
      <x:c r="B18" s="58" t="str">
        <x:v>客服</x:v>
      </x:c>
      <x:c r="C18" s="58" t="str">
        <x:v>任務</x:v>
      </x:c>
      <x:c r="D18" s="53" t="str">
        <x:v>完成客服內訓</x:v>
      </x:c>
      <x:c r="E18" s="62" t="str">
        <x:v>雅雯</x:v>
      </x:c>
      <x:c r="F18" s="63"/>
      <x:c r="G18" s="63" t="n">
        <x:v>46255</x:v>
      </x:c>
      <x:c r="H18" s="62" t="str">
        <x:v>原始資料未提及</x:v>
      </x:c>
      <x:c r="I18" s="53" t="str">
        <x:v>配合 FAQ 與異常處理流程。</x:v>
      </x:c>
      <x:c r="J18" s="88" t="str">
        <x:f>IF($G18="","",IF(OR(J$8&lt;IF($F18="",$G18,$F18),J$8&gt;$G18),"",IF(AND($F18&lt;&gt;"",$F18&lt;$G18),"■","◆")))</x:f>
      </x:c>
      <x:c r="K18" s="89" t="str">
        <x:f>IF($G18="","",IF(OR(K$8&lt;IF($F18="",$G18,$F18),K$8&gt;$G18),"",IF(AND($F18&lt;&gt;"",$F18&lt;$G18),"■","◆")))</x:f>
      </x:c>
      <x:c r="L18" s="89" t="str">
        <x:f>IF($G18="","",IF(OR(L$8&lt;IF($F18="",$G18,$F18),L$8&gt;$G18),"",IF(AND($F18&lt;&gt;"",$F18&lt;$G18),"■","◆")))</x:f>
      </x:c>
      <x:c r="M18" s="89" t="str">
        <x:f>IF($G18="","",IF(OR(M$8&lt;IF($F18="",$G18,$F18),M$8&gt;$G18),"",IF(AND($F18&lt;&gt;"",$F18&lt;$G18),"■","◆")))</x:f>
      </x:c>
      <x:c r="N18" s="96" t="str">
        <x:f>IF($G18="","",IF(OR(N$8&lt;IF($F18="",$G18,$F18),N$8&gt;$G18),"",IF(AND($F18&lt;&gt;"",$F18&lt;$G18),"■","◆")))</x:f>
      </x:c>
      <x:c r="O18" s="96" t="str">
        <x:f>IF($G18="","",IF(OR(O$8&lt;IF($F18="",$G18,$F18),O$8&gt;$G18),"",IF(AND($F18&lt;&gt;"",$F18&lt;$G18),"■","◆")))</x:f>
      </x:c>
      <x:c r="P18" s="89" t="str">
        <x:f>IF($G18="","",IF(OR(P$8&lt;IF($F18="",$G18,$F18),P$8&gt;$G18),"",IF(AND($F18&lt;&gt;"",$F18&lt;$G18),"■","◆")))</x:f>
      </x:c>
      <x:c r="Q18" s="89" t="str">
        <x:f>IF($G18="","",IF(OR(Q$8&lt;IF($F18="",$G18,$F18),Q$8&gt;$G18),"",IF(AND($F18&lt;&gt;"",$F18&lt;$G18),"■","◆")))</x:f>
      </x:c>
      <x:c r="R18" s="89" t="str">
        <x:f>IF($G18="","",IF(OR(R$8&lt;IF($F18="",$G18,$F18),R$8&gt;$G18),"",IF(AND($F18&lt;&gt;"",$F18&lt;$G18),"■","◆")))</x:f>
      </x:c>
      <x:c r="S18" s="89" t="str">
        <x:f>IF($G18="","",IF(OR(S$8&lt;IF($F18="",$G18,$F18),S$8&gt;$G18),"",IF(AND($F18&lt;&gt;"",$F18&lt;$G18),"■","◆")))</x:f>
      </x:c>
      <x:c r="T18" s="89" t="str">
        <x:f>IF($G18="","",IF(OR(T$8&lt;IF($F18="",$G18,$F18),T$8&gt;$G18),"",IF(AND($F18&lt;&gt;"",$F18&lt;$G18),"■","◆")))</x:f>
      </x:c>
      <x:c r="U18" s="96" t="str">
        <x:f>IF($G18="","",IF(OR(U$8&lt;IF($F18="",$G18,$F18),U$8&gt;$G18),"",IF(AND($F18&lt;&gt;"",$F18&lt;$G18),"■","◆")))</x:f>
      </x:c>
      <x:c r="V18" s="96" t="str">
        <x:f>IF($G18="","",IF(OR(V$8&lt;IF($F18="",$G18,$F18),V$8&gt;$G18),"",IF(AND($F18&lt;&gt;"",$F18&lt;$G18),"■","◆")))</x:f>
      </x:c>
      <x:c r="W18" s="89" t="str">
        <x:f>IF($G18="","",IF(OR(W$8&lt;IF($F18="",$G18,$F18),W$8&gt;$G18),"",IF(AND($F18&lt;&gt;"",$F18&lt;$G18),"■","◆")))</x:f>
      </x:c>
      <x:c r="X18" s="89" t="str">
        <x:f>IF($G18="","",IF(OR(X$8&lt;IF($F18="",$G18,$F18),X$8&gt;$G18),"",IF(AND($F18&lt;&gt;"",$F18&lt;$G18),"■","◆")))</x:f>
      </x:c>
      <x:c r="Y18" s="89" t="str">
        <x:f>IF($G18="","",IF(OR(Y$8&lt;IF($F18="",$G18,$F18),Y$8&gt;$G18),"",IF(AND($F18&lt;&gt;"",$F18&lt;$G18),"■","◆")))</x:f>
      </x:c>
      <x:c r="Z18" s="89" t="str">
        <x:f>IF($G18="","",IF(OR(Z$8&lt;IF($F18="",$G18,$F18),Z$8&gt;$G18),"",IF(AND($F18&lt;&gt;"",$F18&lt;$G18),"■","◆")))</x:f>
      </x:c>
      <x:c r="AA18" s="89" t="str">
        <x:f>IF($G18="","",IF(OR(AA$8&lt;IF($F18="",$G18,$F18),AA$8&gt;$G18),"",IF(AND($F18&lt;&gt;"",$F18&lt;$G18),"■","◆")))</x:f>
      </x:c>
      <x:c r="AB18" s="96" t="str">
        <x:f>IF($G18="","",IF(OR(AB$8&lt;IF($F18="",$G18,$F18),AB$8&gt;$G18),"",IF(AND($F18&lt;&gt;"",$F18&lt;$G18),"■","◆")))</x:f>
      </x:c>
      <x:c r="AC18" s="96" t="str">
        <x:f>IF($G18="","",IF(OR(AC$8&lt;IF($F18="",$G18,$F18),AC$8&gt;$G18),"",IF(AND($F18&lt;&gt;"",$F18&lt;$G18),"■","◆")))</x:f>
      </x:c>
      <x:c r="AD18" s="89" t="str">
        <x:f>IF($G18="","",IF(OR(AD$8&lt;IF($F18="",$G18,$F18),AD$8&gt;$G18),"",IF(AND($F18&lt;&gt;"",$F18&lt;$G18),"■","◆")))</x:f>
      </x:c>
      <x:c r="AE18" s="89" t="str">
        <x:f>IF($G18="","",IF(OR(AE$8&lt;IF($F18="",$G18,$F18),AE$8&gt;$G18),"",IF(AND($F18&lt;&gt;"",$F18&lt;$G18),"■","◆")))</x:f>
      </x:c>
      <x:c r="AF18" s="89" t="str">
        <x:f>IF($G18="","",IF(OR(AF$8&lt;IF($F18="",$G18,$F18),AF$8&gt;$G18),"",IF(AND($F18&lt;&gt;"",$F18&lt;$G18),"■","◆")))</x:f>
      </x:c>
      <x:c r="AG18" s="89" t="str">
        <x:f>IF($G18="","",IF(OR(AG$8&lt;IF($F18="",$G18,$F18),AG$8&gt;$G18),"",IF(AND($F18&lt;&gt;"",$F18&lt;$G18),"■","◆")))</x:f>
      </x:c>
      <x:c r="AH18" s="89" t="str">
        <x:f>IF($G18="","",IF(OR(AH$8&lt;IF($F18="",$G18,$F18),AH$8&gt;$G18),"",IF(AND($F18&lt;&gt;"",$F18&lt;$G18),"■","◆")))</x:f>
        <x:v>◆</x:v>
      </x:c>
      <x:c r="AI18" s="96" t="str">
        <x:f>IF($G18="","",IF(OR(AI$8&lt;IF($F18="",$G18,$F18),AI$8&gt;$G18),"",IF(AND($F18&lt;&gt;"",$F18&lt;$G18),"■","◆")))</x:f>
      </x:c>
      <x:c r="AJ18" s="96" t="str">
        <x:f>IF($G18="","",IF(OR(AJ$8&lt;IF($F18="",$G18,$F18),AJ$8&gt;$G18),"",IF(AND($F18&lt;&gt;"",$F18&lt;$G18),"■","◆")))</x:f>
      </x:c>
      <x:c r="AK18" s="89" t="str">
        <x:f>IF($G18="","",IF(OR(AK$8&lt;IF($F18="",$G18,$F18),AK$8&gt;$G18),"",IF(AND($F18&lt;&gt;"",$F18&lt;$G18),"■","◆")))</x:f>
      </x:c>
      <x:c r="AL18" s="89" t="str">
        <x:f>IF($G18="","",IF(OR(AL$8&lt;IF($F18="",$G18,$F18),AL$8&gt;$G18),"",IF(AND($F18&lt;&gt;"",$F18&lt;$G18),"■","◆")))</x:f>
      </x:c>
      <x:c r="AM18" s="89" t="str">
        <x:f>IF($G18="","",IF(OR(AM$8&lt;IF($F18="",$G18,$F18),AM$8&gt;$G18),"",IF(AND($F18&lt;&gt;"",$F18&lt;$G18),"■","◆")))</x:f>
      </x:c>
      <x:c r="AN18" s="89" t="str">
        <x:f>IF($G18="","",IF(OR(AN$8&lt;IF($F18="",$G18,$F18),AN$8&gt;$G18),"",IF(AND($F18&lt;&gt;"",$F18&lt;$G18),"■","◆")))</x:f>
      </x:c>
      <x:c r="AO18" s="90" t="str">
        <x:f>IF($G18="","",IF(OR(AO$8&lt;IF($F18="",$G18,$F18),AO$8&gt;$G18),"",IF(AND($F18&lt;&gt;"",$F18&lt;$G18),"■","◆")))</x:f>
      </x:c>
    </x:row>
    <x:row r="19" ht="28.5" customHeight="1">
      <x:c r="A19" s="58" t="str">
        <x:v>A11</x:v>
      </x:c>
      <x:c r="B19" s="58" t="str">
        <x:v>測試</x:v>
      </x:c>
      <x:c r="C19" s="58" t="str">
        <x:v>任務</x:v>
      </x:c>
      <x:c r="D19" s="53" t="str">
        <x:v>建立 UAT 測試案例與回報表</x:v>
      </x:c>
      <x:c r="E19" s="62" t="str">
        <x:v>怡君</x:v>
      </x:c>
      <x:c r="F19" s="63"/>
      <x:c r="G19" s="63" t="n">
        <x:v>46238</x:v>
      </x:c>
      <x:c r="H19" s="62" t="str">
        <x:v>原始資料未提及</x:v>
      </x:c>
      <x:c r="I19" s="53" t="str">
        <x:v>UAT 預計於 2026/08/11 開始。</x:v>
      </x:c>
      <x:c r="J19" s="88" t="str">
        <x:f>IF($G19="","",IF(OR(J$8&lt;IF($F19="",$G19,$F19),J$8&gt;$G19),"",IF(AND($F19&lt;&gt;"",$F19&lt;$G19),"■","◆")))</x:f>
      </x:c>
      <x:c r="K19" s="89" t="str">
        <x:f>IF($G19="","",IF(OR(K$8&lt;IF($F19="",$G19,$F19),K$8&gt;$G19),"",IF(AND($F19&lt;&gt;"",$F19&lt;$G19),"■","◆")))</x:f>
      </x:c>
      <x:c r="L19" s="89" t="str">
        <x:f>IF($G19="","",IF(OR(L$8&lt;IF($F19="",$G19,$F19),L$8&gt;$G19),"",IF(AND($F19&lt;&gt;"",$F19&lt;$G19),"■","◆")))</x:f>
      </x:c>
      <x:c r="M19" s="89" t="str">
        <x:f>IF($G19="","",IF(OR(M$8&lt;IF($F19="",$G19,$F19),M$8&gt;$G19),"",IF(AND($F19&lt;&gt;"",$F19&lt;$G19),"■","◆")))</x:f>
      </x:c>
      <x:c r="N19" s="96" t="str">
        <x:f>IF($G19="","",IF(OR(N$8&lt;IF($F19="",$G19,$F19),N$8&gt;$G19),"",IF(AND($F19&lt;&gt;"",$F19&lt;$G19),"■","◆")))</x:f>
      </x:c>
      <x:c r="O19" s="96" t="str">
        <x:f>IF($G19="","",IF(OR(O$8&lt;IF($F19="",$G19,$F19),O$8&gt;$G19),"",IF(AND($F19&lt;&gt;"",$F19&lt;$G19),"■","◆")))</x:f>
      </x:c>
      <x:c r="P19" s="89" t="str">
        <x:f>IF($G19="","",IF(OR(P$8&lt;IF($F19="",$G19,$F19),P$8&gt;$G19),"",IF(AND($F19&lt;&gt;"",$F19&lt;$G19),"■","◆")))</x:f>
      </x:c>
      <x:c r="Q19" s="89" t="str">
        <x:f>IF($G19="","",IF(OR(Q$8&lt;IF($F19="",$G19,$F19),Q$8&gt;$G19),"",IF(AND($F19&lt;&gt;"",$F19&lt;$G19),"■","◆")))</x:f>
        <x:v>◆</x:v>
      </x:c>
      <x:c r="R19" s="89" t="str">
        <x:f>IF($G19="","",IF(OR(R$8&lt;IF($F19="",$G19,$F19),R$8&gt;$G19),"",IF(AND($F19&lt;&gt;"",$F19&lt;$G19),"■","◆")))</x:f>
      </x:c>
      <x:c r="S19" s="89" t="str">
        <x:f>IF($G19="","",IF(OR(S$8&lt;IF($F19="",$G19,$F19),S$8&gt;$G19),"",IF(AND($F19&lt;&gt;"",$F19&lt;$G19),"■","◆")))</x:f>
      </x:c>
      <x:c r="T19" s="89" t="str">
        <x:f>IF($G19="","",IF(OR(T$8&lt;IF($F19="",$G19,$F19),T$8&gt;$G19),"",IF(AND($F19&lt;&gt;"",$F19&lt;$G19),"■","◆")))</x:f>
      </x:c>
      <x:c r="U19" s="96" t="str">
        <x:f>IF($G19="","",IF(OR(U$8&lt;IF($F19="",$G19,$F19),U$8&gt;$G19),"",IF(AND($F19&lt;&gt;"",$F19&lt;$G19),"■","◆")))</x:f>
      </x:c>
      <x:c r="V19" s="96" t="str">
        <x:f>IF($G19="","",IF(OR(V$8&lt;IF($F19="",$G19,$F19),V$8&gt;$G19),"",IF(AND($F19&lt;&gt;"",$F19&lt;$G19),"■","◆")))</x:f>
      </x:c>
      <x:c r="W19" s="89" t="str">
        <x:f>IF($G19="","",IF(OR(W$8&lt;IF($F19="",$G19,$F19),W$8&gt;$G19),"",IF(AND($F19&lt;&gt;"",$F19&lt;$G19),"■","◆")))</x:f>
      </x:c>
      <x:c r="X19" s="89" t="str">
        <x:f>IF($G19="","",IF(OR(X$8&lt;IF($F19="",$G19,$F19),X$8&gt;$G19),"",IF(AND($F19&lt;&gt;"",$F19&lt;$G19),"■","◆")))</x:f>
      </x:c>
      <x:c r="Y19" s="89" t="str">
        <x:f>IF($G19="","",IF(OR(Y$8&lt;IF($F19="",$G19,$F19),Y$8&gt;$G19),"",IF(AND($F19&lt;&gt;"",$F19&lt;$G19),"■","◆")))</x:f>
      </x:c>
      <x:c r="Z19" s="89" t="str">
        <x:f>IF($G19="","",IF(OR(Z$8&lt;IF($F19="",$G19,$F19),Z$8&gt;$G19),"",IF(AND($F19&lt;&gt;"",$F19&lt;$G19),"■","◆")))</x:f>
      </x:c>
      <x:c r="AA19" s="89" t="str">
        <x:f>IF($G19="","",IF(OR(AA$8&lt;IF($F19="",$G19,$F19),AA$8&gt;$G19),"",IF(AND($F19&lt;&gt;"",$F19&lt;$G19),"■","◆")))</x:f>
      </x:c>
      <x:c r="AB19" s="96" t="str">
        <x:f>IF($G19="","",IF(OR(AB$8&lt;IF($F19="",$G19,$F19),AB$8&gt;$G19),"",IF(AND($F19&lt;&gt;"",$F19&lt;$G19),"■","◆")))</x:f>
      </x:c>
      <x:c r="AC19" s="96" t="str">
        <x:f>IF($G19="","",IF(OR(AC$8&lt;IF($F19="",$G19,$F19),AC$8&gt;$G19),"",IF(AND($F19&lt;&gt;"",$F19&lt;$G19),"■","◆")))</x:f>
      </x:c>
      <x:c r="AD19" s="89" t="str">
        <x:f>IF($G19="","",IF(OR(AD$8&lt;IF($F19="",$G19,$F19),AD$8&gt;$G19),"",IF(AND($F19&lt;&gt;"",$F19&lt;$G19),"■","◆")))</x:f>
      </x:c>
      <x:c r="AE19" s="89" t="str">
        <x:f>IF($G19="","",IF(OR(AE$8&lt;IF($F19="",$G19,$F19),AE$8&gt;$G19),"",IF(AND($F19&lt;&gt;"",$F19&lt;$G19),"■","◆")))</x:f>
      </x:c>
      <x:c r="AF19" s="89" t="str">
        <x:f>IF($G19="","",IF(OR(AF$8&lt;IF($F19="",$G19,$F19),AF$8&gt;$G19),"",IF(AND($F19&lt;&gt;"",$F19&lt;$G19),"■","◆")))</x:f>
      </x:c>
      <x:c r="AG19" s="89" t="str">
        <x:f>IF($G19="","",IF(OR(AG$8&lt;IF($F19="",$G19,$F19),AG$8&gt;$G19),"",IF(AND($F19&lt;&gt;"",$F19&lt;$G19),"■","◆")))</x:f>
      </x:c>
      <x:c r="AH19" s="89" t="str">
        <x:f>IF($G19="","",IF(OR(AH$8&lt;IF($F19="",$G19,$F19),AH$8&gt;$G19),"",IF(AND($F19&lt;&gt;"",$F19&lt;$G19),"■","◆")))</x:f>
      </x:c>
      <x:c r="AI19" s="96" t="str">
        <x:f>IF($G19="","",IF(OR(AI$8&lt;IF($F19="",$G19,$F19),AI$8&gt;$G19),"",IF(AND($F19&lt;&gt;"",$F19&lt;$G19),"■","◆")))</x:f>
      </x:c>
      <x:c r="AJ19" s="96" t="str">
        <x:f>IF($G19="","",IF(OR(AJ$8&lt;IF($F19="",$G19,$F19),AJ$8&gt;$G19),"",IF(AND($F19&lt;&gt;"",$F19&lt;$G19),"■","◆")))</x:f>
      </x:c>
      <x:c r="AK19" s="89" t="str">
        <x:f>IF($G19="","",IF(OR(AK$8&lt;IF($F19="",$G19,$F19),AK$8&gt;$G19),"",IF(AND($F19&lt;&gt;"",$F19&lt;$G19),"■","◆")))</x:f>
      </x:c>
      <x:c r="AL19" s="89" t="str">
        <x:f>IF($G19="","",IF(OR(AL$8&lt;IF($F19="",$G19,$F19),AL$8&gt;$G19),"",IF(AND($F19&lt;&gt;"",$F19&lt;$G19),"■","◆")))</x:f>
      </x:c>
      <x:c r="AM19" s="89" t="str">
        <x:f>IF($G19="","",IF(OR(AM$8&lt;IF($F19="",$G19,$F19),AM$8&gt;$G19),"",IF(AND($F19&lt;&gt;"",$F19&lt;$G19),"■","◆")))</x:f>
      </x:c>
      <x:c r="AN19" s="89" t="str">
        <x:f>IF($G19="","",IF(OR(AN$8&lt;IF($F19="",$G19,$F19),AN$8&gt;$G19),"",IF(AND($F19&lt;&gt;"",$F19&lt;$G19),"■","◆")))</x:f>
      </x:c>
      <x:c r="AO19" s="90" t="str">
        <x:f>IF($G19="","",IF(OR(AO$8&lt;IF($F19="",$G19,$F19),AO$8&gt;$G19),"",IF(AND($F19&lt;&gt;"",$F19&lt;$G19),"■","◆")))</x:f>
      </x:c>
    </x:row>
    <x:row r="20" ht="28.5" customHeight="1">
      <x:c r="A20" s="58" t="str">
        <x:v>A12</x:v>
      </x:c>
      <x:c r="B20" s="58" t="str">
        <x:v>測試</x:v>
      </x:c>
      <x:c r="C20" s="58" t="str">
        <x:v>任務</x:v>
      </x:c>
      <x:c r="D20" s="53" t="str">
        <x:v>在測試邀請信註明機房維護影響</x:v>
      </x:c>
      <x:c r="E20" s="62" t="str">
        <x:v>怡君</x:v>
      </x:c>
      <x:c r="F20" s="63"/>
      <x:c r="G20" s="63"/>
      <x:c r="H20" s="62" t="str">
        <x:v>待確認</x:v>
      </x:c>
      <x:c r="I20" s="53" t="str">
        <x:v>2026/08/13 下午可能中斷約兩小時；邀請信發送日未提供。</x:v>
      </x:c>
      <x:c r="J20" s="88" t="str">
        <x:f>IF($G20="","",IF(OR(J$8&lt;IF($F20="",$G20,$F20),J$8&gt;$G20),"",IF(AND($F20&lt;&gt;"",$F20&lt;$G20),"■","◆")))</x:f>
      </x:c>
      <x:c r="K20" s="89" t="str">
        <x:f>IF($G20="","",IF(OR(K$8&lt;IF($F20="",$G20,$F20),K$8&gt;$G20),"",IF(AND($F20&lt;&gt;"",$F20&lt;$G20),"■","◆")))</x:f>
      </x:c>
      <x:c r="L20" s="89" t="str">
        <x:f>IF($G20="","",IF(OR(L$8&lt;IF($F20="",$G20,$F20),L$8&gt;$G20),"",IF(AND($F20&lt;&gt;"",$F20&lt;$G20),"■","◆")))</x:f>
      </x:c>
      <x:c r="M20" s="89" t="str">
        <x:f>IF($G20="","",IF(OR(M$8&lt;IF($F20="",$G20,$F20),M$8&gt;$G20),"",IF(AND($F20&lt;&gt;"",$F20&lt;$G20),"■","◆")))</x:f>
      </x:c>
      <x:c r="N20" s="96" t="str">
        <x:f>IF($G20="","",IF(OR(N$8&lt;IF($F20="",$G20,$F20),N$8&gt;$G20),"",IF(AND($F20&lt;&gt;"",$F20&lt;$G20),"■","◆")))</x:f>
      </x:c>
      <x:c r="O20" s="96" t="str">
        <x:f>IF($G20="","",IF(OR(O$8&lt;IF($F20="",$G20,$F20),O$8&gt;$G20),"",IF(AND($F20&lt;&gt;"",$F20&lt;$G20),"■","◆")))</x:f>
      </x:c>
      <x:c r="P20" s="89" t="str">
        <x:f>IF($G20="","",IF(OR(P$8&lt;IF($F20="",$G20,$F20),P$8&gt;$G20),"",IF(AND($F20&lt;&gt;"",$F20&lt;$G20),"■","◆")))</x:f>
      </x:c>
      <x:c r="Q20" s="89" t="str">
        <x:f>IF($G20="","",IF(OR(Q$8&lt;IF($F20="",$G20,$F20),Q$8&gt;$G20),"",IF(AND($F20&lt;&gt;"",$F20&lt;$G20),"■","◆")))</x:f>
      </x:c>
      <x:c r="R20" s="89" t="str">
        <x:f>IF($G20="","",IF(OR(R$8&lt;IF($F20="",$G20,$F20),R$8&gt;$G20),"",IF(AND($F20&lt;&gt;"",$F20&lt;$G20),"■","◆")))</x:f>
      </x:c>
      <x:c r="S20" s="89" t="str">
        <x:f>IF($G20="","",IF(OR(S$8&lt;IF($F20="",$G20,$F20),S$8&gt;$G20),"",IF(AND($F20&lt;&gt;"",$F20&lt;$G20),"■","◆")))</x:f>
      </x:c>
      <x:c r="T20" s="89" t="str">
        <x:f>IF($G20="","",IF(OR(T$8&lt;IF($F20="",$G20,$F20),T$8&gt;$G20),"",IF(AND($F20&lt;&gt;"",$F20&lt;$G20),"■","◆")))</x:f>
      </x:c>
      <x:c r="U20" s="96" t="str">
        <x:f>IF($G20="","",IF(OR(U$8&lt;IF($F20="",$G20,$F20),U$8&gt;$G20),"",IF(AND($F20&lt;&gt;"",$F20&lt;$G20),"■","◆")))</x:f>
      </x:c>
      <x:c r="V20" s="96" t="str">
        <x:f>IF($G20="","",IF(OR(V$8&lt;IF($F20="",$G20,$F20),V$8&gt;$G20),"",IF(AND($F20&lt;&gt;"",$F20&lt;$G20),"■","◆")))</x:f>
      </x:c>
      <x:c r="W20" s="89" t="str">
        <x:f>IF($G20="","",IF(OR(W$8&lt;IF($F20="",$G20,$F20),W$8&gt;$G20),"",IF(AND($F20&lt;&gt;"",$F20&lt;$G20),"■","◆")))</x:f>
      </x:c>
      <x:c r="X20" s="89" t="str">
        <x:f>IF($G20="","",IF(OR(X$8&lt;IF($F20="",$G20,$F20),X$8&gt;$G20),"",IF(AND($F20&lt;&gt;"",$F20&lt;$G20),"■","◆")))</x:f>
      </x:c>
      <x:c r="Y20" s="89" t="str">
        <x:f>IF($G20="","",IF(OR(Y$8&lt;IF($F20="",$G20,$F20),Y$8&gt;$G20),"",IF(AND($F20&lt;&gt;"",$F20&lt;$G20),"■","◆")))</x:f>
      </x:c>
      <x:c r="Z20" s="89" t="str">
        <x:f>IF($G20="","",IF(OR(Z$8&lt;IF($F20="",$G20,$F20),Z$8&gt;$G20),"",IF(AND($F20&lt;&gt;"",$F20&lt;$G20),"■","◆")))</x:f>
      </x:c>
      <x:c r="AA20" s="89" t="str">
        <x:f>IF($G20="","",IF(OR(AA$8&lt;IF($F20="",$G20,$F20),AA$8&gt;$G20),"",IF(AND($F20&lt;&gt;"",$F20&lt;$G20),"■","◆")))</x:f>
      </x:c>
      <x:c r="AB20" s="96" t="str">
        <x:f>IF($G20="","",IF(OR(AB$8&lt;IF($F20="",$G20,$F20),AB$8&gt;$G20),"",IF(AND($F20&lt;&gt;"",$F20&lt;$G20),"■","◆")))</x:f>
      </x:c>
      <x:c r="AC20" s="96" t="str">
        <x:f>IF($G20="","",IF(OR(AC$8&lt;IF($F20="",$G20,$F20),AC$8&gt;$G20),"",IF(AND($F20&lt;&gt;"",$F20&lt;$G20),"■","◆")))</x:f>
      </x:c>
      <x:c r="AD20" s="89" t="str">
        <x:f>IF($G20="","",IF(OR(AD$8&lt;IF($F20="",$G20,$F20),AD$8&gt;$G20),"",IF(AND($F20&lt;&gt;"",$F20&lt;$G20),"■","◆")))</x:f>
      </x:c>
      <x:c r="AE20" s="89" t="str">
        <x:f>IF($G20="","",IF(OR(AE$8&lt;IF($F20="",$G20,$F20),AE$8&gt;$G20),"",IF(AND($F20&lt;&gt;"",$F20&lt;$G20),"■","◆")))</x:f>
      </x:c>
      <x:c r="AF20" s="89" t="str">
        <x:f>IF($G20="","",IF(OR(AF$8&lt;IF($F20="",$G20,$F20),AF$8&gt;$G20),"",IF(AND($F20&lt;&gt;"",$F20&lt;$G20),"■","◆")))</x:f>
      </x:c>
      <x:c r="AG20" s="89" t="str">
        <x:f>IF($G20="","",IF(OR(AG$8&lt;IF($F20="",$G20,$F20),AG$8&gt;$G20),"",IF(AND($F20&lt;&gt;"",$F20&lt;$G20),"■","◆")))</x:f>
      </x:c>
      <x:c r="AH20" s="89" t="str">
        <x:f>IF($G20="","",IF(OR(AH$8&lt;IF($F20="",$G20,$F20),AH$8&gt;$G20),"",IF(AND($F20&lt;&gt;"",$F20&lt;$G20),"■","◆")))</x:f>
      </x:c>
      <x:c r="AI20" s="96" t="str">
        <x:f>IF($G20="","",IF(OR(AI$8&lt;IF($F20="",$G20,$F20),AI$8&gt;$G20),"",IF(AND($F20&lt;&gt;"",$F20&lt;$G20),"■","◆")))</x:f>
      </x:c>
      <x:c r="AJ20" s="96" t="str">
        <x:f>IF($G20="","",IF(OR(AJ$8&lt;IF($F20="",$G20,$F20),AJ$8&gt;$G20),"",IF(AND($F20&lt;&gt;"",$F20&lt;$G20),"■","◆")))</x:f>
      </x:c>
      <x:c r="AK20" s="89" t="str">
        <x:f>IF($G20="","",IF(OR(AK$8&lt;IF($F20="",$G20,$F20),AK$8&gt;$G20),"",IF(AND($F20&lt;&gt;"",$F20&lt;$G20),"■","◆")))</x:f>
      </x:c>
      <x:c r="AL20" s="89" t="str">
        <x:f>IF($G20="","",IF(OR(AL$8&lt;IF($F20="",$G20,$F20),AL$8&gt;$G20),"",IF(AND($F20&lt;&gt;"",$F20&lt;$G20),"■","◆")))</x:f>
      </x:c>
      <x:c r="AM20" s="89" t="str">
        <x:f>IF($G20="","",IF(OR(AM$8&lt;IF($F20="",$G20,$F20),AM$8&gt;$G20),"",IF(AND($F20&lt;&gt;"",$F20&lt;$G20),"■","◆")))</x:f>
      </x:c>
      <x:c r="AN20" s="89" t="str">
        <x:f>IF($G20="","",IF(OR(AN$8&lt;IF($F20="",$G20,$F20),AN$8&gt;$G20),"",IF(AND($F20&lt;&gt;"",$F20&lt;$G20),"■","◆")))</x:f>
      </x:c>
      <x:c r="AO20" s="90" t="str">
        <x:f>IF($G20="","",IF(OR(AO$8&lt;IF($F20="",$G20,$F20),AO$8&gt;$G20),"",IF(AND($F20&lt;&gt;"",$F20&lt;$G20),"■","◆")))</x:f>
      </x:c>
    </x:row>
    <x:row r="21" ht="28.5" customHeight="1">
      <x:c r="A21" s="58" t="str">
        <x:v>A13</x:v>
      </x:c>
      <x:c r="B21" s="58" t="str">
        <x:v>工程／測試</x:v>
      </x:c>
      <x:c r="C21" s="58" t="str">
        <x:v>任務</x:v>
      </x:c>
      <x:c r="D21" s="53" t="str">
        <x:v>修復所有 P0、P1 問題</x:v>
      </x:c>
      <x:c r="E21" s="62" t="str">
        <x:v>待確認</x:v>
      </x:c>
      <x:c r="F21" s="63"/>
      <x:c r="G21" s="63" t="n">
        <x:v>46255</x:v>
      </x:c>
      <x:c r="H21" s="62" t="str">
        <x:v>待確認</x:v>
      </x:c>
      <x:c r="I21" s="53" t="str">
        <x:v>原始資料僅指定期限，未指定負責人。</x:v>
      </x:c>
      <x:c r="J21" s="88" t="str">
        <x:f>IF($G21="","",IF(OR(J$8&lt;IF($F21="",$G21,$F21),J$8&gt;$G21),"",IF(AND($F21&lt;&gt;"",$F21&lt;$G21),"■","◆")))</x:f>
      </x:c>
      <x:c r="K21" s="89" t="str">
        <x:f>IF($G21="","",IF(OR(K$8&lt;IF($F21="",$G21,$F21),K$8&gt;$G21),"",IF(AND($F21&lt;&gt;"",$F21&lt;$G21),"■","◆")))</x:f>
      </x:c>
      <x:c r="L21" s="89" t="str">
        <x:f>IF($G21="","",IF(OR(L$8&lt;IF($F21="",$G21,$F21),L$8&gt;$G21),"",IF(AND($F21&lt;&gt;"",$F21&lt;$G21),"■","◆")))</x:f>
      </x:c>
      <x:c r="M21" s="89" t="str">
        <x:f>IF($G21="","",IF(OR(M$8&lt;IF($F21="",$G21,$F21),M$8&gt;$G21),"",IF(AND($F21&lt;&gt;"",$F21&lt;$G21),"■","◆")))</x:f>
      </x:c>
      <x:c r="N21" s="96" t="str">
        <x:f>IF($G21="","",IF(OR(N$8&lt;IF($F21="",$G21,$F21),N$8&gt;$G21),"",IF(AND($F21&lt;&gt;"",$F21&lt;$G21),"■","◆")))</x:f>
      </x:c>
      <x:c r="O21" s="96" t="str">
        <x:f>IF($G21="","",IF(OR(O$8&lt;IF($F21="",$G21,$F21),O$8&gt;$G21),"",IF(AND($F21&lt;&gt;"",$F21&lt;$G21),"■","◆")))</x:f>
      </x:c>
      <x:c r="P21" s="89" t="str">
        <x:f>IF($G21="","",IF(OR(P$8&lt;IF($F21="",$G21,$F21),P$8&gt;$G21),"",IF(AND($F21&lt;&gt;"",$F21&lt;$G21),"■","◆")))</x:f>
      </x:c>
      <x:c r="Q21" s="89" t="str">
        <x:f>IF($G21="","",IF(OR(Q$8&lt;IF($F21="",$G21,$F21),Q$8&gt;$G21),"",IF(AND($F21&lt;&gt;"",$F21&lt;$G21),"■","◆")))</x:f>
      </x:c>
      <x:c r="R21" s="89" t="str">
        <x:f>IF($G21="","",IF(OR(R$8&lt;IF($F21="",$G21,$F21),R$8&gt;$G21),"",IF(AND($F21&lt;&gt;"",$F21&lt;$G21),"■","◆")))</x:f>
      </x:c>
      <x:c r="S21" s="89" t="str">
        <x:f>IF($G21="","",IF(OR(S$8&lt;IF($F21="",$G21,$F21),S$8&gt;$G21),"",IF(AND($F21&lt;&gt;"",$F21&lt;$G21),"■","◆")))</x:f>
      </x:c>
      <x:c r="T21" s="89" t="str">
        <x:f>IF($G21="","",IF(OR(T$8&lt;IF($F21="",$G21,$F21),T$8&gt;$G21),"",IF(AND($F21&lt;&gt;"",$F21&lt;$G21),"■","◆")))</x:f>
      </x:c>
      <x:c r="U21" s="96" t="str">
        <x:f>IF($G21="","",IF(OR(U$8&lt;IF($F21="",$G21,$F21),U$8&gt;$G21),"",IF(AND($F21&lt;&gt;"",$F21&lt;$G21),"■","◆")))</x:f>
      </x:c>
      <x:c r="V21" s="96" t="str">
        <x:f>IF($G21="","",IF(OR(V$8&lt;IF($F21="",$G21,$F21),V$8&gt;$G21),"",IF(AND($F21&lt;&gt;"",$F21&lt;$G21),"■","◆")))</x:f>
      </x:c>
      <x:c r="W21" s="89" t="str">
        <x:f>IF($G21="","",IF(OR(W$8&lt;IF($F21="",$G21,$F21),W$8&gt;$G21),"",IF(AND($F21&lt;&gt;"",$F21&lt;$G21),"■","◆")))</x:f>
      </x:c>
      <x:c r="X21" s="89" t="str">
        <x:f>IF($G21="","",IF(OR(X$8&lt;IF($F21="",$G21,$F21),X$8&gt;$G21),"",IF(AND($F21&lt;&gt;"",$F21&lt;$G21),"■","◆")))</x:f>
      </x:c>
      <x:c r="Y21" s="89" t="str">
        <x:f>IF($G21="","",IF(OR(Y$8&lt;IF($F21="",$G21,$F21),Y$8&gt;$G21),"",IF(AND($F21&lt;&gt;"",$F21&lt;$G21),"■","◆")))</x:f>
      </x:c>
      <x:c r="Z21" s="89" t="str">
        <x:f>IF($G21="","",IF(OR(Z$8&lt;IF($F21="",$G21,$F21),Z$8&gt;$G21),"",IF(AND($F21&lt;&gt;"",$F21&lt;$G21),"■","◆")))</x:f>
      </x:c>
      <x:c r="AA21" s="89" t="str">
        <x:f>IF($G21="","",IF(OR(AA$8&lt;IF($F21="",$G21,$F21),AA$8&gt;$G21),"",IF(AND($F21&lt;&gt;"",$F21&lt;$G21),"■","◆")))</x:f>
      </x:c>
      <x:c r="AB21" s="96" t="str">
        <x:f>IF($G21="","",IF(OR(AB$8&lt;IF($F21="",$G21,$F21),AB$8&gt;$G21),"",IF(AND($F21&lt;&gt;"",$F21&lt;$G21),"■","◆")))</x:f>
      </x:c>
      <x:c r="AC21" s="96" t="str">
        <x:f>IF($G21="","",IF(OR(AC$8&lt;IF($F21="",$G21,$F21),AC$8&gt;$G21),"",IF(AND($F21&lt;&gt;"",$F21&lt;$G21),"■","◆")))</x:f>
      </x:c>
      <x:c r="AD21" s="89" t="str">
        <x:f>IF($G21="","",IF(OR(AD$8&lt;IF($F21="",$G21,$F21),AD$8&gt;$G21),"",IF(AND($F21&lt;&gt;"",$F21&lt;$G21),"■","◆")))</x:f>
      </x:c>
      <x:c r="AE21" s="89" t="str">
        <x:f>IF($G21="","",IF(OR(AE$8&lt;IF($F21="",$G21,$F21),AE$8&gt;$G21),"",IF(AND($F21&lt;&gt;"",$F21&lt;$G21),"■","◆")))</x:f>
      </x:c>
      <x:c r="AF21" s="89" t="str">
        <x:f>IF($G21="","",IF(OR(AF$8&lt;IF($F21="",$G21,$F21),AF$8&gt;$G21),"",IF(AND($F21&lt;&gt;"",$F21&lt;$G21),"■","◆")))</x:f>
      </x:c>
      <x:c r="AG21" s="89" t="str">
        <x:f>IF($G21="","",IF(OR(AG$8&lt;IF($F21="",$G21,$F21),AG$8&gt;$G21),"",IF(AND($F21&lt;&gt;"",$F21&lt;$G21),"■","◆")))</x:f>
      </x:c>
      <x:c r="AH21" s="89" t="str">
        <x:f>IF($G21="","",IF(OR(AH$8&lt;IF($F21="",$G21,$F21),AH$8&gt;$G21),"",IF(AND($F21&lt;&gt;"",$F21&lt;$G21),"■","◆")))</x:f>
        <x:v>◆</x:v>
      </x:c>
      <x:c r="AI21" s="96" t="str">
        <x:f>IF($G21="","",IF(OR(AI$8&lt;IF($F21="",$G21,$F21),AI$8&gt;$G21),"",IF(AND($F21&lt;&gt;"",$F21&lt;$G21),"■","◆")))</x:f>
      </x:c>
      <x:c r="AJ21" s="96" t="str">
        <x:f>IF($G21="","",IF(OR(AJ$8&lt;IF($F21="",$G21,$F21),AJ$8&gt;$G21),"",IF(AND($F21&lt;&gt;"",$F21&lt;$G21),"■","◆")))</x:f>
      </x:c>
      <x:c r="AK21" s="89" t="str">
        <x:f>IF($G21="","",IF(OR(AK$8&lt;IF($F21="",$G21,$F21),AK$8&gt;$G21),"",IF(AND($F21&lt;&gt;"",$F21&lt;$G21),"■","◆")))</x:f>
      </x:c>
      <x:c r="AL21" s="89" t="str">
        <x:f>IF($G21="","",IF(OR(AL$8&lt;IF($F21="",$G21,$F21),AL$8&gt;$G21),"",IF(AND($F21&lt;&gt;"",$F21&lt;$G21),"■","◆")))</x:f>
      </x:c>
      <x:c r="AM21" s="89" t="str">
        <x:f>IF($G21="","",IF(OR(AM$8&lt;IF($F21="",$G21,$F21),AM$8&gt;$G21),"",IF(AND($F21&lt;&gt;"",$F21&lt;$G21),"■","◆")))</x:f>
      </x:c>
      <x:c r="AN21" s="89" t="str">
        <x:f>IF($G21="","",IF(OR(AN$8&lt;IF($F21="",$G21,$F21),AN$8&gt;$G21),"",IF(AND($F21&lt;&gt;"",$F21&lt;$G21),"■","◆")))</x:f>
      </x:c>
      <x:c r="AO21" s="90" t="str">
        <x:f>IF($G21="","",IF(OR(AO$8&lt;IF($F21="",$G21,$F21),AO$8&gt;$G21),"",IF(AND($F21&lt;&gt;"",$F21&lt;$G21),"■","◆")))</x:f>
      </x:c>
    </x:row>
    <x:row r="22" ht="28.5" customHeight="1">
      <x:c r="A22" s="58" t="str">
        <x:v>A14</x:v>
      </x:c>
      <x:c r="B22" s="58" t="str">
        <x:v>資安</x:v>
      </x:c>
      <x:c r="C22" s="58" t="str">
        <x:v>任務</x:v>
      </x:c>
      <x:c r="D22" s="53" t="str">
        <x:v>提出弱點掃描申請單</x:v>
      </x:c>
      <x:c r="E22" s="62" t="str">
        <x:v>志豪</x:v>
      </x:c>
      <x:c r="F22" s="63"/>
      <x:c r="G22" s="63" t="n">
        <x:v>46231</x:v>
      </x:c>
      <x:c r="H22" s="62" t="str">
        <x:v>原始資料未提及</x:v>
      </x:c>
      <x:c r="I22" s="53" t="str">
        <x:v>希望掃描排在 2026/08/06，最晚不得晚於 08/12。</x:v>
      </x:c>
      <x:c r="J22" s="88" t="str">
        <x:f>IF($G22="","",IF(OR(J$8&lt;IF($F22="",$G22,$F22),J$8&gt;$G22),"",IF(AND($F22&lt;&gt;"",$F22&lt;$G22),"■","◆")))</x:f>
        <x:v>◆</x:v>
      </x:c>
      <x:c r="K22" s="89" t="str">
        <x:f>IF($G22="","",IF(OR(K$8&lt;IF($F22="",$G22,$F22),K$8&gt;$G22),"",IF(AND($F22&lt;&gt;"",$F22&lt;$G22),"■","◆")))</x:f>
      </x:c>
      <x:c r="L22" s="89" t="str">
        <x:f>IF($G22="","",IF(OR(L$8&lt;IF($F22="",$G22,$F22),L$8&gt;$G22),"",IF(AND($F22&lt;&gt;"",$F22&lt;$G22),"■","◆")))</x:f>
      </x:c>
      <x:c r="M22" s="89" t="str">
        <x:f>IF($G22="","",IF(OR(M$8&lt;IF($F22="",$G22,$F22),M$8&gt;$G22),"",IF(AND($F22&lt;&gt;"",$F22&lt;$G22),"■","◆")))</x:f>
      </x:c>
      <x:c r="N22" s="96" t="str">
        <x:f>IF($G22="","",IF(OR(N$8&lt;IF($F22="",$G22,$F22),N$8&gt;$G22),"",IF(AND($F22&lt;&gt;"",$F22&lt;$G22),"■","◆")))</x:f>
      </x:c>
      <x:c r="O22" s="96" t="str">
        <x:f>IF($G22="","",IF(OR(O$8&lt;IF($F22="",$G22,$F22),O$8&gt;$G22),"",IF(AND($F22&lt;&gt;"",$F22&lt;$G22),"■","◆")))</x:f>
      </x:c>
      <x:c r="P22" s="89" t="str">
        <x:f>IF($G22="","",IF(OR(P$8&lt;IF($F22="",$G22,$F22),P$8&gt;$G22),"",IF(AND($F22&lt;&gt;"",$F22&lt;$G22),"■","◆")))</x:f>
      </x:c>
      <x:c r="Q22" s="89" t="str">
        <x:f>IF($G22="","",IF(OR(Q$8&lt;IF($F22="",$G22,$F22),Q$8&gt;$G22),"",IF(AND($F22&lt;&gt;"",$F22&lt;$G22),"■","◆")))</x:f>
      </x:c>
      <x:c r="R22" s="89" t="str">
        <x:f>IF($G22="","",IF(OR(R$8&lt;IF($F22="",$G22,$F22),R$8&gt;$G22),"",IF(AND($F22&lt;&gt;"",$F22&lt;$G22),"■","◆")))</x:f>
      </x:c>
      <x:c r="S22" s="89" t="str">
        <x:f>IF($G22="","",IF(OR(S$8&lt;IF($F22="",$G22,$F22),S$8&gt;$G22),"",IF(AND($F22&lt;&gt;"",$F22&lt;$G22),"■","◆")))</x:f>
      </x:c>
      <x:c r="T22" s="89" t="str">
        <x:f>IF($G22="","",IF(OR(T$8&lt;IF($F22="",$G22,$F22),T$8&gt;$G22),"",IF(AND($F22&lt;&gt;"",$F22&lt;$G22),"■","◆")))</x:f>
      </x:c>
      <x:c r="U22" s="96" t="str">
        <x:f>IF($G22="","",IF(OR(U$8&lt;IF($F22="",$G22,$F22),U$8&gt;$G22),"",IF(AND($F22&lt;&gt;"",$F22&lt;$G22),"■","◆")))</x:f>
      </x:c>
      <x:c r="V22" s="96" t="str">
        <x:f>IF($G22="","",IF(OR(V$8&lt;IF($F22="",$G22,$F22),V$8&gt;$G22),"",IF(AND($F22&lt;&gt;"",$F22&lt;$G22),"■","◆")))</x:f>
      </x:c>
      <x:c r="W22" s="89" t="str">
        <x:f>IF($G22="","",IF(OR(W$8&lt;IF($F22="",$G22,$F22),W$8&gt;$G22),"",IF(AND($F22&lt;&gt;"",$F22&lt;$G22),"■","◆")))</x:f>
      </x:c>
      <x:c r="X22" s="89" t="str">
        <x:f>IF($G22="","",IF(OR(X$8&lt;IF($F22="",$G22,$F22),X$8&gt;$G22),"",IF(AND($F22&lt;&gt;"",$F22&lt;$G22),"■","◆")))</x:f>
      </x:c>
      <x:c r="Y22" s="89" t="str">
        <x:f>IF($G22="","",IF(OR(Y$8&lt;IF($F22="",$G22,$F22),Y$8&gt;$G22),"",IF(AND($F22&lt;&gt;"",$F22&lt;$G22),"■","◆")))</x:f>
      </x:c>
      <x:c r="Z22" s="89" t="str">
        <x:f>IF($G22="","",IF(OR(Z$8&lt;IF($F22="",$G22,$F22),Z$8&gt;$G22),"",IF(AND($F22&lt;&gt;"",$F22&lt;$G22),"■","◆")))</x:f>
      </x:c>
      <x:c r="AA22" s="89" t="str">
        <x:f>IF($G22="","",IF(OR(AA$8&lt;IF($F22="",$G22,$F22),AA$8&gt;$G22),"",IF(AND($F22&lt;&gt;"",$F22&lt;$G22),"■","◆")))</x:f>
      </x:c>
      <x:c r="AB22" s="96" t="str">
        <x:f>IF($G22="","",IF(OR(AB$8&lt;IF($F22="",$G22,$F22),AB$8&gt;$G22),"",IF(AND($F22&lt;&gt;"",$F22&lt;$G22),"■","◆")))</x:f>
      </x:c>
      <x:c r="AC22" s="96" t="str">
        <x:f>IF($G22="","",IF(OR(AC$8&lt;IF($F22="",$G22,$F22),AC$8&gt;$G22),"",IF(AND($F22&lt;&gt;"",$F22&lt;$G22),"■","◆")))</x:f>
      </x:c>
      <x:c r="AD22" s="89" t="str">
        <x:f>IF($G22="","",IF(OR(AD$8&lt;IF($F22="",$G22,$F22),AD$8&gt;$G22),"",IF(AND($F22&lt;&gt;"",$F22&lt;$G22),"■","◆")))</x:f>
      </x:c>
      <x:c r="AE22" s="89" t="str">
        <x:f>IF($G22="","",IF(OR(AE$8&lt;IF($F22="",$G22,$F22),AE$8&gt;$G22),"",IF(AND($F22&lt;&gt;"",$F22&lt;$G22),"■","◆")))</x:f>
      </x:c>
      <x:c r="AF22" s="89" t="str">
        <x:f>IF($G22="","",IF(OR(AF$8&lt;IF($F22="",$G22,$F22),AF$8&gt;$G22),"",IF(AND($F22&lt;&gt;"",$F22&lt;$G22),"■","◆")))</x:f>
      </x:c>
      <x:c r="AG22" s="89" t="str">
        <x:f>IF($G22="","",IF(OR(AG$8&lt;IF($F22="",$G22,$F22),AG$8&gt;$G22),"",IF(AND($F22&lt;&gt;"",$F22&lt;$G22),"■","◆")))</x:f>
      </x:c>
      <x:c r="AH22" s="89" t="str">
        <x:f>IF($G22="","",IF(OR(AH$8&lt;IF($F22="",$G22,$F22),AH$8&gt;$G22),"",IF(AND($F22&lt;&gt;"",$F22&lt;$G22),"■","◆")))</x:f>
      </x:c>
      <x:c r="AI22" s="96" t="str">
        <x:f>IF($G22="","",IF(OR(AI$8&lt;IF($F22="",$G22,$F22),AI$8&gt;$G22),"",IF(AND($F22&lt;&gt;"",$F22&lt;$G22),"■","◆")))</x:f>
      </x:c>
      <x:c r="AJ22" s="96" t="str">
        <x:f>IF($G22="","",IF(OR(AJ$8&lt;IF($F22="",$G22,$F22),AJ$8&gt;$G22),"",IF(AND($F22&lt;&gt;"",$F22&lt;$G22),"■","◆")))</x:f>
      </x:c>
      <x:c r="AK22" s="89" t="str">
        <x:f>IF($G22="","",IF(OR(AK$8&lt;IF($F22="",$G22,$F22),AK$8&gt;$G22),"",IF(AND($F22&lt;&gt;"",$F22&lt;$G22),"■","◆")))</x:f>
      </x:c>
      <x:c r="AL22" s="89" t="str">
        <x:f>IF($G22="","",IF(OR(AL$8&lt;IF($F22="",$G22,$F22),AL$8&gt;$G22),"",IF(AND($F22&lt;&gt;"",$F22&lt;$G22),"■","◆")))</x:f>
      </x:c>
      <x:c r="AM22" s="89" t="str">
        <x:f>IF($G22="","",IF(OR(AM$8&lt;IF($F22="",$G22,$F22),AM$8&gt;$G22),"",IF(AND($F22&lt;&gt;"",$F22&lt;$G22),"■","◆")))</x:f>
      </x:c>
      <x:c r="AN22" s="89" t="str">
        <x:f>IF($G22="","",IF(OR(AN$8&lt;IF($F22="",$G22,$F22),AN$8&gt;$G22),"",IF(AND($F22&lt;&gt;"",$F22&lt;$G22),"■","◆")))</x:f>
      </x:c>
      <x:c r="AO22" s="90" t="str">
        <x:f>IF($G22="","",IF(OR(AO$8&lt;IF($F22="",$G22,$F22),AO$8&gt;$G22),"",IF(AND($F22&lt;&gt;"",$F22&lt;$G22),"■","◆")))</x:f>
      </x:c>
    </x:row>
    <x:row r="23" ht="28.5" customHeight="1">
      <x:c r="A23" s="58" t="str">
        <x:v>A15</x:v>
      </x:c>
      <x:c r="B23" s="58" t="str">
        <x:v>法務</x:v>
      </x:c>
      <x:c r="C23" s="58" t="str">
        <x:v>任務</x:v>
      </x:c>
      <x:c r="D23" s="53" t="str">
        <x:v>寄送第三方登入資料給 Allen</x:v>
      </x:c>
      <x:c r="E23" s="62" t="str">
        <x:v>怡君</x:v>
      </x:c>
      <x:c r="F23" s="63"/>
      <x:c r="G23" s="63" t="n">
        <x:v>46232</x:v>
      </x:c>
      <x:c r="H23" s="62" t="str">
        <x:v>原始資料未提及</x:v>
      </x:c>
      <x:c r="I23" s="53" t="str">
        <x:v>供法務確認隱私權政策。</x:v>
      </x:c>
      <x:c r="J23" s="88" t="str">
        <x:f>IF($G23="","",IF(OR(J$8&lt;IF($F23="",$G23,$F23),J$8&gt;$G23),"",IF(AND($F23&lt;&gt;"",$F23&lt;$G23),"■","◆")))</x:f>
      </x:c>
      <x:c r="K23" s="89" t="str">
        <x:f>IF($G23="","",IF(OR(K$8&lt;IF($F23="",$G23,$F23),K$8&gt;$G23),"",IF(AND($F23&lt;&gt;"",$F23&lt;$G23),"■","◆")))</x:f>
        <x:v>◆</x:v>
      </x:c>
      <x:c r="L23" s="89" t="str">
        <x:f>IF($G23="","",IF(OR(L$8&lt;IF($F23="",$G23,$F23),L$8&gt;$G23),"",IF(AND($F23&lt;&gt;"",$F23&lt;$G23),"■","◆")))</x:f>
      </x:c>
      <x:c r="M23" s="89" t="str">
        <x:f>IF($G23="","",IF(OR(M$8&lt;IF($F23="",$G23,$F23),M$8&gt;$G23),"",IF(AND($F23&lt;&gt;"",$F23&lt;$G23),"■","◆")))</x:f>
      </x:c>
      <x:c r="N23" s="96" t="str">
        <x:f>IF($G23="","",IF(OR(N$8&lt;IF($F23="",$G23,$F23),N$8&gt;$G23),"",IF(AND($F23&lt;&gt;"",$F23&lt;$G23),"■","◆")))</x:f>
      </x:c>
      <x:c r="O23" s="96" t="str">
        <x:f>IF($G23="","",IF(OR(O$8&lt;IF($F23="",$G23,$F23),O$8&gt;$G23),"",IF(AND($F23&lt;&gt;"",$F23&lt;$G23),"■","◆")))</x:f>
      </x:c>
      <x:c r="P23" s="89" t="str">
        <x:f>IF($G23="","",IF(OR(P$8&lt;IF($F23="",$G23,$F23),P$8&gt;$G23),"",IF(AND($F23&lt;&gt;"",$F23&lt;$G23),"■","◆")))</x:f>
      </x:c>
      <x:c r="Q23" s="89" t="str">
        <x:f>IF($G23="","",IF(OR(Q$8&lt;IF($F23="",$G23,$F23),Q$8&gt;$G23),"",IF(AND($F23&lt;&gt;"",$F23&lt;$G23),"■","◆")))</x:f>
      </x:c>
      <x:c r="R23" s="89" t="str">
        <x:f>IF($G23="","",IF(OR(R$8&lt;IF($F23="",$G23,$F23),R$8&gt;$G23),"",IF(AND($F23&lt;&gt;"",$F23&lt;$G23),"■","◆")))</x:f>
      </x:c>
      <x:c r="S23" s="89" t="str">
        <x:f>IF($G23="","",IF(OR(S$8&lt;IF($F23="",$G23,$F23),S$8&gt;$G23),"",IF(AND($F23&lt;&gt;"",$F23&lt;$G23),"■","◆")))</x:f>
      </x:c>
      <x:c r="T23" s="89" t="str">
        <x:f>IF($G23="","",IF(OR(T$8&lt;IF($F23="",$G23,$F23),T$8&gt;$G23),"",IF(AND($F23&lt;&gt;"",$F23&lt;$G23),"■","◆")))</x:f>
      </x:c>
      <x:c r="U23" s="96" t="str">
        <x:f>IF($G23="","",IF(OR(U$8&lt;IF($F23="",$G23,$F23),U$8&gt;$G23),"",IF(AND($F23&lt;&gt;"",$F23&lt;$G23),"■","◆")))</x:f>
      </x:c>
      <x:c r="V23" s="96" t="str">
        <x:f>IF($G23="","",IF(OR(V$8&lt;IF($F23="",$G23,$F23),V$8&gt;$G23),"",IF(AND($F23&lt;&gt;"",$F23&lt;$G23),"■","◆")))</x:f>
      </x:c>
      <x:c r="W23" s="89" t="str">
        <x:f>IF($G23="","",IF(OR(W$8&lt;IF($F23="",$G23,$F23),W$8&gt;$G23),"",IF(AND($F23&lt;&gt;"",$F23&lt;$G23),"■","◆")))</x:f>
      </x:c>
      <x:c r="X23" s="89" t="str">
        <x:f>IF($G23="","",IF(OR(X$8&lt;IF($F23="",$G23,$F23),X$8&gt;$G23),"",IF(AND($F23&lt;&gt;"",$F23&lt;$G23),"■","◆")))</x:f>
      </x:c>
      <x:c r="Y23" s="89" t="str">
        <x:f>IF($G23="","",IF(OR(Y$8&lt;IF($F23="",$G23,$F23),Y$8&gt;$G23),"",IF(AND($F23&lt;&gt;"",$F23&lt;$G23),"■","◆")))</x:f>
      </x:c>
      <x:c r="Z23" s="89" t="str">
        <x:f>IF($G23="","",IF(OR(Z$8&lt;IF($F23="",$G23,$F23),Z$8&gt;$G23),"",IF(AND($F23&lt;&gt;"",$F23&lt;$G23),"■","◆")))</x:f>
      </x:c>
      <x:c r="AA23" s="89" t="str">
        <x:f>IF($G23="","",IF(OR(AA$8&lt;IF($F23="",$G23,$F23),AA$8&gt;$G23),"",IF(AND($F23&lt;&gt;"",$F23&lt;$G23),"■","◆")))</x:f>
      </x:c>
      <x:c r="AB23" s="96" t="str">
        <x:f>IF($G23="","",IF(OR(AB$8&lt;IF($F23="",$G23,$F23),AB$8&gt;$G23),"",IF(AND($F23&lt;&gt;"",$F23&lt;$G23),"■","◆")))</x:f>
      </x:c>
      <x:c r="AC23" s="96" t="str">
        <x:f>IF($G23="","",IF(OR(AC$8&lt;IF($F23="",$G23,$F23),AC$8&gt;$G23),"",IF(AND($F23&lt;&gt;"",$F23&lt;$G23),"■","◆")))</x:f>
      </x:c>
      <x:c r="AD23" s="89" t="str">
        <x:f>IF($G23="","",IF(OR(AD$8&lt;IF($F23="",$G23,$F23),AD$8&gt;$G23),"",IF(AND($F23&lt;&gt;"",$F23&lt;$G23),"■","◆")))</x:f>
      </x:c>
      <x:c r="AE23" s="89" t="str">
        <x:f>IF($G23="","",IF(OR(AE$8&lt;IF($F23="",$G23,$F23),AE$8&gt;$G23),"",IF(AND($F23&lt;&gt;"",$F23&lt;$G23),"■","◆")))</x:f>
      </x:c>
      <x:c r="AF23" s="89" t="str">
        <x:f>IF($G23="","",IF(OR(AF$8&lt;IF($F23="",$G23,$F23),AF$8&gt;$G23),"",IF(AND($F23&lt;&gt;"",$F23&lt;$G23),"■","◆")))</x:f>
      </x:c>
      <x:c r="AG23" s="89" t="str">
        <x:f>IF($G23="","",IF(OR(AG$8&lt;IF($F23="",$G23,$F23),AG$8&gt;$G23),"",IF(AND($F23&lt;&gt;"",$F23&lt;$G23),"■","◆")))</x:f>
      </x:c>
      <x:c r="AH23" s="89" t="str">
        <x:f>IF($G23="","",IF(OR(AH$8&lt;IF($F23="",$G23,$F23),AH$8&gt;$G23),"",IF(AND($F23&lt;&gt;"",$F23&lt;$G23),"■","◆")))</x:f>
      </x:c>
      <x:c r="AI23" s="96" t="str">
        <x:f>IF($G23="","",IF(OR(AI$8&lt;IF($F23="",$G23,$F23),AI$8&gt;$G23),"",IF(AND($F23&lt;&gt;"",$F23&lt;$G23),"■","◆")))</x:f>
      </x:c>
      <x:c r="AJ23" s="96" t="str">
        <x:f>IF($G23="","",IF(OR(AJ$8&lt;IF($F23="",$G23,$F23),AJ$8&gt;$G23),"",IF(AND($F23&lt;&gt;"",$F23&lt;$G23),"■","◆")))</x:f>
      </x:c>
      <x:c r="AK23" s="89" t="str">
        <x:f>IF($G23="","",IF(OR(AK$8&lt;IF($F23="",$G23,$F23),AK$8&gt;$G23),"",IF(AND($F23&lt;&gt;"",$F23&lt;$G23),"■","◆")))</x:f>
      </x:c>
      <x:c r="AL23" s="89" t="str">
        <x:f>IF($G23="","",IF(OR(AL$8&lt;IF($F23="",$G23,$F23),AL$8&gt;$G23),"",IF(AND($F23&lt;&gt;"",$F23&lt;$G23),"■","◆")))</x:f>
      </x:c>
      <x:c r="AM23" s="89" t="str">
        <x:f>IF($G23="","",IF(OR(AM$8&lt;IF($F23="",$G23,$F23),AM$8&gt;$G23),"",IF(AND($F23&lt;&gt;"",$F23&lt;$G23),"■","◆")))</x:f>
      </x:c>
      <x:c r="AN23" s="89" t="str">
        <x:f>IF($G23="","",IF(OR(AN$8&lt;IF($F23="",$G23,$F23),AN$8&gt;$G23),"",IF(AND($F23&lt;&gt;"",$F23&lt;$G23),"■","◆")))</x:f>
      </x:c>
      <x:c r="AO23" s="90" t="str">
        <x:f>IF($G23="","",IF(OR(AO$8&lt;IF($F23="",$G23,$F23),AO$8&gt;$G23),"",IF(AND($F23&lt;&gt;"",$F23&lt;$G23),"■","◆")))</x:f>
      </x:c>
    </x:row>
    <x:row r="24" ht="28.5" customHeight="1">
      <x:c r="A24" s="58" t="str">
        <x:v>A16</x:v>
      </x:c>
      <x:c r="B24" s="58" t="str">
        <x:v>法務</x:v>
      </x:c>
      <x:c r="C24" s="58" t="str">
        <x:v>任務</x:v>
      </x:c>
      <x:c r="D24" s="53" t="str">
        <x:v>回覆隱私權政策是否須加入第三方登入說明</x:v>
      </x:c>
      <x:c r="E24" s="62" t="str">
        <x:v>Allen</x:v>
      </x:c>
      <x:c r="F24" s="63"/>
      <x:c r="G24" s="63" t="n">
        <x:v>46237</x:v>
      </x:c>
      <x:c r="H24" s="62" t="str">
        <x:v>原始資料未提及</x:v>
      </x:c>
      <x:c r="I24" s="53" t="str">
        <x:v>Allen 未出席本次會議。</x:v>
      </x:c>
      <x:c r="J24" s="88" t="str">
        <x:f>IF($G24="","",IF(OR(J$8&lt;IF($F24="",$G24,$F24),J$8&gt;$G24),"",IF(AND($F24&lt;&gt;"",$F24&lt;$G24),"■","◆")))</x:f>
      </x:c>
      <x:c r="K24" s="89" t="str">
        <x:f>IF($G24="","",IF(OR(K$8&lt;IF($F24="",$G24,$F24),K$8&gt;$G24),"",IF(AND($F24&lt;&gt;"",$F24&lt;$G24),"■","◆")))</x:f>
      </x:c>
      <x:c r="L24" s="89" t="str">
        <x:f>IF($G24="","",IF(OR(L$8&lt;IF($F24="",$G24,$F24),L$8&gt;$G24),"",IF(AND($F24&lt;&gt;"",$F24&lt;$G24),"■","◆")))</x:f>
      </x:c>
      <x:c r="M24" s="89" t="str">
        <x:f>IF($G24="","",IF(OR(M$8&lt;IF($F24="",$G24,$F24),M$8&gt;$G24),"",IF(AND($F24&lt;&gt;"",$F24&lt;$G24),"■","◆")))</x:f>
      </x:c>
      <x:c r="N24" s="96" t="str">
        <x:f>IF($G24="","",IF(OR(N$8&lt;IF($F24="",$G24,$F24),N$8&gt;$G24),"",IF(AND($F24&lt;&gt;"",$F24&lt;$G24),"■","◆")))</x:f>
      </x:c>
      <x:c r="O24" s="96" t="str">
        <x:f>IF($G24="","",IF(OR(O$8&lt;IF($F24="",$G24,$F24),O$8&gt;$G24),"",IF(AND($F24&lt;&gt;"",$F24&lt;$G24),"■","◆")))</x:f>
      </x:c>
      <x:c r="P24" s="89" t="str">
        <x:f>IF($G24="","",IF(OR(P$8&lt;IF($F24="",$G24,$F24),P$8&gt;$G24),"",IF(AND($F24&lt;&gt;"",$F24&lt;$G24),"■","◆")))</x:f>
        <x:v>◆</x:v>
      </x:c>
      <x:c r="Q24" s="89" t="str">
        <x:f>IF($G24="","",IF(OR(Q$8&lt;IF($F24="",$G24,$F24),Q$8&gt;$G24),"",IF(AND($F24&lt;&gt;"",$F24&lt;$G24),"■","◆")))</x:f>
      </x:c>
      <x:c r="R24" s="89" t="str">
        <x:f>IF($G24="","",IF(OR(R$8&lt;IF($F24="",$G24,$F24),R$8&gt;$G24),"",IF(AND($F24&lt;&gt;"",$F24&lt;$G24),"■","◆")))</x:f>
      </x:c>
      <x:c r="S24" s="89" t="str">
        <x:f>IF($G24="","",IF(OR(S$8&lt;IF($F24="",$G24,$F24),S$8&gt;$G24),"",IF(AND($F24&lt;&gt;"",$F24&lt;$G24),"■","◆")))</x:f>
      </x:c>
      <x:c r="T24" s="89" t="str">
        <x:f>IF($G24="","",IF(OR(T$8&lt;IF($F24="",$G24,$F24),T$8&gt;$G24),"",IF(AND($F24&lt;&gt;"",$F24&lt;$G24),"■","◆")))</x:f>
      </x:c>
      <x:c r="U24" s="96" t="str">
        <x:f>IF($G24="","",IF(OR(U$8&lt;IF($F24="",$G24,$F24),U$8&gt;$G24),"",IF(AND($F24&lt;&gt;"",$F24&lt;$G24),"■","◆")))</x:f>
      </x:c>
      <x:c r="V24" s="96" t="str">
        <x:f>IF($G24="","",IF(OR(V$8&lt;IF($F24="",$G24,$F24),V$8&gt;$G24),"",IF(AND($F24&lt;&gt;"",$F24&lt;$G24),"■","◆")))</x:f>
      </x:c>
      <x:c r="W24" s="89" t="str">
        <x:f>IF($G24="","",IF(OR(W$8&lt;IF($F24="",$G24,$F24),W$8&gt;$G24),"",IF(AND($F24&lt;&gt;"",$F24&lt;$G24),"■","◆")))</x:f>
      </x:c>
      <x:c r="X24" s="89" t="str">
        <x:f>IF($G24="","",IF(OR(X$8&lt;IF($F24="",$G24,$F24),X$8&gt;$G24),"",IF(AND($F24&lt;&gt;"",$F24&lt;$G24),"■","◆")))</x:f>
      </x:c>
      <x:c r="Y24" s="89" t="str">
        <x:f>IF($G24="","",IF(OR(Y$8&lt;IF($F24="",$G24,$F24),Y$8&gt;$G24),"",IF(AND($F24&lt;&gt;"",$F24&lt;$G24),"■","◆")))</x:f>
      </x:c>
      <x:c r="Z24" s="89" t="str">
        <x:f>IF($G24="","",IF(OR(Z$8&lt;IF($F24="",$G24,$F24),Z$8&gt;$G24),"",IF(AND($F24&lt;&gt;"",$F24&lt;$G24),"■","◆")))</x:f>
      </x:c>
      <x:c r="AA24" s="89" t="str">
        <x:f>IF($G24="","",IF(OR(AA$8&lt;IF($F24="",$G24,$F24),AA$8&gt;$G24),"",IF(AND($F24&lt;&gt;"",$F24&lt;$G24),"■","◆")))</x:f>
      </x:c>
      <x:c r="AB24" s="96" t="str">
        <x:f>IF($G24="","",IF(OR(AB$8&lt;IF($F24="",$G24,$F24),AB$8&gt;$G24),"",IF(AND($F24&lt;&gt;"",$F24&lt;$G24),"■","◆")))</x:f>
      </x:c>
      <x:c r="AC24" s="96" t="str">
        <x:f>IF($G24="","",IF(OR(AC$8&lt;IF($F24="",$G24,$F24),AC$8&gt;$G24),"",IF(AND($F24&lt;&gt;"",$F24&lt;$G24),"■","◆")))</x:f>
      </x:c>
      <x:c r="AD24" s="89" t="str">
        <x:f>IF($G24="","",IF(OR(AD$8&lt;IF($F24="",$G24,$F24),AD$8&gt;$G24),"",IF(AND($F24&lt;&gt;"",$F24&lt;$G24),"■","◆")))</x:f>
      </x:c>
      <x:c r="AE24" s="89" t="str">
        <x:f>IF($G24="","",IF(OR(AE$8&lt;IF($F24="",$G24,$F24),AE$8&gt;$G24),"",IF(AND($F24&lt;&gt;"",$F24&lt;$G24),"■","◆")))</x:f>
      </x:c>
      <x:c r="AF24" s="89" t="str">
        <x:f>IF($G24="","",IF(OR(AF$8&lt;IF($F24="",$G24,$F24),AF$8&gt;$G24),"",IF(AND($F24&lt;&gt;"",$F24&lt;$G24),"■","◆")))</x:f>
      </x:c>
      <x:c r="AG24" s="89" t="str">
        <x:f>IF($G24="","",IF(OR(AG$8&lt;IF($F24="",$G24,$F24),AG$8&gt;$G24),"",IF(AND($F24&lt;&gt;"",$F24&lt;$G24),"■","◆")))</x:f>
      </x:c>
      <x:c r="AH24" s="89" t="str">
        <x:f>IF($G24="","",IF(OR(AH$8&lt;IF($F24="",$G24,$F24),AH$8&gt;$G24),"",IF(AND($F24&lt;&gt;"",$F24&lt;$G24),"■","◆")))</x:f>
      </x:c>
      <x:c r="AI24" s="96" t="str">
        <x:f>IF($G24="","",IF(OR(AI$8&lt;IF($F24="",$G24,$F24),AI$8&gt;$G24),"",IF(AND($F24&lt;&gt;"",$F24&lt;$G24),"■","◆")))</x:f>
      </x:c>
      <x:c r="AJ24" s="96" t="str">
        <x:f>IF($G24="","",IF(OR(AJ$8&lt;IF($F24="",$G24,$F24),AJ$8&gt;$G24),"",IF(AND($F24&lt;&gt;"",$F24&lt;$G24),"■","◆")))</x:f>
      </x:c>
      <x:c r="AK24" s="89" t="str">
        <x:f>IF($G24="","",IF(OR(AK$8&lt;IF($F24="",$G24,$F24),AK$8&gt;$G24),"",IF(AND($F24&lt;&gt;"",$F24&lt;$G24),"■","◆")))</x:f>
      </x:c>
      <x:c r="AL24" s="89" t="str">
        <x:f>IF($G24="","",IF(OR(AL$8&lt;IF($F24="",$G24,$F24),AL$8&gt;$G24),"",IF(AND($F24&lt;&gt;"",$F24&lt;$G24),"■","◆")))</x:f>
      </x:c>
      <x:c r="AM24" s="89" t="str">
        <x:f>IF($G24="","",IF(OR(AM$8&lt;IF($F24="",$G24,$F24),AM$8&gt;$G24),"",IF(AND($F24&lt;&gt;"",$F24&lt;$G24),"■","◆")))</x:f>
      </x:c>
      <x:c r="AN24" s="89" t="str">
        <x:f>IF($G24="","",IF(OR(AN$8&lt;IF($F24="",$G24,$F24),AN$8&gt;$G24),"",IF(AND($F24&lt;&gt;"",$F24&lt;$G24),"■","◆")))</x:f>
      </x:c>
      <x:c r="AO24" s="90" t="str">
        <x:f>IF($G24="","",IF(OR(AO$8&lt;IF($F24="",$G24,$F24),AO$8&gt;$G24),"",IF(AND($F24&lt;&gt;"",$F24&lt;$G24),"■","◆")))</x:f>
      </x:c>
    </x:row>
    <x:row r="25" ht="28.5" customHeight="1">
      <x:c r="A25" s="58" t="str">
        <x:v>A17</x:v>
      </x:c>
      <x:c r="B25" s="58" t="str">
        <x:v>資料</x:v>
      </x:c>
      <x:c r="C25" s="58" t="str">
        <x:v>任務</x:v>
      </x:c>
      <x:c r="D25" s="53" t="str">
        <x:v>完成上線後監控 Dashboard</x:v>
      </x:c>
      <x:c r="E25" s="62" t="str">
        <x:v>Kevin</x:v>
      </x:c>
      <x:c r="F25" s="63"/>
      <x:c r="G25" s="63" t="n">
        <x:v>46248</x:v>
      </x:c>
      <x:c r="H25" s="62" t="str">
        <x:v>原始資料未提及</x:v>
      </x:c>
      <x:c r="I25" s="53" t="str">
        <x:v>每小時更新四項指標。</x:v>
      </x:c>
      <x:c r="J25" s="88" t="str">
        <x:f>IF($G25="","",IF(OR(J$8&lt;IF($F25="",$G25,$F25),J$8&gt;$G25),"",IF(AND($F25&lt;&gt;"",$F25&lt;$G25),"■","◆")))</x:f>
      </x:c>
      <x:c r="K25" s="89" t="str">
        <x:f>IF($G25="","",IF(OR(K$8&lt;IF($F25="",$G25,$F25),K$8&gt;$G25),"",IF(AND($F25&lt;&gt;"",$F25&lt;$G25),"■","◆")))</x:f>
      </x:c>
      <x:c r="L25" s="89" t="str">
        <x:f>IF($G25="","",IF(OR(L$8&lt;IF($F25="",$G25,$F25),L$8&gt;$G25),"",IF(AND($F25&lt;&gt;"",$F25&lt;$G25),"■","◆")))</x:f>
      </x:c>
      <x:c r="M25" s="89" t="str">
        <x:f>IF($G25="","",IF(OR(M$8&lt;IF($F25="",$G25,$F25),M$8&gt;$G25),"",IF(AND($F25&lt;&gt;"",$F25&lt;$G25),"■","◆")))</x:f>
      </x:c>
      <x:c r="N25" s="96" t="str">
        <x:f>IF($G25="","",IF(OR(N$8&lt;IF($F25="",$G25,$F25),N$8&gt;$G25),"",IF(AND($F25&lt;&gt;"",$F25&lt;$G25),"■","◆")))</x:f>
      </x:c>
      <x:c r="O25" s="96" t="str">
        <x:f>IF($G25="","",IF(OR(O$8&lt;IF($F25="",$G25,$F25),O$8&gt;$G25),"",IF(AND($F25&lt;&gt;"",$F25&lt;$G25),"■","◆")))</x:f>
      </x:c>
      <x:c r="P25" s="89" t="str">
        <x:f>IF($G25="","",IF(OR(P$8&lt;IF($F25="",$G25,$F25),P$8&gt;$G25),"",IF(AND($F25&lt;&gt;"",$F25&lt;$G25),"■","◆")))</x:f>
      </x:c>
      <x:c r="Q25" s="89" t="str">
        <x:f>IF($G25="","",IF(OR(Q$8&lt;IF($F25="",$G25,$F25),Q$8&gt;$G25),"",IF(AND($F25&lt;&gt;"",$F25&lt;$G25),"■","◆")))</x:f>
      </x:c>
      <x:c r="R25" s="89" t="str">
        <x:f>IF($G25="","",IF(OR(R$8&lt;IF($F25="",$G25,$F25),R$8&gt;$G25),"",IF(AND($F25&lt;&gt;"",$F25&lt;$G25),"■","◆")))</x:f>
      </x:c>
      <x:c r="S25" s="89" t="str">
        <x:f>IF($G25="","",IF(OR(S$8&lt;IF($F25="",$G25,$F25),S$8&gt;$G25),"",IF(AND($F25&lt;&gt;"",$F25&lt;$G25),"■","◆")))</x:f>
      </x:c>
      <x:c r="T25" s="89" t="str">
        <x:f>IF($G25="","",IF(OR(T$8&lt;IF($F25="",$G25,$F25),T$8&gt;$G25),"",IF(AND($F25&lt;&gt;"",$F25&lt;$G25),"■","◆")))</x:f>
      </x:c>
      <x:c r="U25" s="96" t="str">
        <x:f>IF($G25="","",IF(OR(U$8&lt;IF($F25="",$G25,$F25),U$8&gt;$G25),"",IF(AND($F25&lt;&gt;"",$F25&lt;$G25),"■","◆")))</x:f>
      </x:c>
      <x:c r="V25" s="96" t="str">
        <x:f>IF($G25="","",IF(OR(V$8&lt;IF($F25="",$G25,$F25),V$8&gt;$G25),"",IF(AND($F25&lt;&gt;"",$F25&lt;$G25),"■","◆")))</x:f>
      </x:c>
      <x:c r="W25" s="89" t="str">
        <x:f>IF($G25="","",IF(OR(W$8&lt;IF($F25="",$G25,$F25),W$8&gt;$G25),"",IF(AND($F25&lt;&gt;"",$F25&lt;$G25),"■","◆")))</x:f>
      </x:c>
      <x:c r="X25" s="89" t="str">
        <x:f>IF($G25="","",IF(OR(X$8&lt;IF($F25="",$G25,$F25),X$8&gt;$G25),"",IF(AND($F25&lt;&gt;"",$F25&lt;$G25),"■","◆")))</x:f>
      </x:c>
      <x:c r="Y25" s="89" t="str">
        <x:f>IF($G25="","",IF(OR(Y$8&lt;IF($F25="",$G25,$F25),Y$8&gt;$G25),"",IF(AND($F25&lt;&gt;"",$F25&lt;$G25),"■","◆")))</x:f>
      </x:c>
      <x:c r="Z25" s="89" t="str">
        <x:f>IF($G25="","",IF(OR(Z$8&lt;IF($F25="",$G25,$F25),Z$8&gt;$G25),"",IF(AND($F25&lt;&gt;"",$F25&lt;$G25),"■","◆")))</x:f>
      </x:c>
      <x:c r="AA25" s="89" t="str">
        <x:f>IF($G25="","",IF(OR(AA$8&lt;IF($F25="",$G25,$F25),AA$8&gt;$G25),"",IF(AND($F25&lt;&gt;"",$F25&lt;$G25),"■","◆")))</x:f>
        <x:v>◆</x:v>
      </x:c>
      <x:c r="AB25" s="96" t="str">
        <x:f>IF($G25="","",IF(OR(AB$8&lt;IF($F25="",$G25,$F25),AB$8&gt;$G25),"",IF(AND($F25&lt;&gt;"",$F25&lt;$G25),"■","◆")))</x:f>
      </x:c>
      <x:c r="AC25" s="96" t="str">
        <x:f>IF($G25="","",IF(OR(AC$8&lt;IF($F25="",$G25,$F25),AC$8&gt;$G25),"",IF(AND($F25&lt;&gt;"",$F25&lt;$G25),"■","◆")))</x:f>
      </x:c>
      <x:c r="AD25" s="89" t="str">
        <x:f>IF($G25="","",IF(OR(AD$8&lt;IF($F25="",$G25,$F25),AD$8&gt;$G25),"",IF(AND($F25&lt;&gt;"",$F25&lt;$G25),"■","◆")))</x:f>
      </x:c>
      <x:c r="AE25" s="89" t="str">
        <x:f>IF($G25="","",IF(OR(AE$8&lt;IF($F25="",$G25,$F25),AE$8&gt;$G25),"",IF(AND($F25&lt;&gt;"",$F25&lt;$G25),"■","◆")))</x:f>
      </x:c>
      <x:c r="AF25" s="89" t="str">
        <x:f>IF($G25="","",IF(OR(AF$8&lt;IF($F25="",$G25,$F25),AF$8&gt;$G25),"",IF(AND($F25&lt;&gt;"",$F25&lt;$G25),"■","◆")))</x:f>
      </x:c>
      <x:c r="AG25" s="89" t="str">
        <x:f>IF($G25="","",IF(OR(AG$8&lt;IF($F25="",$G25,$F25),AG$8&gt;$G25),"",IF(AND($F25&lt;&gt;"",$F25&lt;$G25),"■","◆")))</x:f>
      </x:c>
      <x:c r="AH25" s="89" t="str">
        <x:f>IF($G25="","",IF(OR(AH$8&lt;IF($F25="",$G25,$F25),AH$8&gt;$G25),"",IF(AND($F25&lt;&gt;"",$F25&lt;$G25),"■","◆")))</x:f>
      </x:c>
      <x:c r="AI25" s="96" t="str">
        <x:f>IF($G25="","",IF(OR(AI$8&lt;IF($F25="",$G25,$F25),AI$8&gt;$G25),"",IF(AND($F25&lt;&gt;"",$F25&lt;$G25),"■","◆")))</x:f>
      </x:c>
      <x:c r="AJ25" s="96" t="str">
        <x:f>IF($G25="","",IF(OR(AJ$8&lt;IF($F25="",$G25,$F25),AJ$8&gt;$G25),"",IF(AND($F25&lt;&gt;"",$F25&lt;$G25),"■","◆")))</x:f>
      </x:c>
      <x:c r="AK25" s="89" t="str">
        <x:f>IF($G25="","",IF(OR(AK$8&lt;IF($F25="",$G25,$F25),AK$8&gt;$G25),"",IF(AND($F25&lt;&gt;"",$F25&lt;$G25),"■","◆")))</x:f>
      </x:c>
      <x:c r="AL25" s="89" t="str">
        <x:f>IF($G25="","",IF(OR(AL$8&lt;IF($F25="",$G25,$F25),AL$8&gt;$G25),"",IF(AND($F25&lt;&gt;"",$F25&lt;$G25),"■","◆")))</x:f>
      </x:c>
      <x:c r="AM25" s="89" t="str">
        <x:f>IF($G25="","",IF(OR(AM$8&lt;IF($F25="",$G25,$F25),AM$8&gt;$G25),"",IF(AND($F25&lt;&gt;"",$F25&lt;$G25),"■","◆")))</x:f>
      </x:c>
      <x:c r="AN25" s="89" t="str">
        <x:f>IF($G25="","",IF(OR(AN$8&lt;IF($F25="",$G25,$F25),AN$8&gt;$G25),"",IF(AND($F25&lt;&gt;"",$F25&lt;$G25),"■","◆")))</x:f>
      </x:c>
      <x:c r="AO25" s="90" t="str">
        <x:f>IF($G25="","",IF(OR(AO$8&lt;IF($F25="",$G25,$F25),AO$8&gt;$G25),"",IF(AND($F25&lt;&gt;"",$F25&lt;$G25),"■","◆")))</x:f>
      </x:c>
    </x:row>
    <x:row r="26" ht="28.5" customHeight="1">
      <x:c r="A26" s="58" t="str">
        <x:v>A18</x:v>
      </x:c>
      <x:c r="B26" s="58" t="str">
        <x:v>工程／成本</x:v>
      </x:c>
      <x:c r="C26" s="58" t="str">
        <x:v>任務</x:v>
      </x:c>
      <x:c r="D26" s="53" t="str">
        <x:v>補充雲端服務成本試算</x:v>
      </x:c>
      <x:c r="E26" s="62" t="str">
        <x:v>志豪</x:v>
      </x:c>
      <x:c r="F26" s="63"/>
      <x:c r="G26" s="63" t="n">
        <x:v>46238</x:v>
      </x:c>
      <x:c r="H26" s="62" t="str">
        <x:v>原始資料未提及</x:v>
      </x:c>
      <x:c r="I26" s="53" t="str">
        <x:v>原文：下週會議一起看；目前估計每月增加 1.5 萬元。</x:v>
      </x:c>
      <x:c r="J26" s="88" t="str">
        <x:f>IF($G26="","",IF(OR(J$8&lt;IF($F26="",$G26,$F26),J$8&gt;$G26),"",IF(AND($F26&lt;&gt;"",$F26&lt;$G26),"■","◆")))</x:f>
      </x:c>
      <x:c r="K26" s="89" t="str">
        <x:f>IF($G26="","",IF(OR(K$8&lt;IF($F26="",$G26,$F26),K$8&gt;$G26),"",IF(AND($F26&lt;&gt;"",$F26&lt;$G26),"■","◆")))</x:f>
      </x:c>
      <x:c r="L26" s="89" t="str">
        <x:f>IF($G26="","",IF(OR(L$8&lt;IF($F26="",$G26,$F26),L$8&gt;$G26),"",IF(AND($F26&lt;&gt;"",$F26&lt;$G26),"■","◆")))</x:f>
      </x:c>
      <x:c r="M26" s="89" t="str">
        <x:f>IF($G26="","",IF(OR(M$8&lt;IF($F26="",$G26,$F26),M$8&gt;$G26),"",IF(AND($F26&lt;&gt;"",$F26&lt;$G26),"■","◆")))</x:f>
      </x:c>
      <x:c r="N26" s="96" t="str">
        <x:f>IF($G26="","",IF(OR(N$8&lt;IF($F26="",$G26,$F26),N$8&gt;$G26),"",IF(AND($F26&lt;&gt;"",$F26&lt;$G26),"■","◆")))</x:f>
      </x:c>
      <x:c r="O26" s="96" t="str">
        <x:f>IF($G26="","",IF(OR(O$8&lt;IF($F26="",$G26,$F26),O$8&gt;$G26),"",IF(AND($F26&lt;&gt;"",$F26&lt;$G26),"■","◆")))</x:f>
      </x:c>
      <x:c r="P26" s="89" t="str">
        <x:f>IF($G26="","",IF(OR(P$8&lt;IF($F26="",$G26,$F26),P$8&gt;$G26),"",IF(AND($F26&lt;&gt;"",$F26&lt;$G26),"■","◆")))</x:f>
      </x:c>
      <x:c r="Q26" s="89" t="str">
        <x:f>IF($G26="","",IF(OR(Q$8&lt;IF($F26="",$G26,$F26),Q$8&gt;$G26),"",IF(AND($F26&lt;&gt;"",$F26&lt;$G26),"■","◆")))</x:f>
        <x:v>◆</x:v>
      </x:c>
      <x:c r="R26" s="89" t="str">
        <x:f>IF($G26="","",IF(OR(R$8&lt;IF($F26="",$G26,$F26),R$8&gt;$G26),"",IF(AND($F26&lt;&gt;"",$F26&lt;$G26),"■","◆")))</x:f>
      </x:c>
      <x:c r="S26" s="89" t="str">
        <x:f>IF($G26="","",IF(OR(S$8&lt;IF($F26="",$G26,$F26),S$8&gt;$G26),"",IF(AND($F26&lt;&gt;"",$F26&lt;$G26),"■","◆")))</x:f>
      </x:c>
      <x:c r="T26" s="89" t="str">
        <x:f>IF($G26="","",IF(OR(T$8&lt;IF($F26="",$G26,$F26),T$8&gt;$G26),"",IF(AND($F26&lt;&gt;"",$F26&lt;$G26),"■","◆")))</x:f>
      </x:c>
      <x:c r="U26" s="96" t="str">
        <x:f>IF($G26="","",IF(OR(U$8&lt;IF($F26="",$G26,$F26),U$8&gt;$G26),"",IF(AND($F26&lt;&gt;"",$F26&lt;$G26),"■","◆")))</x:f>
      </x:c>
      <x:c r="V26" s="96" t="str">
        <x:f>IF($G26="","",IF(OR(V$8&lt;IF($F26="",$G26,$F26),V$8&gt;$G26),"",IF(AND($F26&lt;&gt;"",$F26&lt;$G26),"■","◆")))</x:f>
      </x:c>
      <x:c r="W26" s="89" t="str">
        <x:f>IF($G26="","",IF(OR(W$8&lt;IF($F26="",$G26,$F26),W$8&gt;$G26),"",IF(AND($F26&lt;&gt;"",$F26&lt;$G26),"■","◆")))</x:f>
      </x:c>
      <x:c r="X26" s="89" t="str">
        <x:f>IF($G26="","",IF(OR(X$8&lt;IF($F26="",$G26,$F26),X$8&gt;$G26),"",IF(AND($F26&lt;&gt;"",$F26&lt;$G26),"■","◆")))</x:f>
      </x:c>
      <x:c r="Y26" s="89" t="str">
        <x:f>IF($G26="","",IF(OR(Y$8&lt;IF($F26="",$G26,$F26),Y$8&gt;$G26),"",IF(AND($F26&lt;&gt;"",$F26&lt;$G26),"■","◆")))</x:f>
      </x:c>
      <x:c r="Z26" s="89" t="str">
        <x:f>IF($G26="","",IF(OR(Z$8&lt;IF($F26="",$G26,$F26),Z$8&gt;$G26),"",IF(AND($F26&lt;&gt;"",$F26&lt;$G26),"■","◆")))</x:f>
      </x:c>
      <x:c r="AA26" s="89" t="str">
        <x:f>IF($G26="","",IF(OR(AA$8&lt;IF($F26="",$G26,$F26),AA$8&gt;$G26),"",IF(AND($F26&lt;&gt;"",$F26&lt;$G26),"■","◆")))</x:f>
      </x:c>
      <x:c r="AB26" s="96" t="str">
        <x:f>IF($G26="","",IF(OR(AB$8&lt;IF($F26="",$G26,$F26),AB$8&gt;$G26),"",IF(AND($F26&lt;&gt;"",$F26&lt;$G26),"■","◆")))</x:f>
      </x:c>
      <x:c r="AC26" s="96" t="str">
        <x:f>IF($G26="","",IF(OR(AC$8&lt;IF($F26="",$G26,$F26),AC$8&gt;$G26),"",IF(AND($F26&lt;&gt;"",$F26&lt;$G26),"■","◆")))</x:f>
      </x:c>
      <x:c r="AD26" s="89" t="str">
        <x:f>IF($G26="","",IF(OR(AD$8&lt;IF($F26="",$G26,$F26),AD$8&gt;$G26),"",IF(AND($F26&lt;&gt;"",$F26&lt;$G26),"■","◆")))</x:f>
      </x:c>
      <x:c r="AE26" s="89" t="str">
        <x:f>IF($G26="","",IF(OR(AE$8&lt;IF($F26="",$G26,$F26),AE$8&gt;$G26),"",IF(AND($F26&lt;&gt;"",$F26&lt;$G26),"■","◆")))</x:f>
      </x:c>
      <x:c r="AF26" s="89" t="str">
        <x:f>IF($G26="","",IF(OR(AF$8&lt;IF($F26="",$G26,$F26),AF$8&gt;$G26),"",IF(AND($F26&lt;&gt;"",$F26&lt;$G26),"■","◆")))</x:f>
      </x:c>
      <x:c r="AG26" s="89" t="str">
        <x:f>IF($G26="","",IF(OR(AG$8&lt;IF($F26="",$G26,$F26),AG$8&gt;$G26),"",IF(AND($F26&lt;&gt;"",$F26&lt;$G26),"■","◆")))</x:f>
      </x:c>
      <x:c r="AH26" s="89" t="str">
        <x:f>IF($G26="","",IF(OR(AH$8&lt;IF($F26="",$G26,$F26),AH$8&gt;$G26),"",IF(AND($F26&lt;&gt;"",$F26&lt;$G26),"■","◆")))</x:f>
      </x:c>
      <x:c r="AI26" s="96" t="str">
        <x:f>IF($G26="","",IF(OR(AI$8&lt;IF($F26="",$G26,$F26),AI$8&gt;$G26),"",IF(AND($F26&lt;&gt;"",$F26&lt;$G26),"■","◆")))</x:f>
      </x:c>
      <x:c r="AJ26" s="96" t="str">
        <x:f>IF($G26="","",IF(OR(AJ$8&lt;IF($F26="",$G26,$F26),AJ$8&gt;$G26),"",IF(AND($F26&lt;&gt;"",$F26&lt;$G26),"■","◆")))</x:f>
      </x:c>
      <x:c r="AK26" s="89" t="str">
        <x:f>IF($G26="","",IF(OR(AK$8&lt;IF($F26="",$G26,$F26),AK$8&gt;$G26),"",IF(AND($F26&lt;&gt;"",$F26&lt;$G26),"■","◆")))</x:f>
      </x:c>
      <x:c r="AL26" s="89" t="str">
        <x:f>IF($G26="","",IF(OR(AL$8&lt;IF($F26="",$G26,$F26),AL$8&gt;$G26),"",IF(AND($F26&lt;&gt;"",$F26&lt;$G26),"■","◆")))</x:f>
      </x:c>
      <x:c r="AM26" s="89" t="str">
        <x:f>IF($G26="","",IF(OR(AM$8&lt;IF($F26="",$G26,$F26),AM$8&gt;$G26),"",IF(AND($F26&lt;&gt;"",$F26&lt;$G26),"■","◆")))</x:f>
      </x:c>
      <x:c r="AN26" s="89" t="str">
        <x:f>IF($G26="","",IF(OR(AN$8&lt;IF($F26="",$G26,$F26),AN$8&gt;$G26),"",IF(AND($F26&lt;&gt;"",$F26&lt;$G26),"■","◆")))</x:f>
      </x:c>
      <x:c r="AO26" s="90" t="str">
        <x:f>IF($G26="","",IF(OR(AO$8&lt;IF($F26="",$G26,$F26),AO$8&gt;$G26),"",IF(AND($F26&lt;&gt;"",$F26&lt;$G26),"■","◆")))</x:f>
      </x:c>
    </x:row>
    <x:row r="27" ht="28.5" customHeight="1">
      <x:c r="A27" s="58" t="str">
        <x:v>A19</x:v>
      </x:c>
      <x:c r="B27" s="58" t="str">
        <x:v>產品</x:v>
      </x:c>
      <x:c r="C27" s="58" t="str">
        <x:v>任務</x:v>
      </x:c>
      <x:c r="D27" s="53" t="str">
        <x:v>發送下次會議邀請</x:v>
      </x:c>
      <x:c r="E27" s="62" t="str">
        <x:v>怡君</x:v>
      </x:c>
      <x:c r="F27" s="63"/>
      <x:c r="G27" s="63"/>
      <x:c r="H27" s="62" t="str">
        <x:v>待確認</x:v>
      </x:c>
      <x:c r="I27" s="53" t="str">
        <x:v>下次會議為 2026/08/04（二）14:00；未提供邀請發送日。</x:v>
      </x:c>
      <x:c r="J27" s="88" t="str">
        <x:f>IF($G27="","",IF(OR(J$8&lt;IF($F27="",$G27,$F27),J$8&gt;$G27),"",IF(AND($F27&lt;&gt;"",$F27&lt;$G27),"■","◆")))</x:f>
      </x:c>
      <x:c r="K27" s="89" t="str">
        <x:f>IF($G27="","",IF(OR(K$8&lt;IF($F27="",$G27,$F27),K$8&gt;$G27),"",IF(AND($F27&lt;&gt;"",$F27&lt;$G27),"■","◆")))</x:f>
      </x:c>
      <x:c r="L27" s="89" t="str">
        <x:f>IF($G27="","",IF(OR(L$8&lt;IF($F27="",$G27,$F27),L$8&gt;$G27),"",IF(AND($F27&lt;&gt;"",$F27&lt;$G27),"■","◆")))</x:f>
      </x:c>
      <x:c r="M27" s="89" t="str">
        <x:f>IF($G27="","",IF(OR(M$8&lt;IF($F27="",$G27,$F27),M$8&gt;$G27),"",IF(AND($F27&lt;&gt;"",$F27&lt;$G27),"■","◆")))</x:f>
      </x:c>
      <x:c r="N27" s="96" t="str">
        <x:f>IF($G27="","",IF(OR(N$8&lt;IF($F27="",$G27,$F27),N$8&gt;$G27),"",IF(AND($F27&lt;&gt;"",$F27&lt;$G27),"■","◆")))</x:f>
      </x:c>
      <x:c r="O27" s="96" t="str">
        <x:f>IF($G27="","",IF(OR(O$8&lt;IF($F27="",$G27,$F27),O$8&gt;$G27),"",IF(AND($F27&lt;&gt;"",$F27&lt;$G27),"■","◆")))</x:f>
      </x:c>
      <x:c r="P27" s="89" t="str">
        <x:f>IF($G27="","",IF(OR(P$8&lt;IF($F27="",$G27,$F27),P$8&gt;$G27),"",IF(AND($F27&lt;&gt;"",$F27&lt;$G27),"■","◆")))</x:f>
      </x:c>
      <x:c r="Q27" s="89" t="str">
        <x:f>IF($G27="","",IF(OR(Q$8&lt;IF($F27="",$G27,$F27),Q$8&gt;$G27),"",IF(AND($F27&lt;&gt;"",$F27&lt;$G27),"■","◆")))</x:f>
      </x:c>
      <x:c r="R27" s="89" t="str">
        <x:f>IF($G27="","",IF(OR(R$8&lt;IF($F27="",$G27,$F27),R$8&gt;$G27),"",IF(AND($F27&lt;&gt;"",$F27&lt;$G27),"■","◆")))</x:f>
      </x:c>
      <x:c r="S27" s="89" t="str">
        <x:f>IF($G27="","",IF(OR(S$8&lt;IF($F27="",$G27,$F27),S$8&gt;$G27),"",IF(AND($F27&lt;&gt;"",$F27&lt;$G27),"■","◆")))</x:f>
      </x:c>
      <x:c r="T27" s="89" t="str">
        <x:f>IF($G27="","",IF(OR(T$8&lt;IF($F27="",$G27,$F27),T$8&gt;$G27),"",IF(AND($F27&lt;&gt;"",$F27&lt;$G27),"■","◆")))</x:f>
      </x:c>
      <x:c r="U27" s="96" t="str">
        <x:f>IF($G27="","",IF(OR(U$8&lt;IF($F27="",$G27,$F27),U$8&gt;$G27),"",IF(AND($F27&lt;&gt;"",$F27&lt;$G27),"■","◆")))</x:f>
      </x:c>
      <x:c r="V27" s="96" t="str">
        <x:f>IF($G27="","",IF(OR(V$8&lt;IF($F27="",$G27,$F27),V$8&gt;$G27),"",IF(AND($F27&lt;&gt;"",$F27&lt;$G27),"■","◆")))</x:f>
      </x:c>
      <x:c r="W27" s="89" t="str">
        <x:f>IF($G27="","",IF(OR(W$8&lt;IF($F27="",$G27,$F27),W$8&gt;$G27),"",IF(AND($F27&lt;&gt;"",$F27&lt;$G27),"■","◆")))</x:f>
      </x:c>
      <x:c r="X27" s="89" t="str">
        <x:f>IF($G27="","",IF(OR(X$8&lt;IF($F27="",$G27,$F27),X$8&gt;$G27),"",IF(AND($F27&lt;&gt;"",$F27&lt;$G27),"■","◆")))</x:f>
      </x:c>
      <x:c r="Y27" s="89" t="str">
        <x:f>IF($G27="","",IF(OR(Y$8&lt;IF($F27="",$G27,$F27),Y$8&gt;$G27),"",IF(AND($F27&lt;&gt;"",$F27&lt;$G27),"■","◆")))</x:f>
      </x:c>
      <x:c r="Z27" s="89" t="str">
        <x:f>IF($G27="","",IF(OR(Z$8&lt;IF($F27="",$G27,$F27),Z$8&gt;$G27),"",IF(AND($F27&lt;&gt;"",$F27&lt;$G27),"■","◆")))</x:f>
      </x:c>
      <x:c r="AA27" s="89" t="str">
        <x:f>IF($G27="","",IF(OR(AA$8&lt;IF($F27="",$G27,$F27),AA$8&gt;$G27),"",IF(AND($F27&lt;&gt;"",$F27&lt;$G27),"■","◆")))</x:f>
      </x:c>
      <x:c r="AB27" s="96" t="str">
        <x:f>IF($G27="","",IF(OR(AB$8&lt;IF($F27="",$G27,$F27),AB$8&gt;$G27),"",IF(AND($F27&lt;&gt;"",$F27&lt;$G27),"■","◆")))</x:f>
      </x:c>
      <x:c r="AC27" s="96" t="str">
        <x:f>IF($G27="","",IF(OR(AC$8&lt;IF($F27="",$G27,$F27),AC$8&gt;$G27),"",IF(AND($F27&lt;&gt;"",$F27&lt;$G27),"■","◆")))</x:f>
      </x:c>
      <x:c r="AD27" s="89" t="str">
        <x:f>IF($G27="","",IF(OR(AD$8&lt;IF($F27="",$G27,$F27),AD$8&gt;$G27),"",IF(AND($F27&lt;&gt;"",$F27&lt;$G27),"■","◆")))</x:f>
      </x:c>
      <x:c r="AE27" s="89" t="str">
        <x:f>IF($G27="","",IF(OR(AE$8&lt;IF($F27="",$G27,$F27),AE$8&gt;$G27),"",IF(AND($F27&lt;&gt;"",$F27&lt;$G27),"■","◆")))</x:f>
      </x:c>
      <x:c r="AF27" s="89" t="str">
        <x:f>IF($G27="","",IF(OR(AF$8&lt;IF($F27="",$G27,$F27),AF$8&gt;$G27),"",IF(AND($F27&lt;&gt;"",$F27&lt;$G27),"■","◆")))</x:f>
      </x:c>
      <x:c r="AG27" s="89" t="str">
        <x:f>IF($G27="","",IF(OR(AG$8&lt;IF($F27="",$G27,$F27),AG$8&gt;$G27),"",IF(AND($F27&lt;&gt;"",$F27&lt;$G27),"■","◆")))</x:f>
      </x:c>
      <x:c r="AH27" s="89" t="str">
        <x:f>IF($G27="","",IF(OR(AH$8&lt;IF($F27="",$G27,$F27),AH$8&gt;$G27),"",IF(AND($F27&lt;&gt;"",$F27&lt;$G27),"■","◆")))</x:f>
      </x:c>
      <x:c r="AI27" s="96" t="str">
        <x:f>IF($G27="","",IF(OR(AI$8&lt;IF($F27="",$G27,$F27),AI$8&gt;$G27),"",IF(AND($F27&lt;&gt;"",$F27&lt;$G27),"■","◆")))</x:f>
      </x:c>
      <x:c r="AJ27" s="96" t="str">
        <x:f>IF($G27="","",IF(OR(AJ$8&lt;IF($F27="",$G27,$F27),AJ$8&gt;$G27),"",IF(AND($F27&lt;&gt;"",$F27&lt;$G27),"■","◆")))</x:f>
      </x:c>
      <x:c r="AK27" s="89" t="str">
        <x:f>IF($G27="","",IF(OR(AK$8&lt;IF($F27="",$G27,$F27),AK$8&gt;$G27),"",IF(AND($F27&lt;&gt;"",$F27&lt;$G27),"■","◆")))</x:f>
      </x:c>
      <x:c r="AL27" s="89" t="str">
        <x:f>IF($G27="","",IF(OR(AL$8&lt;IF($F27="",$G27,$F27),AL$8&gt;$G27),"",IF(AND($F27&lt;&gt;"",$F27&lt;$G27),"■","◆")))</x:f>
      </x:c>
      <x:c r="AM27" s="89" t="str">
        <x:f>IF($G27="","",IF(OR(AM$8&lt;IF($F27="",$G27,$F27),AM$8&gt;$G27),"",IF(AND($F27&lt;&gt;"",$F27&lt;$G27),"■","◆")))</x:f>
      </x:c>
      <x:c r="AN27" s="89" t="str">
        <x:f>IF($G27="","",IF(OR(AN$8&lt;IF($F27="",$G27,$F27),AN$8&gt;$G27),"",IF(AND($F27&lt;&gt;"",$F27&lt;$G27),"■","◆")))</x:f>
      </x:c>
      <x:c r="AO27" s="90" t="str">
        <x:f>IF($G27="","",IF(OR(AO$8&lt;IF($F27="",$G27,$F27),AO$8&gt;$G27),"",IF(AND($F27&lt;&gt;"",$F27&lt;$G27),"■","◆")))</x:f>
      </x:c>
    </x:row>
    <x:row r="28" ht="28.5" customHeight="1">
      <x:c r="A28" s="58" t="str">
        <x:v>A20</x:v>
      </x:c>
      <x:c r="B28" s="58" t="str">
        <x:v>工程</x:v>
      </x:c>
      <x:c r="C28" s="58" t="str">
        <x:v>任務</x:v>
      </x:c>
      <x:c r="D28" s="53" t="str">
        <x:v>聯絡 IT 確認 Apple 憑證管理員權限</x:v>
      </x:c>
      <x:c r="E28" s="62" t="str">
        <x:v>志豪</x:v>
      </x:c>
      <x:c r="F28" s="63"/>
      <x:c r="G28" s="63" t="n">
        <x:v>46232</x:v>
      </x:c>
      <x:c r="H28" s="62" t="str">
        <x:v>會後新增</x:v>
      </x:c>
      <x:c r="I28" s="53" t="str">
        <x:v>是否確實需要管理員權限仍待確認。</x:v>
      </x:c>
      <x:c r="J28" s="88" t="str">
        <x:f>IF($G28="","",IF(OR(J$8&lt;IF($F28="",$G28,$F28),J$8&gt;$G28),"",IF(AND($F28&lt;&gt;"",$F28&lt;$G28),"■","◆")))</x:f>
      </x:c>
      <x:c r="K28" s="89" t="str">
        <x:f>IF($G28="","",IF(OR(K$8&lt;IF($F28="",$G28,$F28),K$8&gt;$G28),"",IF(AND($F28&lt;&gt;"",$F28&lt;$G28),"■","◆")))</x:f>
        <x:v>◆</x:v>
      </x:c>
      <x:c r="L28" s="89" t="str">
        <x:f>IF($G28="","",IF(OR(L$8&lt;IF($F28="",$G28,$F28),L$8&gt;$G28),"",IF(AND($F28&lt;&gt;"",$F28&lt;$G28),"■","◆")))</x:f>
      </x:c>
      <x:c r="M28" s="89" t="str">
        <x:f>IF($G28="","",IF(OR(M$8&lt;IF($F28="",$G28,$F28),M$8&gt;$G28),"",IF(AND($F28&lt;&gt;"",$F28&lt;$G28),"■","◆")))</x:f>
      </x:c>
      <x:c r="N28" s="96" t="str">
        <x:f>IF($G28="","",IF(OR(N$8&lt;IF($F28="",$G28,$F28),N$8&gt;$G28),"",IF(AND($F28&lt;&gt;"",$F28&lt;$G28),"■","◆")))</x:f>
      </x:c>
      <x:c r="O28" s="96" t="str">
        <x:f>IF($G28="","",IF(OR(O$8&lt;IF($F28="",$G28,$F28),O$8&gt;$G28),"",IF(AND($F28&lt;&gt;"",$F28&lt;$G28),"■","◆")))</x:f>
      </x:c>
      <x:c r="P28" s="89" t="str">
        <x:f>IF($G28="","",IF(OR(P$8&lt;IF($F28="",$G28,$F28),P$8&gt;$G28),"",IF(AND($F28&lt;&gt;"",$F28&lt;$G28),"■","◆")))</x:f>
      </x:c>
      <x:c r="Q28" s="89" t="str">
        <x:f>IF($G28="","",IF(OR(Q$8&lt;IF($F28="",$G28,$F28),Q$8&gt;$G28),"",IF(AND($F28&lt;&gt;"",$F28&lt;$G28),"■","◆")))</x:f>
      </x:c>
      <x:c r="R28" s="89" t="str">
        <x:f>IF($G28="","",IF(OR(R$8&lt;IF($F28="",$G28,$F28),R$8&gt;$G28),"",IF(AND($F28&lt;&gt;"",$F28&lt;$G28),"■","◆")))</x:f>
      </x:c>
      <x:c r="S28" s="89" t="str">
        <x:f>IF($G28="","",IF(OR(S$8&lt;IF($F28="",$G28,$F28),S$8&gt;$G28),"",IF(AND($F28&lt;&gt;"",$F28&lt;$G28),"■","◆")))</x:f>
      </x:c>
      <x:c r="T28" s="89" t="str">
        <x:f>IF($G28="","",IF(OR(T$8&lt;IF($F28="",$G28,$F28),T$8&gt;$G28),"",IF(AND($F28&lt;&gt;"",$F28&lt;$G28),"■","◆")))</x:f>
      </x:c>
      <x:c r="U28" s="96" t="str">
        <x:f>IF($G28="","",IF(OR(U$8&lt;IF($F28="",$G28,$F28),U$8&gt;$G28),"",IF(AND($F28&lt;&gt;"",$F28&lt;$G28),"■","◆")))</x:f>
      </x:c>
      <x:c r="V28" s="96" t="str">
        <x:f>IF($G28="","",IF(OR(V$8&lt;IF($F28="",$G28,$F28),V$8&gt;$G28),"",IF(AND($F28&lt;&gt;"",$F28&lt;$G28),"■","◆")))</x:f>
      </x:c>
      <x:c r="W28" s="89" t="str">
        <x:f>IF($G28="","",IF(OR(W$8&lt;IF($F28="",$G28,$F28),W$8&gt;$G28),"",IF(AND($F28&lt;&gt;"",$F28&lt;$G28),"■","◆")))</x:f>
      </x:c>
      <x:c r="X28" s="89" t="str">
        <x:f>IF($G28="","",IF(OR(X$8&lt;IF($F28="",$G28,$F28),X$8&gt;$G28),"",IF(AND($F28&lt;&gt;"",$F28&lt;$G28),"■","◆")))</x:f>
      </x:c>
      <x:c r="Y28" s="89" t="str">
        <x:f>IF($G28="","",IF(OR(Y$8&lt;IF($F28="",$G28,$F28),Y$8&gt;$G28),"",IF(AND($F28&lt;&gt;"",$F28&lt;$G28),"■","◆")))</x:f>
      </x:c>
      <x:c r="Z28" s="89" t="str">
        <x:f>IF($G28="","",IF(OR(Z$8&lt;IF($F28="",$G28,$F28),Z$8&gt;$G28),"",IF(AND($F28&lt;&gt;"",$F28&lt;$G28),"■","◆")))</x:f>
      </x:c>
      <x:c r="AA28" s="89" t="str">
        <x:f>IF($G28="","",IF(OR(AA$8&lt;IF($F28="",$G28,$F28),AA$8&gt;$G28),"",IF(AND($F28&lt;&gt;"",$F28&lt;$G28),"■","◆")))</x:f>
      </x:c>
      <x:c r="AB28" s="96" t="str">
        <x:f>IF($G28="","",IF(OR(AB$8&lt;IF($F28="",$G28,$F28),AB$8&gt;$G28),"",IF(AND($F28&lt;&gt;"",$F28&lt;$G28),"■","◆")))</x:f>
      </x:c>
      <x:c r="AC28" s="96" t="str">
        <x:f>IF($G28="","",IF(OR(AC$8&lt;IF($F28="",$G28,$F28),AC$8&gt;$G28),"",IF(AND($F28&lt;&gt;"",$F28&lt;$G28),"■","◆")))</x:f>
      </x:c>
      <x:c r="AD28" s="89" t="str">
        <x:f>IF($G28="","",IF(OR(AD$8&lt;IF($F28="",$G28,$F28),AD$8&gt;$G28),"",IF(AND($F28&lt;&gt;"",$F28&lt;$G28),"■","◆")))</x:f>
      </x:c>
      <x:c r="AE28" s="89" t="str">
        <x:f>IF($G28="","",IF(OR(AE$8&lt;IF($F28="",$G28,$F28),AE$8&gt;$G28),"",IF(AND($F28&lt;&gt;"",$F28&lt;$G28),"■","◆")))</x:f>
      </x:c>
      <x:c r="AF28" s="89" t="str">
        <x:f>IF($G28="","",IF(OR(AF$8&lt;IF($F28="",$G28,$F28),AF$8&gt;$G28),"",IF(AND($F28&lt;&gt;"",$F28&lt;$G28),"■","◆")))</x:f>
      </x:c>
      <x:c r="AG28" s="89" t="str">
        <x:f>IF($G28="","",IF(OR(AG$8&lt;IF($F28="",$G28,$F28),AG$8&gt;$G28),"",IF(AND($F28&lt;&gt;"",$F28&lt;$G28),"■","◆")))</x:f>
      </x:c>
      <x:c r="AH28" s="89" t="str">
        <x:f>IF($G28="","",IF(OR(AH$8&lt;IF($F28="",$G28,$F28),AH$8&gt;$G28),"",IF(AND($F28&lt;&gt;"",$F28&lt;$G28),"■","◆")))</x:f>
      </x:c>
      <x:c r="AI28" s="96" t="str">
        <x:f>IF($G28="","",IF(OR(AI$8&lt;IF($F28="",$G28,$F28),AI$8&gt;$G28),"",IF(AND($F28&lt;&gt;"",$F28&lt;$G28),"■","◆")))</x:f>
      </x:c>
      <x:c r="AJ28" s="96" t="str">
        <x:f>IF($G28="","",IF(OR(AJ$8&lt;IF($F28="",$G28,$F28),AJ$8&gt;$G28),"",IF(AND($F28&lt;&gt;"",$F28&lt;$G28),"■","◆")))</x:f>
      </x:c>
      <x:c r="AK28" s="89" t="str">
        <x:f>IF($G28="","",IF(OR(AK$8&lt;IF($F28="",$G28,$F28),AK$8&gt;$G28),"",IF(AND($F28&lt;&gt;"",$F28&lt;$G28),"■","◆")))</x:f>
      </x:c>
      <x:c r="AL28" s="89" t="str">
        <x:f>IF($G28="","",IF(OR(AL$8&lt;IF($F28="",$G28,$F28),AL$8&gt;$G28),"",IF(AND($F28&lt;&gt;"",$F28&lt;$G28),"■","◆")))</x:f>
      </x:c>
      <x:c r="AM28" s="89" t="str">
        <x:f>IF($G28="","",IF(OR(AM$8&lt;IF($F28="",$G28,$F28),AM$8&gt;$G28),"",IF(AND($F28&lt;&gt;"",$F28&lt;$G28),"■","◆")))</x:f>
      </x:c>
      <x:c r="AN28" s="89" t="str">
        <x:f>IF($G28="","",IF(OR(AN$8&lt;IF($F28="",$G28,$F28),AN$8&gt;$G28),"",IF(AND($F28&lt;&gt;"",$F28&lt;$G28),"■","◆")))</x:f>
      </x:c>
      <x:c r="AO28" s="90" t="str">
        <x:f>IF($G28="","",IF(OR(AO$8&lt;IF($F28="",$G28,$F28),AO$8&gt;$G28),"",IF(AND($F28&lt;&gt;"",$F28&lt;$G28),"■","◆")))</x:f>
      </x:c>
    </x:row>
    <x:row r="29" ht="28.5" customHeight="1">
      <x:c r="A29" s="58" t="str">
        <x:v>M01</x:v>
      </x:c>
      <x:c r="B29" s="58" t="str">
        <x:v>專案管理</x:v>
      </x:c>
      <x:c r="C29" s="58" t="str">
        <x:v>里程碑</x:v>
      </x:c>
      <x:c r="D29" s="53" t="str">
        <x:v>下次專案會議</x:v>
      </x:c>
      <x:c r="E29" s="62" t="str">
        <x:v>怡君</x:v>
      </x:c>
      <x:c r="F29" s="63"/>
      <x:c r="G29" s="63" t="n">
        <x:v>46238</x:v>
      </x:c>
      <x:c r="H29" s="62" t="str">
        <x:v>已確認</x:v>
      </x:c>
      <x:c r="I29" s="53" t="str">
        <x:v>2026/08/04（二）14:00。</x:v>
      </x:c>
      <x:c r="J29" s="88" t="str">
        <x:f>IF($G29="","",IF(OR(J$8&lt;IF($F29="",$G29,$F29),J$8&gt;$G29),"",IF(AND($F29&lt;&gt;"",$F29&lt;$G29),"■","◆")))</x:f>
      </x:c>
      <x:c r="K29" s="89" t="str">
        <x:f>IF($G29="","",IF(OR(K$8&lt;IF($F29="",$G29,$F29),K$8&gt;$G29),"",IF(AND($F29&lt;&gt;"",$F29&lt;$G29),"■","◆")))</x:f>
      </x:c>
      <x:c r="L29" s="89" t="str">
        <x:f>IF($G29="","",IF(OR(L$8&lt;IF($F29="",$G29,$F29),L$8&gt;$G29),"",IF(AND($F29&lt;&gt;"",$F29&lt;$G29),"■","◆")))</x:f>
      </x:c>
      <x:c r="M29" s="89" t="str">
        <x:f>IF($G29="","",IF(OR(M$8&lt;IF($F29="",$G29,$F29),M$8&gt;$G29),"",IF(AND($F29&lt;&gt;"",$F29&lt;$G29),"■","◆")))</x:f>
      </x:c>
      <x:c r="N29" s="96" t="str">
        <x:f>IF($G29="","",IF(OR(N$8&lt;IF($F29="",$G29,$F29),N$8&gt;$G29),"",IF(AND($F29&lt;&gt;"",$F29&lt;$G29),"■","◆")))</x:f>
      </x:c>
      <x:c r="O29" s="96" t="str">
        <x:f>IF($G29="","",IF(OR(O$8&lt;IF($F29="",$G29,$F29),O$8&gt;$G29),"",IF(AND($F29&lt;&gt;"",$F29&lt;$G29),"■","◆")))</x:f>
      </x:c>
      <x:c r="P29" s="89" t="str">
        <x:f>IF($G29="","",IF(OR(P$8&lt;IF($F29="",$G29,$F29),P$8&gt;$G29),"",IF(AND($F29&lt;&gt;"",$F29&lt;$G29),"■","◆")))</x:f>
      </x:c>
      <x:c r="Q29" s="89" t="str">
        <x:f>IF($G29="","",IF(OR(Q$8&lt;IF($F29="",$G29,$F29),Q$8&gt;$G29),"",IF(AND($F29&lt;&gt;"",$F29&lt;$G29),"■","◆")))</x:f>
        <x:v>◆</x:v>
      </x:c>
      <x:c r="R29" s="89" t="str">
        <x:f>IF($G29="","",IF(OR(R$8&lt;IF($F29="",$G29,$F29),R$8&gt;$G29),"",IF(AND($F29&lt;&gt;"",$F29&lt;$G29),"■","◆")))</x:f>
      </x:c>
      <x:c r="S29" s="89" t="str">
        <x:f>IF($G29="","",IF(OR(S$8&lt;IF($F29="",$G29,$F29),S$8&gt;$G29),"",IF(AND($F29&lt;&gt;"",$F29&lt;$G29),"■","◆")))</x:f>
      </x:c>
      <x:c r="T29" s="89" t="str">
        <x:f>IF($G29="","",IF(OR(T$8&lt;IF($F29="",$G29,$F29),T$8&gt;$G29),"",IF(AND($F29&lt;&gt;"",$F29&lt;$G29),"■","◆")))</x:f>
      </x:c>
      <x:c r="U29" s="96" t="str">
        <x:f>IF($G29="","",IF(OR(U$8&lt;IF($F29="",$G29,$F29),U$8&gt;$G29),"",IF(AND($F29&lt;&gt;"",$F29&lt;$G29),"■","◆")))</x:f>
      </x:c>
      <x:c r="V29" s="96" t="str">
        <x:f>IF($G29="","",IF(OR(V$8&lt;IF($F29="",$G29,$F29),V$8&gt;$G29),"",IF(AND($F29&lt;&gt;"",$F29&lt;$G29),"■","◆")))</x:f>
      </x:c>
      <x:c r="W29" s="89" t="str">
        <x:f>IF($G29="","",IF(OR(W$8&lt;IF($F29="",$G29,$F29),W$8&gt;$G29),"",IF(AND($F29&lt;&gt;"",$F29&lt;$G29),"■","◆")))</x:f>
      </x:c>
      <x:c r="X29" s="89" t="str">
        <x:f>IF($G29="","",IF(OR(X$8&lt;IF($F29="",$G29,$F29),X$8&gt;$G29),"",IF(AND($F29&lt;&gt;"",$F29&lt;$G29),"■","◆")))</x:f>
      </x:c>
      <x:c r="Y29" s="89" t="str">
        <x:f>IF($G29="","",IF(OR(Y$8&lt;IF($F29="",$G29,$F29),Y$8&gt;$G29),"",IF(AND($F29&lt;&gt;"",$F29&lt;$G29),"■","◆")))</x:f>
      </x:c>
      <x:c r="Z29" s="89" t="str">
        <x:f>IF($G29="","",IF(OR(Z$8&lt;IF($F29="",$G29,$F29),Z$8&gt;$G29),"",IF(AND($F29&lt;&gt;"",$F29&lt;$G29),"■","◆")))</x:f>
      </x:c>
      <x:c r="AA29" s="89" t="str">
        <x:f>IF($G29="","",IF(OR(AA$8&lt;IF($F29="",$G29,$F29),AA$8&gt;$G29),"",IF(AND($F29&lt;&gt;"",$F29&lt;$G29),"■","◆")))</x:f>
      </x:c>
      <x:c r="AB29" s="96" t="str">
        <x:f>IF($G29="","",IF(OR(AB$8&lt;IF($F29="",$G29,$F29),AB$8&gt;$G29),"",IF(AND($F29&lt;&gt;"",$F29&lt;$G29),"■","◆")))</x:f>
      </x:c>
      <x:c r="AC29" s="96" t="str">
        <x:f>IF($G29="","",IF(OR(AC$8&lt;IF($F29="",$G29,$F29),AC$8&gt;$G29),"",IF(AND($F29&lt;&gt;"",$F29&lt;$G29),"■","◆")))</x:f>
      </x:c>
      <x:c r="AD29" s="89" t="str">
        <x:f>IF($G29="","",IF(OR(AD$8&lt;IF($F29="",$G29,$F29),AD$8&gt;$G29),"",IF(AND($F29&lt;&gt;"",$F29&lt;$G29),"■","◆")))</x:f>
      </x:c>
      <x:c r="AE29" s="89" t="str">
        <x:f>IF($G29="","",IF(OR(AE$8&lt;IF($F29="",$G29,$F29),AE$8&gt;$G29),"",IF(AND($F29&lt;&gt;"",$F29&lt;$G29),"■","◆")))</x:f>
      </x:c>
      <x:c r="AF29" s="89" t="str">
        <x:f>IF($G29="","",IF(OR(AF$8&lt;IF($F29="",$G29,$F29),AF$8&gt;$G29),"",IF(AND($F29&lt;&gt;"",$F29&lt;$G29),"■","◆")))</x:f>
      </x:c>
      <x:c r="AG29" s="89" t="str">
        <x:f>IF($G29="","",IF(OR(AG$8&lt;IF($F29="",$G29,$F29),AG$8&gt;$G29),"",IF(AND($F29&lt;&gt;"",$F29&lt;$G29),"■","◆")))</x:f>
      </x:c>
      <x:c r="AH29" s="89" t="str">
        <x:f>IF($G29="","",IF(OR(AH$8&lt;IF($F29="",$G29,$F29),AH$8&gt;$G29),"",IF(AND($F29&lt;&gt;"",$F29&lt;$G29),"■","◆")))</x:f>
      </x:c>
      <x:c r="AI29" s="96" t="str">
        <x:f>IF($G29="","",IF(OR(AI$8&lt;IF($F29="",$G29,$F29),AI$8&gt;$G29),"",IF(AND($F29&lt;&gt;"",$F29&lt;$G29),"■","◆")))</x:f>
      </x:c>
      <x:c r="AJ29" s="96" t="str">
        <x:f>IF($G29="","",IF(OR(AJ$8&lt;IF($F29="",$G29,$F29),AJ$8&gt;$G29),"",IF(AND($F29&lt;&gt;"",$F29&lt;$G29),"■","◆")))</x:f>
      </x:c>
      <x:c r="AK29" s="89" t="str">
        <x:f>IF($G29="","",IF(OR(AK$8&lt;IF($F29="",$G29,$F29),AK$8&gt;$G29),"",IF(AND($F29&lt;&gt;"",$F29&lt;$G29),"■","◆")))</x:f>
      </x:c>
      <x:c r="AL29" s="89" t="str">
        <x:f>IF($G29="","",IF(OR(AL$8&lt;IF($F29="",$G29,$F29),AL$8&gt;$G29),"",IF(AND($F29&lt;&gt;"",$F29&lt;$G29),"■","◆")))</x:f>
      </x:c>
      <x:c r="AM29" s="89" t="str">
        <x:f>IF($G29="","",IF(OR(AM$8&lt;IF($F29="",$G29,$F29),AM$8&gt;$G29),"",IF(AND($F29&lt;&gt;"",$F29&lt;$G29),"■","◆")))</x:f>
      </x:c>
      <x:c r="AN29" s="89" t="str">
        <x:f>IF($G29="","",IF(OR(AN$8&lt;IF($F29="",$G29,$F29),AN$8&gt;$G29),"",IF(AND($F29&lt;&gt;"",$F29&lt;$G29),"■","◆")))</x:f>
      </x:c>
      <x:c r="AO29" s="90" t="str">
        <x:f>IF($G29="","",IF(OR(AO$8&lt;IF($F29="",$G29,$F29),AO$8&gt;$G29),"",IF(AND($F29&lt;&gt;"",$F29&lt;$G29),"■","◆")))</x:f>
      </x:c>
    </x:row>
    <x:row r="30" ht="28.5" customHeight="1">
      <x:c r="A30" s="58" t="str">
        <x:v>M02</x:v>
      </x:c>
      <x:c r="B30" s="58" t="str">
        <x:v>資安</x:v>
      </x:c>
      <x:c r="C30" s="58" t="str">
        <x:v>里程碑</x:v>
      </x:c>
      <x:c r="D30" s="53" t="str">
        <x:v>弱點掃描目標日</x:v>
      </x:c>
      <x:c r="E30" s="62" t="str">
        <x:v>待確認</x:v>
      </x:c>
      <x:c r="F30" s="63"/>
      <x:c r="G30" s="63" t="n">
        <x:v>46240</x:v>
      </x:c>
      <x:c r="H30" s="62" t="str">
        <x:v>暫定</x:v>
      </x:c>
      <x:c r="I30" s="53" t="str">
        <x:v>希望排在 08/06，最晚不得晚於 08/12。</x:v>
      </x:c>
      <x:c r="J30" s="88" t="str">
        <x:f>IF($G30="","",IF(OR(J$8&lt;IF($F30="",$G30,$F30),J$8&gt;$G30),"",IF(AND($F30&lt;&gt;"",$F30&lt;$G30),"■","◆")))</x:f>
      </x:c>
      <x:c r="K30" s="89" t="str">
        <x:f>IF($G30="","",IF(OR(K$8&lt;IF($F30="",$G30,$F30),K$8&gt;$G30),"",IF(AND($F30&lt;&gt;"",$F30&lt;$G30),"■","◆")))</x:f>
      </x:c>
      <x:c r="L30" s="89" t="str">
        <x:f>IF($G30="","",IF(OR(L$8&lt;IF($F30="",$G30,$F30),L$8&gt;$G30),"",IF(AND($F30&lt;&gt;"",$F30&lt;$G30),"■","◆")))</x:f>
      </x:c>
      <x:c r="M30" s="89" t="str">
        <x:f>IF($G30="","",IF(OR(M$8&lt;IF($F30="",$G30,$F30),M$8&gt;$G30),"",IF(AND($F30&lt;&gt;"",$F30&lt;$G30),"■","◆")))</x:f>
      </x:c>
      <x:c r="N30" s="96" t="str">
        <x:f>IF($G30="","",IF(OR(N$8&lt;IF($F30="",$G30,$F30),N$8&gt;$G30),"",IF(AND($F30&lt;&gt;"",$F30&lt;$G30),"■","◆")))</x:f>
      </x:c>
      <x:c r="O30" s="96" t="str">
        <x:f>IF($G30="","",IF(OR(O$8&lt;IF($F30="",$G30,$F30),O$8&gt;$G30),"",IF(AND($F30&lt;&gt;"",$F30&lt;$G30),"■","◆")))</x:f>
      </x:c>
      <x:c r="P30" s="89" t="str">
        <x:f>IF($G30="","",IF(OR(P$8&lt;IF($F30="",$G30,$F30),P$8&gt;$G30),"",IF(AND($F30&lt;&gt;"",$F30&lt;$G30),"■","◆")))</x:f>
      </x:c>
      <x:c r="Q30" s="89" t="str">
        <x:f>IF($G30="","",IF(OR(Q$8&lt;IF($F30="",$G30,$F30),Q$8&gt;$G30),"",IF(AND($F30&lt;&gt;"",$F30&lt;$G30),"■","◆")))</x:f>
      </x:c>
      <x:c r="R30" s="89" t="str">
        <x:f>IF($G30="","",IF(OR(R$8&lt;IF($F30="",$G30,$F30),R$8&gt;$G30),"",IF(AND($F30&lt;&gt;"",$F30&lt;$G30),"■","◆")))</x:f>
      </x:c>
      <x:c r="S30" s="89" t="str">
        <x:f>IF($G30="","",IF(OR(S$8&lt;IF($F30="",$G30,$F30),S$8&gt;$G30),"",IF(AND($F30&lt;&gt;"",$F30&lt;$G30),"■","◆")))</x:f>
        <x:v>◆</x:v>
      </x:c>
      <x:c r="T30" s="89" t="str">
        <x:f>IF($G30="","",IF(OR(T$8&lt;IF($F30="",$G30,$F30),T$8&gt;$G30),"",IF(AND($F30&lt;&gt;"",$F30&lt;$G30),"■","◆")))</x:f>
      </x:c>
      <x:c r="U30" s="96" t="str">
        <x:f>IF($G30="","",IF(OR(U$8&lt;IF($F30="",$G30,$F30),U$8&gt;$G30),"",IF(AND($F30&lt;&gt;"",$F30&lt;$G30),"■","◆")))</x:f>
      </x:c>
      <x:c r="V30" s="96" t="str">
        <x:f>IF($G30="","",IF(OR(V$8&lt;IF($F30="",$G30,$F30),V$8&gt;$G30),"",IF(AND($F30&lt;&gt;"",$F30&lt;$G30),"■","◆")))</x:f>
      </x:c>
      <x:c r="W30" s="89" t="str">
        <x:f>IF($G30="","",IF(OR(W$8&lt;IF($F30="",$G30,$F30),W$8&gt;$G30),"",IF(AND($F30&lt;&gt;"",$F30&lt;$G30),"■","◆")))</x:f>
      </x:c>
      <x:c r="X30" s="89" t="str">
        <x:f>IF($G30="","",IF(OR(X$8&lt;IF($F30="",$G30,$F30),X$8&gt;$G30),"",IF(AND($F30&lt;&gt;"",$F30&lt;$G30),"■","◆")))</x:f>
      </x:c>
      <x:c r="Y30" s="89" t="str">
        <x:f>IF($G30="","",IF(OR(Y$8&lt;IF($F30="",$G30,$F30),Y$8&gt;$G30),"",IF(AND($F30&lt;&gt;"",$F30&lt;$G30),"■","◆")))</x:f>
      </x:c>
      <x:c r="Z30" s="89" t="str">
        <x:f>IF($G30="","",IF(OR(Z$8&lt;IF($F30="",$G30,$F30),Z$8&gt;$G30),"",IF(AND($F30&lt;&gt;"",$F30&lt;$G30),"■","◆")))</x:f>
      </x:c>
      <x:c r="AA30" s="89" t="str">
        <x:f>IF($G30="","",IF(OR(AA$8&lt;IF($F30="",$G30,$F30),AA$8&gt;$G30),"",IF(AND($F30&lt;&gt;"",$F30&lt;$G30),"■","◆")))</x:f>
      </x:c>
      <x:c r="AB30" s="96" t="str">
        <x:f>IF($G30="","",IF(OR(AB$8&lt;IF($F30="",$G30,$F30),AB$8&gt;$G30),"",IF(AND($F30&lt;&gt;"",$F30&lt;$G30),"■","◆")))</x:f>
      </x:c>
      <x:c r="AC30" s="96" t="str">
        <x:f>IF($G30="","",IF(OR(AC$8&lt;IF($F30="",$G30,$F30),AC$8&gt;$G30),"",IF(AND($F30&lt;&gt;"",$F30&lt;$G30),"■","◆")))</x:f>
      </x:c>
      <x:c r="AD30" s="89" t="str">
        <x:f>IF($G30="","",IF(OR(AD$8&lt;IF($F30="",$G30,$F30),AD$8&gt;$G30),"",IF(AND($F30&lt;&gt;"",$F30&lt;$G30),"■","◆")))</x:f>
      </x:c>
      <x:c r="AE30" s="89" t="str">
        <x:f>IF($G30="","",IF(OR(AE$8&lt;IF($F30="",$G30,$F30),AE$8&gt;$G30),"",IF(AND($F30&lt;&gt;"",$F30&lt;$G30),"■","◆")))</x:f>
      </x:c>
      <x:c r="AF30" s="89" t="str">
        <x:f>IF($G30="","",IF(OR(AF$8&lt;IF($F30="",$G30,$F30),AF$8&gt;$G30),"",IF(AND($F30&lt;&gt;"",$F30&lt;$G30),"■","◆")))</x:f>
      </x:c>
      <x:c r="AG30" s="89" t="str">
        <x:f>IF($G30="","",IF(OR(AG$8&lt;IF($F30="",$G30,$F30),AG$8&gt;$G30),"",IF(AND($F30&lt;&gt;"",$F30&lt;$G30),"■","◆")))</x:f>
      </x:c>
      <x:c r="AH30" s="89" t="str">
        <x:f>IF($G30="","",IF(OR(AH$8&lt;IF($F30="",$G30,$F30),AH$8&gt;$G30),"",IF(AND($F30&lt;&gt;"",$F30&lt;$G30),"■","◆")))</x:f>
      </x:c>
      <x:c r="AI30" s="96" t="str">
        <x:f>IF($G30="","",IF(OR(AI$8&lt;IF($F30="",$G30,$F30),AI$8&gt;$G30),"",IF(AND($F30&lt;&gt;"",$F30&lt;$G30),"■","◆")))</x:f>
      </x:c>
      <x:c r="AJ30" s="96" t="str">
        <x:f>IF($G30="","",IF(OR(AJ$8&lt;IF($F30="",$G30,$F30),AJ$8&gt;$G30),"",IF(AND($F30&lt;&gt;"",$F30&lt;$G30),"■","◆")))</x:f>
      </x:c>
      <x:c r="AK30" s="89" t="str">
        <x:f>IF($G30="","",IF(OR(AK$8&lt;IF($F30="",$G30,$F30),AK$8&gt;$G30),"",IF(AND($F30&lt;&gt;"",$F30&lt;$G30),"■","◆")))</x:f>
      </x:c>
      <x:c r="AL30" s="89" t="str">
        <x:f>IF($G30="","",IF(OR(AL$8&lt;IF($F30="",$G30,$F30),AL$8&gt;$G30),"",IF(AND($F30&lt;&gt;"",$F30&lt;$G30),"■","◆")))</x:f>
      </x:c>
      <x:c r="AM30" s="89" t="str">
        <x:f>IF($G30="","",IF(OR(AM$8&lt;IF($F30="",$G30,$F30),AM$8&gt;$G30),"",IF(AND($F30&lt;&gt;"",$F30&lt;$G30),"■","◆")))</x:f>
      </x:c>
      <x:c r="AN30" s="89" t="str">
        <x:f>IF($G30="","",IF(OR(AN$8&lt;IF($F30="",$G30,$F30),AN$8&gt;$G30),"",IF(AND($F30&lt;&gt;"",$F30&lt;$G30),"■","◆")))</x:f>
      </x:c>
      <x:c r="AO30" s="90" t="str">
        <x:f>IF($G30="","",IF(OR(AO$8&lt;IF($F30="",$G30,$F30),AO$8&gt;$G30),"",IF(AND($F30&lt;&gt;"",$F30&lt;$G30),"■","◆")))</x:f>
      </x:c>
    </x:row>
    <x:row r="31" ht="28.5" customHeight="1">
      <x:c r="A31" s="58" t="str">
        <x:v>M03</x:v>
      </x:c>
      <x:c r="B31" s="58" t="str">
        <x:v>測試</x:v>
      </x:c>
      <x:c r="C31" s="58" t="str">
        <x:v>期間</x:v>
      </x:c>
      <x:c r="D31" s="53" t="str">
        <x:v>UAT</x:v>
      </x:c>
      <x:c r="E31" s="62" t="str">
        <x:v>產品／客服／行銷</x:v>
      </x:c>
      <x:c r="F31" s="63" t="n">
        <x:v>46245</x:v>
      </x:c>
      <x:c r="G31" s="63" t="n">
        <x:v>46252</x:v>
      </x:c>
      <x:c r="H31" s="62" t="str">
        <x:v>預計</x:v>
      </x:c>
      <x:c r="I31" s="53" t="str">
        <x:v>測試人員：產品 2 人、客服 2 人、行銷 1 人。</x:v>
      </x:c>
      <x:c r="J31" s="88" t="str">
        <x:f>IF($G31="","",IF(OR(J$8&lt;IF($F31="",$G31,$F31),J$8&gt;$G31),"",IF(AND($F31&lt;&gt;"",$F31&lt;$G31),"■","◆")))</x:f>
      </x:c>
      <x:c r="K31" s="89" t="str">
        <x:f>IF($G31="","",IF(OR(K$8&lt;IF($F31="",$G31,$F31),K$8&gt;$G31),"",IF(AND($F31&lt;&gt;"",$F31&lt;$G31),"■","◆")))</x:f>
      </x:c>
      <x:c r="L31" s="89" t="str">
        <x:f>IF($G31="","",IF(OR(L$8&lt;IF($F31="",$G31,$F31),L$8&gt;$G31),"",IF(AND($F31&lt;&gt;"",$F31&lt;$G31),"■","◆")))</x:f>
      </x:c>
      <x:c r="M31" s="89" t="str">
        <x:f>IF($G31="","",IF(OR(M$8&lt;IF($F31="",$G31,$F31),M$8&gt;$G31),"",IF(AND($F31&lt;&gt;"",$F31&lt;$G31),"■","◆")))</x:f>
      </x:c>
      <x:c r="N31" s="96" t="str">
        <x:f>IF($G31="","",IF(OR(N$8&lt;IF($F31="",$G31,$F31),N$8&gt;$G31),"",IF(AND($F31&lt;&gt;"",$F31&lt;$G31),"■","◆")))</x:f>
      </x:c>
      <x:c r="O31" s="96" t="str">
        <x:f>IF($G31="","",IF(OR(O$8&lt;IF($F31="",$G31,$F31),O$8&gt;$G31),"",IF(AND($F31&lt;&gt;"",$F31&lt;$G31),"■","◆")))</x:f>
      </x:c>
      <x:c r="P31" s="89" t="str">
        <x:f>IF($G31="","",IF(OR(P$8&lt;IF($F31="",$G31,$F31),P$8&gt;$G31),"",IF(AND($F31&lt;&gt;"",$F31&lt;$G31),"■","◆")))</x:f>
      </x:c>
      <x:c r="Q31" s="89" t="str">
        <x:f>IF($G31="","",IF(OR(Q$8&lt;IF($F31="",$G31,$F31),Q$8&gt;$G31),"",IF(AND($F31&lt;&gt;"",$F31&lt;$G31),"■","◆")))</x:f>
      </x:c>
      <x:c r="R31" s="89" t="str">
        <x:f>IF($G31="","",IF(OR(R$8&lt;IF($F31="",$G31,$F31),R$8&gt;$G31),"",IF(AND($F31&lt;&gt;"",$F31&lt;$G31),"■","◆")))</x:f>
      </x:c>
      <x:c r="S31" s="89" t="str">
        <x:f>IF($G31="","",IF(OR(S$8&lt;IF($F31="",$G31,$F31),S$8&gt;$G31),"",IF(AND($F31&lt;&gt;"",$F31&lt;$G31),"■","◆")))</x:f>
      </x:c>
      <x:c r="T31" s="89" t="str">
        <x:f>IF($G31="","",IF(OR(T$8&lt;IF($F31="",$G31,$F31),T$8&gt;$G31),"",IF(AND($F31&lt;&gt;"",$F31&lt;$G31),"■","◆")))</x:f>
      </x:c>
      <x:c r="U31" s="96" t="str">
        <x:f>IF($G31="","",IF(OR(U$8&lt;IF($F31="",$G31,$F31),U$8&gt;$G31),"",IF(AND($F31&lt;&gt;"",$F31&lt;$G31),"■","◆")))</x:f>
      </x:c>
      <x:c r="V31" s="96" t="str">
        <x:f>IF($G31="","",IF(OR(V$8&lt;IF($F31="",$G31,$F31),V$8&gt;$G31),"",IF(AND($F31&lt;&gt;"",$F31&lt;$G31),"■","◆")))</x:f>
      </x:c>
      <x:c r="W31" s="89" t="str">
        <x:f>IF($G31="","",IF(OR(W$8&lt;IF($F31="",$G31,$F31),W$8&gt;$G31),"",IF(AND($F31&lt;&gt;"",$F31&lt;$G31),"■","◆")))</x:f>
      </x:c>
      <x:c r="X31" s="89" t="str">
        <x:f>IF($G31="","",IF(OR(X$8&lt;IF($F31="",$G31,$F31),X$8&gt;$G31),"",IF(AND($F31&lt;&gt;"",$F31&lt;$G31),"■","◆")))</x:f>
        <x:v>■</x:v>
      </x:c>
      <x:c r="Y31" s="89" t="str">
        <x:f>IF($G31="","",IF(OR(Y$8&lt;IF($F31="",$G31,$F31),Y$8&gt;$G31),"",IF(AND($F31&lt;&gt;"",$F31&lt;$G31),"■","◆")))</x:f>
        <x:v>■</x:v>
      </x:c>
      <x:c r="Z31" s="89" t="str">
        <x:f>IF($G31="","",IF(OR(Z$8&lt;IF($F31="",$G31,$F31),Z$8&gt;$G31),"",IF(AND($F31&lt;&gt;"",$F31&lt;$G31),"■","◆")))</x:f>
        <x:v>■</x:v>
      </x:c>
      <x:c r="AA31" s="89" t="str">
        <x:f>IF($G31="","",IF(OR(AA$8&lt;IF($F31="",$G31,$F31),AA$8&gt;$G31),"",IF(AND($F31&lt;&gt;"",$F31&lt;$G31),"■","◆")))</x:f>
        <x:v>■</x:v>
      </x:c>
      <x:c r="AB31" s="96" t="str">
        <x:f>IF($G31="","",IF(OR(AB$8&lt;IF($F31="",$G31,$F31),AB$8&gt;$G31),"",IF(AND($F31&lt;&gt;"",$F31&lt;$G31),"■","◆")))</x:f>
        <x:v>■</x:v>
      </x:c>
      <x:c r="AC31" s="96" t="str">
        <x:f>IF($G31="","",IF(OR(AC$8&lt;IF($F31="",$G31,$F31),AC$8&gt;$G31),"",IF(AND($F31&lt;&gt;"",$F31&lt;$G31),"■","◆")))</x:f>
        <x:v>■</x:v>
      </x:c>
      <x:c r="AD31" s="89" t="str">
        <x:f>IF($G31="","",IF(OR(AD$8&lt;IF($F31="",$G31,$F31),AD$8&gt;$G31),"",IF(AND($F31&lt;&gt;"",$F31&lt;$G31),"■","◆")))</x:f>
        <x:v>■</x:v>
      </x:c>
      <x:c r="AE31" s="89" t="str">
        <x:f>IF($G31="","",IF(OR(AE$8&lt;IF($F31="",$G31,$F31),AE$8&gt;$G31),"",IF(AND($F31&lt;&gt;"",$F31&lt;$G31),"■","◆")))</x:f>
        <x:v>■</x:v>
      </x:c>
      <x:c r="AF31" s="89" t="str">
        <x:f>IF($G31="","",IF(OR(AF$8&lt;IF($F31="",$G31,$F31),AF$8&gt;$G31),"",IF(AND($F31&lt;&gt;"",$F31&lt;$G31),"■","◆")))</x:f>
      </x:c>
      <x:c r="AG31" s="89" t="str">
        <x:f>IF($G31="","",IF(OR(AG$8&lt;IF($F31="",$G31,$F31),AG$8&gt;$G31),"",IF(AND($F31&lt;&gt;"",$F31&lt;$G31),"■","◆")))</x:f>
      </x:c>
      <x:c r="AH31" s="89" t="str">
        <x:f>IF($G31="","",IF(OR(AH$8&lt;IF($F31="",$G31,$F31),AH$8&gt;$G31),"",IF(AND($F31&lt;&gt;"",$F31&lt;$G31),"■","◆")))</x:f>
      </x:c>
      <x:c r="AI31" s="96" t="str">
        <x:f>IF($G31="","",IF(OR(AI$8&lt;IF($F31="",$G31,$F31),AI$8&gt;$G31),"",IF(AND($F31&lt;&gt;"",$F31&lt;$G31),"■","◆")))</x:f>
      </x:c>
      <x:c r="AJ31" s="96" t="str">
        <x:f>IF($G31="","",IF(OR(AJ$8&lt;IF($F31="",$G31,$F31),AJ$8&gt;$G31),"",IF(AND($F31&lt;&gt;"",$F31&lt;$G31),"■","◆")))</x:f>
      </x:c>
      <x:c r="AK31" s="89" t="str">
        <x:f>IF($G31="","",IF(OR(AK$8&lt;IF($F31="",$G31,$F31),AK$8&gt;$G31),"",IF(AND($F31&lt;&gt;"",$F31&lt;$G31),"■","◆")))</x:f>
      </x:c>
      <x:c r="AL31" s="89" t="str">
        <x:f>IF($G31="","",IF(OR(AL$8&lt;IF($F31="",$G31,$F31),AL$8&gt;$G31),"",IF(AND($F31&lt;&gt;"",$F31&lt;$G31),"■","◆")))</x:f>
      </x:c>
      <x:c r="AM31" s="89" t="str">
        <x:f>IF($G31="","",IF(OR(AM$8&lt;IF($F31="",$G31,$F31),AM$8&gt;$G31),"",IF(AND($F31&lt;&gt;"",$F31&lt;$G31),"■","◆")))</x:f>
      </x:c>
      <x:c r="AN31" s="89" t="str">
        <x:f>IF($G31="","",IF(OR(AN$8&lt;IF($F31="",$G31,$F31),AN$8&gt;$G31),"",IF(AND($F31&lt;&gt;"",$F31&lt;$G31),"■","◆")))</x:f>
      </x:c>
      <x:c r="AO31" s="90" t="str">
        <x:f>IF($G31="","",IF(OR(AO$8&lt;IF($F31="",$G31,$F31),AO$8&gt;$G31),"",IF(AND($F31&lt;&gt;"",$F31&lt;$G31),"■","◆")))</x:f>
      </x:c>
    </x:row>
    <x:row r="32" ht="28.5" customHeight="1">
      <x:c r="A32" s="58" t="str">
        <x:v>M04</x:v>
      </x:c>
      <x:c r="B32" s="58" t="str">
        <x:v>測試</x:v>
      </x:c>
      <x:c r="C32" s="58" t="str">
        <x:v>里程碑</x:v>
      </x:c>
      <x:c r="D32" s="53" t="str">
        <x:v>機房維護／測試環境可能中斷</x:v>
      </x:c>
      <x:c r="E32" s="62" t="str">
        <x:v>待確認</x:v>
      </x:c>
      <x:c r="F32" s="63"/>
      <x:c r="G32" s="63" t="n">
        <x:v>46247</x:v>
      </x:c>
      <x:c r="H32" s="62" t="str">
        <x:v>已確認</x:v>
      </x:c>
      <x:c r="I32" s="53" t="str">
        <x:v>下午可能中斷約兩小時。</x:v>
      </x:c>
      <x:c r="J32" s="88" t="str">
        <x:f>IF($G32="","",IF(OR(J$8&lt;IF($F32="",$G32,$F32),J$8&gt;$G32),"",IF(AND($F32&lt;&gt;"",$F32&lt;$G32),"■","◆")))</x:f>
      </x:c>
      <x:c r="K32" s="89" t="str">
        <x:f>IF($G32="","",IF(OR(K$8&lt;IF($F32="",$G32,$F32),K$8&gt;$G32),"",IF(AND($F32&lt;&gt;"",$F32&lt;$G32),"■","◆")))</x:f>
      </x:c>
      <x:c r="L32" s="89" t="str">
        <x:f>IF($G32="","",IF(OR(L$8&lt;IF($F32="",$G32,$F32),L$8&gt;$G32),"",IF(AND($F32&lt;&gt;"",$F32&lt;$G32),"■","◆")))</x:f>
      </x:c>
      <x:c r="M32" s="89" t="str">
        <x:f>IF($G32="","",IF(OR(M$8&lt;IF($F32="",$G32,$F32),M$8&gt;$G32),"",IF(AND($F32&lt;&gt;"",$F32&lt;$G32),"■","◆")))</x:f>
      </x:c>
      <x:c r="N32" s="96" t="str">
        <x:f>IF($G32="","",IF(OR(N$8&lt;IF($F32="",$G32,$F32),N$8&gt;$G32),"",IF(AND($F32&lt;&gt;"",$F32&lt;$G32),"■","◆")))</x:f>
      </x:c>
      <x:c r="O32" s="96" t="str">
        <x:f>IF($G32="","",IF(OR(O$8&lt;IF($F32="",$G32,$F32),O$8&gt;$G32),"",IF(AND($F32&lt;&gt;"",$F32&lt;$G32),"■","◆")))</x:f>
      </x:c>
      <x:c r="P32" s="89" t="str">
        <x:f>IF($G32="","",IF(OR(P$8&lt;IF($F32="",$G32,$F32),P$8&gt;$G32),"",IF(AND($F32&lt;&gt;"",$F32&lt;$G32),"■","◆")))</x:f>
      </x:c>
      <x:c r="Q32" s="89" t="str">
        <x:f>IF($G32="","",IF(OR(Q$8&lt;IF($F32="",$G32,$F32),Q$8&gt;$G32),"",IF(AND($F32&lt;&gt;"",$F32&lt;$G32),"■","◆")))</x:f>
      </x:c>
      <x:c r="R32" s="89" t="str">
        <x:f>IF($G32="","",IF(OR(R$8&lt;IF($F32="",$G32,$F32),R$8&gt;$G32),"",IF(AND($F32&lt;&gt;"",$F32&lt;$G32),"■","◆")))</x:f>
      </x:c>
      <x:c r="S32" s="89" t="str">
        <x:f>IF($G32="","",IF(OR(S$8&lt;IF($F32="",$G32,$F32),S$8&gt;$G32),"",IF(AND($F32&lt;&gt;"",$F32&lt;$G32),"■","◆")))</x:f>
      </x:c>
      <x:c r="T32" s="89" t="str">
        <x:f>IF($G32="","",IF(OR(T$8&lt;IF($F32="",$G32,$F32),T$8&gt;$G32),"",IF(AND($F32&lt;&gt;"",$F32&lt;$G32),"■","◆")))</x:f>
      </x:c>
      <x:c r="U32" s="96" t="str">
        <x:f>IF($G32="","",IF(OR(U$8&lt;IF($F32="",$G32,$F32),U$8&gt;$G32),"",IF(AND($F32&lt;&gt;"",$F32&lt;$G32),"■","◆")))</x:f>
      </x:c>
      <x:c r="V32" s="96" t="str">
        <x:f>IF($G32="","",IF(OR(V$8&lt;IF($F32="",$G32,$F32),V$8&gt;$G32),"",IF(AND($F32&lt;&gt;"",$F32&lt;$G32),"■","◆")))</x:f>
      </x:c>
      <x:c r="W32" s="89" t="str">
        <x:f>IF($G32="","",IF(OR(W$8&lt;IF($F32="",$G32,$F32),W$8&gt;$G32),"",IF(AND($F32&lt;&gt;"",$F32&lt;$G32),"■","◆")))</x:f>
      </x:c>
      <x:c r="X32" s="89" t="str">
        <x:f>IF($G32="","",IF(OR(X$8&lt;IF($F32="",$G32,$F32),X$8&gt;$G32),"",IF(AND($F32&lt;&gt;"",$F32&lt;$G32),"■","◆")))</x:f>
      </x:c>
      <x:c r="Y32" s="89" t="str">
        <x:f>IF($G32="","",IF(OR(Y$8&lt;IF($F32="",$G32,$F32),Y$8&gt;$G32),"",IF(AND($F32&lt;&gt;"",$F32&lt;$G32),"■","◆")))</x:f>
      </x:c>
      <x:c r="Z32" s="89" t="str">
        <x:f>IF($G32="","",IF(OR(Z$8&lt;IF($F32="",$G32,$F32),Z$8&gt;$G32),"",IF(AND($F32&lt;&gt;"",$F32&lt;$G32),"■","◆")))</x:f>
        <x:v>◆</x:v>
      </x:c>
      <x:c r="AA32" s="89" t="str">
        <x:f>IF($G32="","",IF(OR(AA$8&lt;IF($F32="",$G32,$F32),AA$8&gt;$G32),"",IF(AND($F32&lt;&gt;"",$F32&lt;$G32),"■","◆")))</x:f>
      </x:c>
      <x:c r="AB32" s="96" t="str">
        <x:f>IF($G32="","",IF(OR(AB$8&lt;IF($F32="",$G32,$F32),AB$8&gt;$G32),"",IF(AND($F32&lt;&gt;"",$F32&lt;$G32),"■","◆")))</x:f>
      </x:c>
      <x:c r="AC32" s="96" t="str">
        <x:f>IF($G32="","",IF(OR(AC$8&lt;IF($F32="",$G32,$F32),AC$8&gt;$G32),"",IF(AND($F32&lt;&gt;"",$F32&lt;$G32),"■","◆")))</x:f>
      </x:c>
      <x:c r="AD32" s="89" t="str">
        <x:f>IF($G32="","",IF(OR(AD$8&lt;IF($F32="",$G32,$F32),AD$8&gt;$G32),"",IF(AND($F32&lt;&gt;"",$F32&lt;$G32),"■","◆")))</x:f>
      </x:c>
      <x:c r="AE32" s="89" t="str">
        <x:f>IF($G32="","",IF(OR(AE$8&lt;IF($F32="",$G32,$F32),AE$8&gt;$G32),"",IF(AND($F32&lt;&gt;"",$F32&lt;$G32),"■","◆")))</x:f>
      </x:c>
      <x:c r="AF32" s="89" t="str">
        <x:f>IF($G32="","",IF(OR(AF$8&lt;IF($F32="",$G32,$F32),AF$8&gt;$G32),"",IF(AND($F32&lt;&gt;"",$F32&lt;$G32),"■","◆")))</x:f>
      </x:c>
      <x:c r="AG32" s="89" t="str">
        <x:f>IF($G32="","",IF(OR(AG$8&lt;IF($F32="",$G32,$F32),AG$8&gt;$G32),"",IF(AND($F32&lt;&gt;"",$F32&lt;$G32),"■","◆")))</x:f>
      </x:c>
      <x:c r="AH32" s="89" t="str">
        <x:f>IF($G32="","",IF(OR(AH$8&lt;IF($F32="",$G32,$F32),AH$8&gt;$G32),"",IF(AND($F32&lt;&gt;"",$F32&lt;$G32),"■","◆")))</x:f>
      </x:c>
      <x:c r="AI32" s="96" t="str">
        <x:f>IF($G32="","",IF(OR(AI$8&lt;IF($F32="",$G32,$F32),AI$8&gt;$G32),"",IF(AND($F32&lt;&gt;"",$F32&lt;$G32),"■","◆")))</x:f>
      </x:c>
      <x:c r="AJ32" s="96" t="str">
        <x:f>IF($G32="","",IF(OR(AJ$8&lt;IF($F32="",$G32,$F32),AJ$8&gt;$G32),"",IF(AND($F32&lt;&gt;"",$F32&lt;$G32),"■","◆")))</x:f>
      </x:c>
      <x:c r="AK32" s="89" t="str">
        <x:f>IF($G32="","",IF(OR(AK$8&lt;IF($F32="",$G32,$F32),AK$8&gt;$G32),"",IF(AND($F32&lt;&gt;"",$F32&lt;$G32),"■","◆")))</x:f>
      </x:c>
      <x:c r="AL32" s="89" t="str">
        <x:f>IF($G32="","",IF(OR(AL$8&lt;IF($F32="",$G32,$F32),AL$8&gt;$G32),"",IF(AND($F32&lt;&gt;"",$F32&lt;$G32),"■","◆")))</x:f>
      </x:c>
      <x:c r="AM32" s="89" t="str">
        <x:f>IF($G32="","",IF(OR(AM$8&lt;IF($F32="",$G32,$F32),AM$8&gt;$G32),"",IF(AND($F32&lt;&gt;"",$F32&lt;$G32),"■","◆")))</x:f>
      </x:c>
      <x:c r="AN32" s="89" t="str">
        <x:f>IF($G32="","",IF(OR(AN$8&lt;IF($F32="",$G32,$F32),AN$8&gt;$G32),"",IF(AND($F32&lt;&gt;"",$F32&lt;$G32),"■","◆")))</x:f>
      </x:c>
      <x:c r="AO32" s="90" t="str">
        <x:f>IF($G32="","",IF(OR(AO$8&lt;IF($F32="",$G32,$F32),AO$8&gt;$G32),"",IF(AND($F32&lt;&gt;"",$F32&lt;$G32),"■","◆")))</x:f>
      </x:c>
    </x:row>
    <x:row r="33" ht="28.5" customHeight="1">
      <x:c r="A33" s="58" t="str">
        <x:v>M05</x:v>
      </x:c>
      <x:c r="B33" s="58" t="str">
        <x:v>資料／產品</x:v>
      </x:c>
      <x:c r="C33" s="58" t="str">
        <x:v>里程碑</x:v>
      </x:c>
      <x:c r="D33" s="53" t="str">
        <x:v>付款匯入功能評估點</x:v>
      </x:c>
      <x:c r="E33" s="62" t="str">
        <x:v>待確認</x:v>
      </x:c>
      <x:c r="F33" s="63"/>
      <x:c r="G33" s="63" t="n">
        <x:v>46248</x:v>
      </x:c>
      <x:c r="H33" s="62" t="str">
        <x:v>有條件</x:v>
      </x:c>
      <x:c r="I33" s="53" t="str">
        <x:v>若問題仍未解決，重新評估是否延至第二階段。</x:v>
      </x:c>
      <x:c r="J33" s="88" t="str">
        <x:f>IF($G33="","",IF(OR(J$8&lt;IF($F33="",$G33,$F33),J$8&gt;$G33),"",IF(AND($F33&lt;&gt;"",$F33&lt;$G33),"■","◆")))</x:f>
      </x:c>
      <x:c r="K33" s="89" t="str">
        <x:f>IF($G33="","",IF(OR(K$8&lt;IF($F33="",$G33,$F33),K$8&gt;$G33),"",IF(AND($F33&lt;&gt;"",$F33&lt;$G33),"■","◆")))</x:f>
      </x:c>
      <x:c r="L33" s="89" t="str">
        <x:f>IF($G33="","",IF(OR(L$8&lt;IF($F33="",$G33,$F33),L$8&gt;$G33),"",IF(AND($F33&lt;&gt;"",$F33&lt;$G33),"■","◆")))</x:f>
      </x:c>
      <x:c r="M33" s="89" t="str">
        <x:f>IF($G33="","",IF(OR(M$8&lt;IF($F33="",$G33,$F33),M$8&gt;$G33),"",IF(AND($F33&lt;&gt;"",$F33&lt;$G33),"■","◆")))</x:f>
      </x:c>
      <x:c r="N33" s="96" t="str">
        <x:f>IF($G33="","",IF(OR(N$8&lt;IF($F33="",$G33,$F33),N$8&gt;$G33),"",IF(AND($F33&lt;&gt;"",$F33&lt;$G33),"■","◆")))</x:f>
      </x:c>
      <x:c r="O33" s="96" t="str">
        <x:f>IF($G33="","",IF(OR(O$8&lt;IF($F33="",$G33,$F33),O$8&gt;$G33),"",IF(AND($F33&lt;&gt;"",$F33&lt;$G33),"■","◆")))</x:f>
      </x:c>
      <x:c r="P33" s="89" t="str">
        <x:f>IF($G33="","",IF(OR(P$8&lt;IF($F33="",$G33,$F33),P$8&gt;$G33),"",IF(AND($F33&lt;&gt;"",$F33&lt;$G33),"■","◆")))</x:f>
      </x:c>
      <x:c r="Q33" s="89" t="str">
        <x:f>IF($G33="","",IF(OR(Q$8&lt;IF($F33="",$G33,$F33),Q$8&gt;$G33),"",IF(AND($F33&lt;&gt;"",$F33&lt;$G33),"■","◆")))</x:f>
      </x:c>
      <x:c r="R33" s="89" t="str">
        <x:f>IF($G33="","",IF(OR(R$8&lt;IF($F33="",$G33,$F33),R$8&gt;$G33),"",IF(AND($F33&lt;&gt;"",$F33&lt;$G33),"■","◆")))</x:f>
      </x:c>
      <x:c r="S33" s="89" t="str">
        <x:f>IF($G33="","",IF(OR(S$8&lt;IF($F33="",$G33,$F33),S$8&gt;$G33),"",IF(AND($F33&lt;&gt;"",$F33&lt;$G33),"■","◆")))</x:f>
      </x:c>
      <x:c r="T33" s="89" t="str">
        <x:f>IF($G33="","",IF(OR(T$8&lt;IF($F33="",$G33,$F33),T$8&gt;$G33),"",IF(AND($F33&lt;&gt;"",$F33&lt;$G33),"■","◆")))</x:f>
      </x:c>
      <x:c r="U33" s="96" t="str">
        <x:f>IF($G33="","",IF(OR(U$8&lt;IF($F33="",$G33,$F33),U$8&gt;$G33),"",IF(AND($F33&lt;&gt;"",$F33&lt;$G33),"■","◆")))</x:f>
      </x:c>
      <x:c r="V33" s="96" t="str">
        <x:f>IF($G33="","",IF(OR(V$8&lt;IF($F33="",$G33,$F33),V$8&gt;$G33),"",IF(AND($F33&lt;&gt;"",$F33&lt;$G33),"■","◆")))</x:f>
      </x:c>
      <x:c r="W33" s="89" t="str">
        <x:f>IF($G33="","",IF(OR(W$8&lt;IF($F33="",$G33,$F33),W$8&gt;$G33),"",IF(AND($F33&lt;&gt;"",$F33&lt;$G33),"■","◆")))</x:f>
      </x:c>
      <x:c r="X33" s="89" t="str">
        <x:f>IF($G33="","",IF(OR(X$8&lt;IF($F33="",$G33,$F33),X$8&gt;$G33),"",IF(AND($F33&lt;&gt;"",$F33&lt;$G33),"■","◆")))</x:f>
      </x:c>
      <x:c r="Y33" s="89" t="str">
        <x:f>IF($G33="","",IF(OR(Y$8&lt;IF($F33="",$G33,$F33),Y$8&gt;$G33),"",IF(AND($F33&lt;&gt;"",$F33&lt;$G33),"■","◆")))</x:f>
      </x:c>
      <x:c r="Z33" s="89" t="str">
        <x:f>IF($G33="","",IF(OR(Z$8&lt;IF($F33="",$G33,$F33),Z$8&gt;$G33),"",IF(AND($F33&lt;&gt;"",$F33&lt;$G33),"■","◆")))</x:f>
      </x:c>
      <x:c r="AA33" s="89" t="str">
        <x:f>IF($G33="","",IF(OR(AA$8&lt;IF($F33="",$G33,$F33),AA$8&gt;$G33),"",IF(AND($F33&lt;&gt;"",$F33&lt;$G33),"■","◆")))</x:f>
        <x:v>◆</x:v>
      </x:c>
      <x:c r="AB33" s="96" t="str">
        <x:f>IF($G33="","",IF(OR(AB$8&lt;IF($F33="",$G33,$F33),AB$8&gt;$G33),"",IF(AND($F33&lt;&gt;"",$F33&lt;$G33),"■","◆")))</x:f>
      </x:c>
      <x:c r="AC33" s="96" t="str">
        <x:f>IF($G33="","",IF(OR(AC$8&lt;IF($F33="",$G33,$F33),AC$8&gt;$G33),"",IF(AND($F33&lt;&gt;"",$F33&lt;$G33),"■","◆")))</x:f>
      </x:c>
      <x:c r="AD33" s="89" t="str">
        <x:f>IF($G33="","",IF(OR(AD$8&lt;IF($F33="",$G33,$F33),AD$8&gt;$G33),"",IF(AND($F33&lt;&gt;"",$F33&lt;$G33),"■","◆")))</x:f>
      </x:c>
      <x:c r="AE33" s="89" t="str">
        <x:f>IF($G33="","",IF(OR(AE$8&lt;IF($F33="",$G33,$F33),AE$8&gt;$G33),"",IF(AND($F33&lt;&gt;"",$F33&lt;$G33),"■","◆")))</x:f>
      </x:c>
      <x:c r="AF33" s="89" t="str">
        <x:f>IF($G33="","",IF(OR(AF$8&lt;IF($F33="",$G33,$F33),AF$8&gt;$G33),"",IF(AND($F33&lt;&gt;"",$F33&lt;$G33),"■","◆")))</x:f>
      </x:c>
      <x:c r="AG33" s="89" t="str">
        <x:f>IF($G33="","",IF(OR(AG$8&lt;IF($F33="",$G33,$F33),AG$8&gt;$G33),"",IF(AND($F33&lt;&gt;"",$F33&lt;$G33),"■","◆")))</x:f>
      </x:c>
      <x:c r="AH33" s="89" t="str">
        <x:f>IF($G33="","",IF(OR(AH$8&lt;IF($F33="",$G33,$F33),AH$8&gt;$G33),"",IF(AND($F33&lt;&gt;"",$F33&lt;$G33),"■","◆")))</x:f>
      </x:c>
      <x:c r="AI33" s="96" t="str">
        <x:f>IF($G33="","",IF(OR(AI$8&lt;IF($F33="",$G33,$F33),AI$8&gt;$G33),"",IF(AND($F33&lt;&gt;"",$F33&lt;$G33),"■","◆")))</x:f>
      </x:c>
      <x:c r="AJ33" s="96" t="str">
        <x:f>IF($G33="","",IF(OR(AJ$8&lt;IF($F33="",$G33,$F33),AJ$8&gt;$G33),"",IF(AND($F33&lt;&gt;"",$F33&lt;$G33),"■","◆")))</x:f>
      </x:c>
      <x:c r="AK33" s="89" t="str">
        <x:f>IF($G33="","",IF(OR(AK$8&lt;IF($F33="",$G33,$F33),AK$8&gt;$G33),"",IF(AND($F33&lt;&gt;"",$F33&lt;$G33),"■","◆")))</x:f>
      </x:c>
      <x:c r="AL33" s="89" t="str">
        <x:f>IF($G33="","",IF(OR(AL$8&lt;IF($F33="",$G33,$F33),AL$8&gt;$G33),"",IF(AND($F33&lt;&gt;"",$F33&lt;$G33),"■","◆")))</x:f>
      </x:c>
      <x:c r="AM33" s="89" t="str">
        <x:f>IF($G33="","",IF(OR(AM$8&lt;IF($F33="",$G33,$F33),AM$8&gt;$G33),"",IF(AND($F33&lt;&gt;"",$F33&lt;$G33),"■","◆")))</x:f>
      </x:c>
      <x:c r="AN33" s="89" t="str">
        <x:f>IF($G33="","",IF(OR(AN$8&lt;IF($F33="",$G33,$F33),AN$8&gt;$G33),"",IF(AND($F33&lt;&gt;"",$F33&lt;$G33),"■","◆")))</x:f>
      </x:c>
      <x:c r="AO33" s="90" t="str">
        <x:f>IF($G33="","",IF(OR(AO$8&lt;IF($F33="",$G33,$F33),AO$8&gt;$G33),"",IF(AND($F33&lt;&gt;"",$F33&lt;$G33),"■","◆")))</x:f>
      </x:c>
    </x:row>
    <x:row r="34" ht="28.5" customHeight="1">
      <x:c r="A34" s="58" t="str">
        <x:v>M06</x:v>
      </x:c>
      <x:c r="B34" s="58" t="str">
        <x:v>上線</x:v>
      </x:c>
      <x:c r="C34" s="58" t="str">
        <x:v>里程碑</x:v>
      </x:c>
      <x:c r="D34" s="53" t="str">
        <x:v>內部 soft launch</x:v>
      </x:c>
      <x:c r="E34" s="62" t="str">
        <x:v>待確認</x:v>
      </x:c>
      <x:c r="F34" s="63"/>
      <x:c r="G34" s="63" t="n">
        <x:v>46259</x:v>
      </x:c>
      <x:c r="H34" s="62" t="str">
        <x:v>暫定</x:v>
      </x:c>
      <x:c r="I34" s="53" t="str">
        <x:v>依付款匯入、第三方登入與資安狀況調整。</x:v>
      </x:c>
      <x:c r="J34" s="88" t="str">
        <x:f>IF($G34="","",IF(OR(J$8&lt;IF($F34="",$G34,$F34),J$8&gt;$G34),"",IF(AND($F34&lt;&gt;"",$F34&lt;$G34),"■","◆")))</x:f>
      </x:c>
      <x:c r="K34" s="89" t="str">
        <x:f>IF($G34="","",IF(OR(K$8&lt;IF($F34="",$G34,$F34),K$8&gt;$G34),"",IF(AND($F34&lt;&gt;"",$F34&lt;$G34),"■","◆")))</x:f>
      </x:c>
      <x:c r="L34" s="89" t="str">
        <x:f>IF($G34="","",IF(OR(L$8&lt;IF($F34="",$G34,$F34),L$8&gt;$G34),"",IF(AND($F34&lt;&gt;"",$F34&lt;$G34),"■","◆")))</x:f>
      </x:c>
      <x:c r="M34" s="89" t="str">
        <x:f>IF($G34="","",IF(OR(M$8&lt;IF($F34="",$G34,$F34),M$8&gt;$G34),"",IF(AND($F34&lt;&gt;"",$F34&lt;$G34),"■","◆")))</x:f>
      </x:c>
      <x:c r="N34" s="96" t="str">
        <x:f>IF($G34="","",IF(OR(N$8&lt;IF($F34="",$G34,$F34),N$8&gt;$G34),"",IF(AND($F34&lt;&gt;"",$F34&lt;$G34),"■","◆")))</x:f>
      </x:c>
      <x:c r="O34" s="96" t="str">
        <x:f>IF($G34="","",IF(OR(O$8&lt;IF($F34="",$G34,$F34),O$8&gt;$G34),"",IF(AND($F34&lt;&gt;"",$F34&lt;$G34),"■","◆")))</x:f>
      </x:c>
      <x:c r="P34" s="89" t="str">
        <x:f>IF($G34="","",IF(OR(P$8&lt;IF($F34="",$G34,$F34),P$8&gt;$G34),"",IF(AND($F34&lt;&gt;"",$F34&lt;$G34),"■","◆")))</x:f>
      </x:c>
      <x:c r="Q34" s="89" t="str">
        <x:f>IF($G34="","",IF(OR(Q$8&lt;IF($F34="",$G34,$F34),Q$8&gt;$G34),"",IF(AND($F34&lt;&gt;"",$F34&lt;$G34),"■","◆")))</x:f>
      </x:c>
      <x:c r="R34" s="89" t="str">
        <x:f>IF($G34="","",IF(OR(R$8&lt;IF($F34="",$G34,$F34),R$8&gt;$G34),"",IF(AND($F34&lt;&gt;"",$F34&lt;$G34),"■","◆")))</x:f>
      </x:c>
      <x:c r="S34" s="89" t="str">
        <x:f>IF($G34="","",IF(OR(S$8&lt;IF($F34="",$G34,$F34),S$8&gt;$G34),"",IF(AND($F34&lt;&gt;"",$F34&lt;$G34),"■","◆")))</x:f>
      </x:c>
      <x:c r="T34" s="89" t="str">
        <x:f>IF($G34="","",IF(OR(T$8&lt;IF($F34="",$G34,$F34),T$8&gt;$G34),"",IF(AND($F34&lt;&gt;"",$F34&lt;$G34),"■","◆")))</x:f>
      </x:c>
      <x:c r="U34" s="96" t="str">
        <x:f>IF($G34="","",IF(OR(U$8&lt;IF($F34="",$G34,$F34),U$8&gt;$G34),"",IF(AND($F34&lt;&gt;"",$F34&lt;$G34),"■","◆")))</x:f>
      </x:c>
      <x:c r="V34" s="96" t="str">
        <x:f>IF($G34="","",IF(OR(V$8&lt;IF($F34="",$G34,$F34),V$8&gt;$G34),"",IF(AND($F34&lt;&gt;"",$F34&lt;$G34),"■","◆")))</x:f>
      </x:c>
      <x:c r="W34" s="89" t="str">
        <x:f>IF($G34="","",IF(OR(W$8&lt;IF($F34="",$G34,$F34),W$8&gt;$G34),"",IF(AND($F34&lt;&gt;"",$F34&lt;$G34),"■","◆")))</x:f>
      </x:c>
      <x:c r="X34" s="89" t="str">
        <x:f>IF($G34="","",IF(OR(X$8&lt;IF($F34="",$G34,$F34),X$8&gt;$G34),"",IF(AND($F34&lt;&gt;"",$F34&lt;$G34),"■","◆")))</x:f>
      </x:c>
      <x:c r="Y34" s="89" t="str">
        <x:f>IF($G34="","",IF(OR(Y$8&lt;IF($F34="",$G34,$F34),Y$8&gt;$G34),"",IF(AND($F34&lt;&gt;"",$F34&lt;$G34),"■","◆")))</x:f>
      </x:c>
      <x:c r="Z34" s="89" t="str">
        <x:f>IF($G34="","",IF(OR(Z$8&lt;IF($F34="",$G34,$F34),Z$8&gt;$G34),"",IF(AND($F34&lt;&gt;"",$F34&lt;$G34),"■","◆")))</x:f>
      </x:c>
      <x:c r="AA34" s="89" t="str">
        <x:f>IF($G34="","",IF(OR(AA$8&lt;IF($F34="",$G34,$F34),AA$8&gt;$G34),"",IF(AND($F34&lt;&gt;"",$F34&lt;$G34),"■","◆")))</x:f>
      </x:c>
      <x:c r="AB34" s="96" t="str">
        <x:f>IF($G34="","",IF(OR(AB$8&lt;IF($F34="",$G34,$F34),AB$8&gt;$G34),"",IF(AND($F34&lt;&gt;"",$F34&lt;$G34),"■","◆")))</x:f>
      </x:c>
      <x:c r="AC34" s="96" t="str">
        <x:f>IF($G34="","",IF(OR(AC$8&lt;IF($F34="",$G34,$F34),AC$8&gt;$G34),"",IF(AND($F34&lt;&gt;"",$F34&lt;$G34),"■","◆")))</x:f>
      </x:c>
      <x:c r="AD34" s="89" t="str">
        <x:f>IF($G34="","",IF(OR(AD$8&lt;IF($F34="",$G34,$F34),AD$8&gt;$G34),"",IF(AND($F34&lt;&gt;"",$F34&lt;$G34),"■","◆")))</x:f>
      </x:c>
      <x:c r="AE34" s="89" t="str">
        <x:f>IF($G34="","",IF(OR(AE$8&lt;IF($F34="",$G34,$F34),AE$8&gt;$G34),"",IF(AND($F34&lt;&gt;"",$F34&lt;$G34),"■","◆")))</x:f>
      </x:c>
      <x:c r="AF34" s="89" t="str">
        <x:f>IF($G34="","",IF(OR(AF$8&lt;IF($F34="",$G34,$F34),AF$8&gt;$G34),"",IF(AND($F34&lt;&gt;"",$F34&lt;$G34),"■","◆")))</x:f>
      </x:c>
      <x:c r="AG34" s="89" t="str">
        <x:f>IF($G34="","",IF(OR(AG$8&lt;IF($F34="",$G34,$F34),AG$8&gt;$G34),"",IF(AND($F34&lt;&gt;"",$F34&lt;$G34),"■","◆")))</x:f>
      </x:c>
      <x:c r="AH34" s="89" t="str">
        <x:f>IF($G34="","",IF(OR(AH$8&lt;IF($F34="",$G34,$F34),AH$8&gt;$G34),"",IF(AND($F34&lt;&gt;"",$F34&lt;$G34),"■","◆")))</x:f>
      </x:c>
      <x:c r="AI34" s="96" t="str">
        <x:f>IF($G34="","",IF(OR(AI$8&lt;IF($F34="",$G34,$F34),AI$8&gt;$G34),"",IF(AND($F34&lt;&gt;"",$F34&lt;$G34),"■","◆")))</x:f>
      </x:c>
      <x:c r="AJ34" s="96" t="str">
        <x:f>IF($G34="","",IF(OR(AJ$8&lt;IF($F34="",$G34,$F34),AJ$8&gt;$G34),"",IF(AND($F34&lt;&gt;"",$F34&lt;$G34),"■","◆")))</x:f>
      </x:c>
      <x:c r="AK34" s="89" t="str">
        <x:f>IF($G34="","",IF(OR(AK$8&lt;IF($F34="",$G34,$F34),AK$8&gt;$G34),"",IF(AND($F34&lt;&gt;"",$F34&lt;$G34),"■","◆")))</x:f>
      </x:c>
      <x:c r="AL34" s="89" t="str">
        <x:f>IF($G34="","",IF(OR(AL$8&lt;IF($F34="",$G34,$F34),AL$8&gt;$G34),"",IF(AND($F34&lt;&gt;"",$F34&lt;$G34),"■","◆")))</x:f>
        <x:v>◆</x:v>
      </x:c>
      <x:c r="AM34" s="89" t="str">
        <x:f>IF($G34="","",IF(OR(AM$8&lt;IF($F34="",$G34,$F34),AM$8&gt;$G34),"",IF(AND($F34&lt;&gt;"",$F34&lt;$G34),"■","◆")))</x:f>
      </x:c>
      <x:c r="AN34" s="89" t="str">
        <x:f>IF($G34="","",IF(OR(AN$8&lt;IF($F34="",$G34,$F34),AN$8&gt;$G34),"",IF(AND($F34&lt;&gt;"",$F34&lt;$G34),"■","◆")))</x:f>
      </x:c>
      <x:c r="AO34" s="90" t="str">
        <x:f>IF($G34="","",IF(OR(AO$8&lt;IF($F34="",$G34,$F34),AO$8&gt;$G34),"",IF(AND($F34&lt;&gt;"",$F34&lt;$G34),"■","◆")))</x:f>
      </x:c>
    </x:row>
    <x:row r="35" ht="28.5" customHeight="1">
      <x:c r="A35" s="58" t="str">
        <x:v>M07</x:v>
      </x:c>
      <x:c r="B35" s="58" t="str">
        <x:v>行銷</x:v>
      </x:c>
      <x:c r="C35" s="58" t="str">
        <x:v>里程碑</x:v>
      </x:c>
      <x:c r="D35" s="53" t="str">
        <x:v>EDM 發送</x:v>
      </x:c>
      <x:c r="E35" s="62" t="str">
        <x:v>冠宇／Kevin</x:v>
      </x:c>
      <x:c r="F35" s="63"/>
      <x:c r="G35" s="63" t="n">
        <x:v>46260</x:v>
      </x:c>
      <x:c r="H35" s="62" t="str">
        <x:v>預計</x:v>
      </x:c>
      <x:c r="I35" s="53" t="str">
        <x:v>發給活躍會員，排除已取消訂閱行銷信的用戶。</x:v>
      </x:c>
      <x:c r="J35" s="88" t="str">
        <x:f>IF($G35="","",IF(OR(J$8&lt;IF($F35="",$G35,$F35),J$8&gt;$G35),"",IF(AND($F35&lt;&gt;"",$F35&lt;$G35),"■","◆")))</x:f>
      </x:c>
      <x:c r="K35" s="89" t="str">
        <x:f>IF($G35="","",IF(OR(K$8&lt;IF($F35="",$G35,$F35),K$8&gt;$G35),"",IF(AND($F35&lt;&gt;"",$F35&lt;$G35),"■","◆")))</x:f>
      </x:c>
      <x:c r="L35" s="89" t="str">
        <x:f>IF($G35="","",IF(OR(L$8&lt;IF($F35="",$G35,$F35),L$8&gt;$G35),"",IF(AND($F35&lt;&gt;"",$F35&lt;$G35),"■","◆")))</x:f>
      </x:c>
      <x:c r="M35" s="89" t="str">
        <x:f>IF($G35="","",IF(OR(M$8&lt;IF($F35="",$G35,$F35),M$8&gt;$G35),"",IF(AND($F35&lt;&gt;"",$F35&lt;$G35),"■","◆")))</x:f>
      </x:c>
      <x:c r="N35" s="96" t="str">
        <x:f>IF($G35="","",IF(OR(N$8&lt;IF($F35="",$G35,$F35),N$8&gt;$G35),"",IF(AND($F35&lt;&gt;"",$F35&lt;$G35),"■","◆")))</x:f>
      </x:c>
      <x:c r="O35" s="96" t="str">
        <x:f>IF($G35="","",IF(OR(O$8&lt;IF($F35="",$G35,$F35),O$8&gt;$G35),"",IF(AND($F35&lt;&gt;"",$F35&lt;$G35),"■","◆")))</x:f>
      </x:c>
      <x:c r="P35" s="89" t="str">
        <x:f>IF($G35="","",IF(OR(P$8&lt;IF($F35="",$G35,$F35),P$8&gt;$G35),"",IF(AND($F35&lt;&gt;"",$F35&lt;$G35),"■","◆")))</x:f>
      </x:c>
      <x:c r="Q35" s="89" t="str">
        <x:f>IF($G35="","",IF(OR(Q$8&lt;IF($F35="",$G35,$F35),Q$8&gt;$G35),"",IF(AND($F35&lt;&gt;"",$F35&lt;$G35),"■","◆")))</x:f>
      </x:c>
      <x:c r="R35" s="89" t="str">
        <x:f>IF($G35="","",IF(OR(R$8&lt;IF($F35="",$G35,$F35),R$8&gt;$G35),"",IF(AND($F35&lt;&gt;"",$F35&lt;$G35),"■","◆")))</x:f>
      </x:c>
      <x:c r="S35" s="89" t="str">
        <x:f>IF($G35="","",IF(OR(S$8&lt;IF($F35="",$G35,$F35),S$8&gt;$G35),"",IF(AND($F35&lt;&gt;"",$F35&lt;$G35),"■","◆")))</x:f>
      </x:c>
      <x:c r="T35" s="89" t="str">
        <x:f>IF($G35="","",IF(OR(T$8&lt;IF($F35="",$G35,$F35),T$8&gt;$G35),"",IF(AND($F35&lt;&gt;"",$F35&lt;$G35),"■","◆")))</x:f>
      </x:c>
      <x:c r="U35" s="96" t="str">
        <x:f>IF($G35="","",IF(OR(U$8&lt;IF($F35="",$G35,$F35),U$8&gt;$G35),"",IF(AND($F35&lt;&gt;"",$F35&lt;$G35),"■","◆")))</x:f>
      </x:c>
      <x:c r="V35" s="96" t="str">
        <x:f>IF($G35="","",IF(OR(V$8&lt;IF($F35="",$G35,$F35),V$8&gt;$G35),"",IF(AND($F35&lt;&gt;"",$F35&lt;$G35),"■","◆")))</x:f>
      </x:c>
      <x:c r="W35" s="89" t="str">
        <x:f>IF($G35="","",IF(OR(W$8&lt;IF($F35="",$G35,$F35),W$8&gt;$G35),"",IF(AND($F35&lt;&gt;"",$F35&lt;$G35),"■","◆")))</x:f>
      </x:c>
      <x:c r="X35" s="89" t="str">
        <x:f>IF($G35="","",IF(OR(X$8&lt;IF($F35="",$G35,$F35),X$8&gt;$G35),"",IF(AND($F35&lt;&gt;"",$F35&lt;$G35),"■","◆")))</x:f>
      </x:c>
      <x:c r="Y35" s="89" t="str">
        <x:f>IF($G35="","",IF(OR(Y$8&lt;IF($F35="",$G35,$F35),Y$8&gt;$G35),"",IF(AND($F35&lt;&gt;"",$F35&lt;$G35),"■","◆")))</x:f>
      </x:c>
      <x:c r="Z35" s="89" t="str">
        <x:f>IF($G35="","",IF(OR(Z$8&lt;IF($F35="",$G35,$F35),Z$8&gt;$G35),"",IF(AND($F35&lt;&gt;"",$F35&lt;$G35),"■","◆")))</x:f>
      </x:c>
      <x:c r="AA35" s="89" t="str">
        <x:f>IF($G35="","",IF(OR(AA$8&lt;IF($F35="",$G35,$F35),AA$8&gt;$G35),"",IF(AND($F35&lt;&gt;"",$F35&lt;$G35),"■","◆")))</x:f>
      </x:c>
      <x:c r="AB35" s="96" t="str">
        <x:f>IF($G35="","",IF(OR(AB$8&lt;IF($F35="",$G35,$F35),AB$8&gt;$G35),"",IF(AND($F35&lt;&gt;"",$F35&lt;$G35),"■","◆")))</x:f>
      </x:c>
      <x:c r="AC35" s="96" t="str">
        <x:f>IF($G35="","",IF(OR(AC$8&lt;IF($F35="",$G35,$F35),AC$8&gt;$G35),"",IF(AND($F35&lt;&gt;"",$F35&lt;$G35),"■","◆")))</x:f>
      </x:c>
      <x:c r="AD35" s="89" t="str">
        <x:f>IF($G35="","",IF(OR(AD$8&lt;IF($F35="",$G35,$F35),AD$8&gt;$G35),"",IF(AND($F35&lt;&gt;"",$F35&lt;$G35),"■","◆")))</x:f>
      </x:c>
      <x:c r="AE35" s="89" t="str">
        <x:f>IF($G35="","",IF(OR(AE$8&lt;IF($F35="",$G35,$F35),AE$8&gt;$G35),"",IF(AND($F35&lt;&gt;"",$F35&lt;$G35),"■","◆")))</x:f>
      </x:c>
      <x:c r="AF35" s="89" t="str">
        <x:f>IF($G35="","",IF(OR(AF$8&lt;IF($F35="",$G35,$F35),AF$8&gt;$G35),"",IF(AND($F35&lt;&gt;"",$F35&lt;$G35),"■","◆")))</x:f>
      </x:c>
      <x:c r="AG35" s="89" t="str">
        <x:f>IF($G35="","",IF(OR(AG$8&lt;IF($F35="",$G35,$F35),AG$8&gt;$G35),"",IF(AND($F35&lt;&gt;"",$F35&lt;$G35),"■","◆")))</x:f>
      </x:c>
      <x:c r="AH35" s="89" t="str">
        <x:f>IF($G35="","",IF(OR(AH$8&lt;IF($F35="",$G35,$F35),AH$8&gt;$G35),"",IF(AND($F35&lt;&gt;"",$F35&lt;$G35),"■","◆")))</x:f>
      </x:c>
      <x:c r="AI35" s="96" t="str">
        <x:f>IF($G35="","",IF(OR(AI$8&lt;IF($F35="",$G35,$F35),AI$8&gt;$G35),"",IF(AND($F35&lt;&gt;"",$F35&lt;$G35),"■","◆")))</x:f>
      </x:c>
      <x:c r="AJ35" s="96" t="str">
        <x:f>IF($G35="","",IF(OR(AJ$8&lt;IF($F35="",$G35,$F35),AJ$8&gt;$G35),"",IF(AND($F35&lt;&gt;"",$F35&lt;$G35),"■","◆")))</x:f>
      </x:c>
      <x:c r="AK35" s="89" t="str">
        <x:f>IF($G35="","",IF(OR(AK$8&lt;IF($F35="",$G35,$F35),AK$8&gt;$G35),"",IF(AND($F35&lt;&gt;"",$F35&lt;$G35),"■","◆")))</x:f>
      </x:c>
      <x:c r="AL35" s="89" t="str">
        <x:f>IF($G35="","",IF(OR(AL$8&lt;IF($F35="",$G35,$F35),AL$8&gt;$G35),"",IF(AND($F35&lt;&gt;"",$F35&lt;$G35),"■","◆")))</x:f>
      </x:c>
      <x:c r="AM35" s="89" t="str">
        <x:f>IF($G35="","",IF(OR(AM$8&lt;IF($F35="",$G35,$F35),AM$8&gt;$G35),"",IF(AND($F35&lt;&gt;"",$F35&lt;$G35),"■","◆")))</x:f>
        <x:v>◆</x:v>
      </x:c>
      <x:c r="AN35" s="89" t="str">
        <x:f>IF($G35="","",IF(OR(AN$8&lt;IF($F35="",$G35,$F35),AN$8&gt;$G35),"",IF(AND($F35&lt;&gt;"",$F35&lt;$G35),"■","◆")))</x:f>
      </x:c>
      <x:c r="AO35" s="90" t="str">
        <x:f>IF($G35="","",IF(OR(AO$8&lt;IF($F35="",$G35,$F35),AO$8&gt;$G35),"",IF(AND($F35&lt;&gt;"",$F35&lt;$G35),"■","◆")))</x:f>
      </x:c>
    </x:row>
    <x:row r="36" ht="28.5" customHeight="1">
      <x:c r="A36" s="59" t="str">
        <x:v>M08</x:v>
      </x:c>
      <x:c r="B36" s="59" t="str">
        <x:v>上線</x:v>
      </x:c>
      <x:c r="C36" s="59" t="str">
        <x:v>里程碑</x:v>
      </x:c>
      <x:c r="D36" s="55" t="str">
        <x:v>正式上線</x:v>
      </x:c>
      <x:c r="E36" s="64" t="str">
        <x:v>待確認</x:v>
      </x:c>
      <x:c r="F36" s="65"/>
      <x:c r="G36" s="65" t="n">
        <x:v>46262</x:v>
      </x:c>
      <x:c r="H36" s="64" t="str">
        <x:v>暫定</x:v>
      </x:c>
      <x:c r="I36" s="55" t="str">
        <x:v>原訂 08/21；目前最大風險為付款紀錄匯入。</x:v>
      </x:c>
      <x:c r="J36" s="91" t="str">
        <x:f>IF($G36="","",IF(OR(J$8&lt;IF($F36="",$G36,$F36),J$8&gt;$G36),"",IF(AND($F36&lt;&gt;"",$F36&lt;$G36),"■","◆")))</x:f>
      </x:c>
      <x:c r="K36" s="92" t="str">
        <x:f>IF($G36="","",IF(OR(K$8&lt;IF($F36="",$G36,$F36),K$8&gt;$G36),"",IF(AND($F36&lt;&gt;"",$F36&lt;$G36),"■","◆")))</x:f>
      </x:c>
      <x:c r="L36" s="92" t="str">
        <x:f>IF($G36="","",IF(OR(L$8&lt;IF($F36="",$G36,$F36),L$8&gt;$G36),"",IF(AND($F36&lt;&gt;"",$F36&lt;$G36),"■","◆")))</x:f>
      </x:c>
      <x:c r="M36" s="92" t="str">
        <x:f>IF($G36="","",IF(OR(M$8&lt;IF($F36="",$G36,$F36),M$8&gt;$G36),"",IF(AND($F36&lt;&gt;"",$F36&lt;$G36),"■","◆")))</x:f>
      </x:c>
      <x:c r="N36" s="97" t="str">
        <x:f>IF($G36="","",IF(OR(N$8&lt;IF($F36="",$G36,$F36),N$8&gt;$G36),"",IF(AND($F36&lt;&gt;"",$F36&lt;$G36),"■","◆")))</x:f>
      </x:c>
      <x:c r="O36" s="97" t="str">
        <x:f>IF($G36="","",IF(OR(O$8&lt;IF($F36="",$G36,$F36),O$8&gt;$G36),"",IF(AND($F36&lt;&gt;"",$F36&lt;$G36),"■","◆")))</x:f>
      </x:c>
      <x:c r="P36" s="92" t="str">
        <x:f>IF($G36="","",IF(OR(P$8&lt;IF($F36="",$G36,$F36),P$8&gt;$G36),"",IF(AND($F36&lt;&gt;"",$F36&lt;$G36),"■","◆")))</x:f>
      </x:c>
      <x:c r="Q36" s="92" t="str">
        <x:f>IF($G36="","",IF(OR(Q$8&lt;IF($F36="",$G36,$F36),Q$8&gt;$G36),"",IF(AND($F36&lt;&gt;"",$F36&lt;$G36),"■","◆")))</x:f>
      </x:c>
      <x:c r="R36" s="92" t="str">
        <x:f>IF($G36="","",IF(OR(R$8&lt;IF($F36="",$G36,$F36),R$8&gt;$G36),"",IF(AND($F36&lt;&gt;"",$F36&lt;$G36),"■","◆")))</x:f>
      </x:c>
      <x:c r="S36" s="92" t="str">
        <x:f>IF($G36="","",IF(OR(S$8&lt;IF($F36="",$G36,$F36),S$8&gt;$G36),"",IF(AND($F36&lt;&gt;"",$F36&lt;$G36),"■","◆")))</x:f>
      </x:c>
      <x:c r="T36" s="92" t="str">
        <x:f>IF($G36="","",IF(OR(T$8&lt;IF($F36="",$G36,$F36),T$8&gt;$G36),"",IF(AND($F36&lt;&gt;"",$F36&lt;$G36),"■","◆")))</x:f>
      </x:c>
      <x:c r="U36" s="97" t="str">
        <x:f>IF($G36="","",IF(OR(U$8&lt;IF($F36="",$G36,$F36),U$8&gt;$G36),"",IF(AND($F36&lt;&gt;"",$F36&lt;$G36),"■","◆")))</x:f>
      </x:c>
      <x:c r="V36" s="97" t="str">
        <x:f>IF($G36="","",IF(OR(V$8&lt;IF($F36="",$G36,$F36),V$8&gt;$G36),"",IF(AND($F36&lt;&gt;"",$F36&lt;$G36),"■","◆")))</x:f>
      </x:c>
      <x:c r="W36" s="92" t="str">
        <x:f>IF($G36="","",IF(OR(W$8&lt;IF($F36="",$G36,$F36),W$8&gt;$G36),"",IF(AND($F36&lt;&gt;"",$F36&lt;$G36),"■","◆")))</x:f>
      </x:c>
      <x:c r="X36" s="92" t="str">
        <x:f>IF($G36="","",IF(OR(X$8&lt;IF($F36="",$G36,$F36),X$8&gt;$G36),"",IF(AND($F36&lt;&gt;"",$F36&lt;$G36),"■","◆")))</x:f>
      </x:c>
      <x:c r="Y36" s="92" t="str">
        <x:f>IF($G36="","",IF(OR(Y$8&lt;IF($F36="",$G36,$F36),Y$8&gt;$G36),"",IF(AND($F36&lt;&gt;"",$F36&lt;$G36),"■","◆")))</x:f>
      </x:c>
      <x:c r="Z36" s="92" t="str">
        <x:f>IF($G36="","",IF(OR(Z$8&lt;IF($F36="",$G36,$F36),Z$8&gt;$G36),"",IF(AND($F36&lt;&gt;"",$F36&lt;$G36),"■","◆")))</x:f>
      </x:c>
      <x:c r="AA36" s="92" t="str">
        <x:f>IF($G36="","",IF(OR(AA$8&lt;IF($F36="",$G36,$F36),AA$8&gt;$G36),"",IF(AND($F36&lt;&gt;"",$F36&lt;$G36),"■","◆")))</x:f>
      </x:c>
      <x:c r="AB36" s="97" t="str">
        <x:f>IF($G36="","",IF(OR(AB$8&lt;IF($F36="",$G36,$F36),AB$8&gt;$G36),"",IF(AND($F36&lt;&gt;"",$F36&lt;$G36),"■","◆")))</x:f>
      </x:c>
      <x:c r="AC36" s="97" t="str">
        <x:f>IF($G36="","",IF(OR(AC$8&lt;IF($F36="",$G36,$F36),AC$8&gt;$G36),"",IF(AND($F36&lt;&gt;"",$F36&lt;$G36),"■","◆")))</x:f>
      </x:c>
      <x:c r="AD36" s="92" t="str">
        <x:f>IF($G36="","",IF(OR(AD$8&lt;IF($F36="",$G36,$F36),AD$8&gt;$G36),"",IF(AND($F36&lt;&gt;"",$F36&lt;$G36),"■","◆")))</x:f>
      </x:c>
      <x:c r="AE36" s="92" t="str">
        <x:f>IF($G36="","",IF(OR(AE$8&lt;IF($F36="",$G36,$F36),AE$8&gt;$G36),"",IF(AND($F36&lt;&gt;"",$F36&lt;$G36),"■","◆")))</x:f>
      </x:c>
      <x:c r="AF36" s="92" t="str">
        <x:f>IF($G36="","",IF(OR(AF$8&lt;IF($F36="",$G36,$F36),AF$8&gt;$G36),"",IF(AND($F36&lt;&gt;"",$F36&lt;$G36),"■","◆")))</x:f>
      </x:c>
      <x:c r="AG36" s="92" t="str">
        <x:f>IF($G36="","",IF(OR(AG$8&lt;IF($F36="",$G36,$F36),AG$8&gt;$G36),"",IF(AND($F36&lt;&gt;"",$F36&lt;$G36),"■","◆")))</x:f>
      </x:c>
      <x:c r="AH36" s="92" t="str">
        <x:f>IF($G36="","",IF(OR(AH$8&lt;IF($F36="",$G36,$F36),AH$8&gt;$G36),"",IF(AND($F36&lt;&gt;"",$F36&lt;$G36),"■","◆")))</x:f>
      </x:c>
      <x:c r="AI36" s="97" t="str">
        <x:f>IF($G36="","",IF(OR(AI$8&lt;IF($F36="",$G36,$F36),AI$8&gt;$G36),"",IF(AND($F36&lt;&gt;"",$F36&lt;$G36),"■","◆")))</x:f>
      </x:c>
      <x:c r="AJ36" s="97" t="str">
        <x:f>IF($G36="","",IF(OR(AJ$8&lt;IF($F36="",$G36,$F36),AJ$8&gt;$G36),"",IF(AND($F36&lt;&gt;"",$F36&lt;$G36),"■","◆")))</x:f>
      </x:c>
      <x:c r="AK36" s="92" t="str">
        <x:f>IF($G36="","",IF(OR(AK$8&lt;IF($F36="",$G36,$F36),AK$8&gt;$G36),"",IF(AND($F36&lt;&gt;"",$F36&lt;$G36),"■","◆")))</x:f>
      </x:c>
      <x:c r="AL36" s="92" t="str">
        <x:f>IF($G36="","",IF(OR(AL$8&lt;IF($F36="",$G36,$F36),AL$8&gt;$G36),"",IF(AND($F36&lt;&gt;"",$F36&lt;$G36),"■","◆")))</x:f>
      </x:c>
      <x:c r="AM36" s="92" t="str">
        <x:f>IF($G36="","",IF(OR(AM$8&lt;IF($F36="",$G36,$F36),AM$8&gt;$G36),"",IF(AND($F36&lt;&gt;"",$F36&lt;$G36),"■","◆")))</x:f>
      </x:c>
      <x:c r="AN36" s="92" t="str">
        <x:f>IF($G36="","",IF(OR(AN$8&lt;IF($F36="",$G36,$F36),AN$8&gt;$G36),"",IF(AND($F36&lt;&gt;"",$F36&lt;$G36),"■","◆")))</x:f>
      </x:c>
      <x:c r="AO36" s="93" t="str">
        <x:f>IF($G36="","",IF(OR(AO$8&lt;IF($F36="",$G36,$F36),AO$8&gt;$G36),"",IF(AND($F36&lt;&gt;"",$F36&lt;$G36),"■","◆")))</x:f>
        <x:v>◆</x:v>
      </x:c>
    </x:row>
  </x:sheetData>
  <x:mergeCells>
    <x:mergeCell ref="A1:AO1"/>
    <x:mergeCell ref="A2:AO2"/>
    <x:mergeCell ref="B3:C3"/>
    <x:mergeCell ref="E3:I3"/>
    <x:mergeCell ref="K3:AO3"/>
    <x:mergeCell ref="A5:AO5"/>
  </x:mergeCells>
  <x:conditionalFormatting sqref="J9:AO36">
    <x:cfRule type="containsText" dxfId="0" priority="1" operator="containsText" text="■"/>
    <x:cfRule type="containsText" dxfId="1" priority="2" operator="containsText" text="◆"/>
  </x:conditionalFormatting>
  <x:dataValidations count="1">
    <x:dataValidation type="list" sqref="H9:H36">
      <x:formula1>"原始資料未提及,待確認,預計,暫定,有條件,已確認,會後新增,未開始,進行中,已完成,延後"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7.5" hidden="0" customWidth="1"/>
    <x:col min="3" max="3" width="37.5" hidden="0" customWidth="1"/>
    <x:col min="4" max="4" width="16.25" hidden="0" customWidth="1"/>
    <x:col min="5" max="5" width="16.25" hidden="0" customWidth="1"/>
  </x:cols>
  <x:sheetData>
    <x:row r="1" ht="24" customHeight="1">
      <x:c r="A1" s="99" t="str">
        <x:v>風險與待確認事項</x:v>
      </x:c>
      <x:c r="B1" s="99"/>
      <x:c r="C1" s="99"/>
      <x:c r="D1" s="99"/>
      <x:c r="E1" s="99"/>
    </x:row>
    <x:row r="2">
      <x:c r="A2" s="5" t="str">
        <x:v>來源：2026/07/28「新版會員中心上線準備」會議｜本頁不納入主要甘特著色</x:v>
      </x:c>
      <x:c r="B2" s="5"/>
      <x:c r="C2" s="5"/>
      <x:c r="D2" s="5"/>
      <x:c r="E2" s="5"/>
    </x:row>
    <x:row r="4">
      <x:c r="A4" s="101" t="str">
        <x:v>風險與阻塞</x:v>
      </x:c>
      <x:c r="B4" s="101"/>
      <x:c r="C4" s="101"/>
      <x:c r="D4" s="101"/>
      <x:c r="E4" s="101"/>
    </x:row>
    <x:row r="5">
      <x:c r="A5" s="103" t="str">
        <x:v>風險／阻塞</x:v>
      </x:c>
      <x:c r="B5" s="103" t="str">
        <x:v>可能影響或觸發條件</x:v>
      </x:c>
      <x:c r="C5" s="103" t="str">
        <x:v>緩解方式／下一步</x:v>
      </x:c>
      <x:c r="D5" s="103" t="str">
        <x:v>負責人</x:v>
      </x:c>
      <x:c r="E5" s="103" t="str">
        <x:v>日期／門檻</x:v>
      </x:c>
    </x:row>
    <x:row r="6" ht="34.5" customHeight="1">
      <x:c r="A6" s="51" t="str">
        <x:v>付款紀錄匯入約 3% 資料缺少訂單編號</x:v>
      </x:c>
      <x:c r="B6" s="51" t="str">
        <x:v>可能產生資料比對錯誤；08/14 前未解決可能延後功能</x:v>
      </x:c>
      <x:c r="C6" s="51" t="str">
        <x:v>整理缺失清單，評估 email 加交易日期的比對方式</x:v>
      </x:c>
      <x:c r="D6" s="51" t="str">
        <x:v>志豪、Kevin</x:v>
      </x:c>
      <x:c r="E6" s="51" t="str">
        <x:v>2026/08/14</x:v>
      </x:c>
    </x:row>
    <x:row r="7" ht="34.5" customHeight="1">
      <x:c r="A7" s="53" t="str">
        <x:v>Apple 登入卡在憑證設定</x:v>
      </x:c>
      <x:c r="B7" s="53" t="str">
        <x:v>第三方登入測試延誤，可能影響上線</x:v>
      </x:c>
      <x:c r="C7" s="53" t="str">
        <x:v>聯絡 IT 確認管理員權限</x:v>
      </x:c>
      <x:c r="D7" s="53" t="str">
        <x:v>志豪</x:v>
      </x:c>
      <x:c r="E7" s="53" t="str">
        <x:v>2026/07/29</x:v>
      </x:c>
    </x:row>
    <x:row r="8" ht="34.5" customHeight="1">
      <x:c r="A8" s="53" t="str">
        <x:v>弱點掃描尚未申請</x:v>
      </x:c>
      <x:c r="B8" s="53" t="str">
        <x:v>高風險漏洞可能導致上線延期</x:v>
      </x:c>
      <x:c r="C8" s="53" t="str">
        <x:v>立即開單；希望 08/06 掃描，最晚 08/12</x:v>
      </x:c>
      <x:c r="D8" s="53" t="str">
        <x:v>志豪</x:v>
      </x:c>
      <x:c r="E8" s="53" t="str">
        <x:v>2026/08/12 前</x:v>
      </x:c>
    </x:row>
    <x:row r="9" ht="34.5" customHeight="1">
      <x:c r="A9" s="53" t="str">
        <x:v>08/13 機房維護</x:v>
      </x:c>
      <x:c r="B9" s="53" t="str">
        <x:v>UAT 環境可能中斷約兩小時</x:v>
      </x:c>
      <x:c r="C9" s="53" t="str">
        <x:v>在邀請信中預先說明</x:v>
      </x:c>
      <x:c r="D9" s="53" t="str">
        <x:v>怡君</x:v>
      </x:c>
      <x:c r="E9" s="53" t="str">
        <x:v>2026/08/13</x:v>
      </x:c>
    </x:row>
    <x:row r="10" ht="34.5" customHeight="1">
      <x:c r="A10" s="53" t="str">
        <x:v>行銷準備時間不足</x:v>
      </x:c>
      <x:c r="B10" s="53" t="str">
        <x:v>可能壓縮 EDM、banner 與社群素材製作期</x:v>
      </x:c>
      <x:c r="C10" s="53" t="str">
        <x:v>08/07 提供 release note，08/10 確認最終版</x:v>
      </x:c>
      <x:c r="D10" s="53" t="str">
        <x:v>怡君</x:v>
      </x:c>
      <x:c r="E10" s="53" t="str">
        <x:v>2026/08/10</x:v>
      </x:c>
    </x:row>
    <x:row r="11" ht="34.5" customHeight="1">
      <x:c r="A11" s="53" t="str">
        <x:v>客服準備延誤</x:v>
      </x:c>
      <x:c r="B11" s="53" t="str">
        <x:v>可能增加上線後客服處理壓力</x:v>
      </x:c>
      <x:c r="C11" s="53" t="str">
        <x:v>依序完成 FAQ、排錯步驟與內訓</x:v>
      </x:c>
      <x:c r="D11" s="53" t="str">
        <x:v>怡君、志豪、雅雯</x:v>
      </x:c>
      <x:c r="E11" s="53" t="str">
        <x:v>2026/08/17～08/21</x:v>
      </x:c>
    </x:row>
    <x:row r="12" ht="34.5" customHeight="1">
      <x:c r="A12" s="53" t="str">
        <x:v>刪除帳號提示文字尚待法務確認</x:v>
      </x:c>
      <x:c r="B12" s="53" t="str">
        <x:v>可能影響設計定稿或合規性</x:v>
      </x:c>
      <x:c r="C12" s="53" t="str">
        <x:v>確認文字內容、負責人與完成期限</x:v>
      </x:c>
      <x:c r="D12" s="53" t="str">
        <x:v>待確認</x:v>
      </x:c>
      <x:c r="E12" s="53" t="str">
        <x:v>待確認</x:v>
      </x:c>
    </x:row>
    <x:row r="13" ht="34.5" customHeight="1">
      <x:c r="A13" s="53"/>
      <x:c r="B13" s="53"/>
      <x:c r="C13" s="53"/>
      <x:c r="D13" s="53"/>
      <x:c r="E13" s="53"/>
    </x:row>
    <x:row r="14" ht="34.5" customHeight="1">
      <x:c r="A14" s="118" t="str">
        <x:v>待確認事項</x:v>
      </x:c>
      <x:c r="B14" s="118"/>
      <x:c r="C14" s="118"/>
      <x:c r="D14" s="118"/>
      <x:c r="E14" s="118"/>
    </x:row>
    <x:row r="15" ht="34.5" customHeight="1">
      <x:c r="A15" s="119" t="str">
        <x:v>待確認事項</x:v>
      </x:c>
      <x:c r="B15" s="120" t="str">
        <x:v>缺少資訊／意見差異</x:v>
      </x:c>
      <x:c r="C15" s="120" t="str">
        <x:v>下一步</x:v>
      </x:c>
      <x:c r="D15" s="120" t="str">
        <x:v>負責人</x:v>
      </x:c>
      <x:c r="E15" s="121" t="str">
        <x:v>期限</x:v>
      </x:c>
    </x:row>
    <x:row r="16" ht="34.5" customHeight="1">
      <x:c r="A16" s="53" t="str">
        <x:v>付款匯入功能是否延至第二階段</x:v>
      </x:c>
      <x:c r="B16" s="53" t="str">
        <x:v>須視問題能否在 08/14 前解決</x:v>
      </x:c>
      <x:c r="C16" s="53" t="str">
        <x:v>依修復結果重新評估</x:v>
      </x:c>
      <x:c r="D16" s="53" t="str">
        <x:v>待確認</x:v>
      </x:c>
      <x:c r="E16" s="53" t="str">
        <x:v>2026/08/14</x:v>
      </x:c>
    </x:row>
    <x:row r="17" ht="34.5" customHeight="1">
      <x:c r="A17" s="53" t="str">
        <x:v>是否製作新功能教學影片</x:v>
      </x:c>
      <x:c r="B17" s="53" t="str">
        <x:v>外包估算 6～8 萬元，尚未核准</x:v>
      </x:c>
      <x:c r="C17" s="53" t="str">
        <x:v>取得兩家報價後於下次會議討論</x:v>
      </x:c>
      <x:c r="D17" s="53" t="str">
        <x:v>冠宇</x:v>
      </x:c>
      <x:c r="E17" s="53" t="str">
        <x:v>待確認</x:v>
      </x:c>
    </x:row>
    <x:row r="18" ht="34.5" customHeight="1">
      <x:c r="A18" s="53" t="str">
        <x:v>客服值班是否延長至晚上 10 點</x:v>
      </x:c>
      <x:c r="B18" s="53" t="str">
        <x:v>須視 soft launch 問題量</x:v>
      </x:c>
      <x:c r="C18" s="53" t="str">
        <x:v>soft launch 後評估</x:v>
      </x:c>
      <x:c r="D18" s="53" t="str">
        <x:v>待確認</x:v>
      </x:c>
      <x:c r="E18" s="53" t="str">
        <x:v>待確認</x:v>
      </x:c>
    </x:row>
    <x:row r="19" ht="34.5" customHeight="1">
      <x:c r="A19" s="53" t="str">
        <x:v>指標通知使用 Slack 或 email</x:v>
      </x:c>
      <x:c r="B19" s="53" t="str">
        <x:v>通知管道尚未定案</x:v>
      </x:c>
      <x:c r="C19" s="53" t="str">
        <x:v>確認通知機制</x:v>
      </x:c>
      <x:c r="D19" s="53" t="str">
        <x:v>待確認</x:v>
      </x:c>
      <x:c r="E19" s="53" t="str">
        <x:v>待確認</x:v>
      </x:c>
    </x:row>
    <x:row r="20" ht="34.5" customHeight="1">
      <x:c r="A20" s="53" t="str">
        <x:v>是否保留舊版會員中心入口</x:v>
      </x:c>
      <x:c r="B20" s="53" t="str">
        <x:v>志豪建議保留一週；冠宇擔心造成混淆</x:v>
      </x:c>
      <x:c r="C20" s="53" t="str">
        <x:v>列入下次會議議程</x:v>
      </x:c>
      <x:c r="D20" s="53" t="str">
        <x:v>怡君</x:v>
      </x:c>
      <x:c r="E20" s="53" t="str">
        <x:v>2026/08/04</x:v>
      </x:c>
    </x:row>
    <x:row r="21" ht="34.5" customHeight="1">
      <x:c r="A21" s="53" t="str">
        <x:v>刪除帳號提示文字</x:v>
      </x:c>
      <x:c r="B21" s="53" t="str">
        <x:v>會後補充指出仍須法務確認</x:v>
      </x:c>
      <x:c r="C21" s="53" t="str">
        <x:v>確認文字、負責人與期限</x:v>
      </x:c>
      <x:c r="D21" s="53" t="str">
        <x:v>待確認</x:v>
      </x:c>
      <x:c r="E21" s="53" t="str">
        <x:v>待確認</x:v>
      </x:c>
    </x:row>
    <x:row r="22" ht="34.5" customHeight="1">
      <x:c r="A22" s="53" t="str">
        <x:v>Apple 憑證是否需要管理員權限</x:v>
      </x:c>
      <x:c r="B22" s="53" t="str">
        <x:v>目前僅表示「可能需要」</x:v>
      </x:c>
      <x:c r="C22" s="53" t="str">
        <x:v>志豪聯絡 IT</x:v>
      </x:c>
      <x:c r="D22" s="53" t="str">
        <x:v>志豪</x:v>
      </x:c>
      <x:c r="E22" s="53" t="str">
        <x:v>2026/07/29</x:v>
      </x:c>
    </x:row>
    <x:row r="23" ht="34.5" customHeight="1">
      <x:c r="A23" s="53" t="str">
        <x:v>弱點掃描確切日期</x:v>
      </x:c>
      <x:c r="B23" s="53" t="str">
        <x:v>希望 08/06，最晚不得晚於 08/12</x:v>
      </x:c>
      <x:c r="C23" s="53" t="str">
        <x:v>開單後確認排程</x:v>
      </x:c>
      <x:c r="D23" s="53" t="str">
        <x:v>志豪</x:v>
      </x:c>
      <x:c r="E23" s="53" t="str">
        <x:v>2026/08/12 前</x:v>
      </x:c>
    </x:row>
    <x:row r="24" ht="34.5" customHeight="1">
      <x:c r="A24" s="55" t="str">
        <x:v>P0、P1 問題修復負責人</x:v>
      </x:c>
      <x:c r="B24" s="55" t="str">
        <x:v>僅確認期限，未指定負責人</x:v>
      </x:c>
      <x:c r="C24" s="55" t="str">
        <x:v>UAT 前確認分工</x:v>
      </x:c>
      <x:c r="D24" s="55" t="str">
        <x:v>待確認</x:v>
      </x:c>
      <x:c r="E24" s="55" t="str">
        <x:v>待確認</x:v>
      </x:c>
    </x:row>
  </x:sheetData>
  <x:mergeCells>
    <x:mergeCell ref="A1:E1"/>
    <x:mergeCell ref="A2:E2"/>
    <x:mergeCell ref="A4:E4"/>
    <x:mergeCell ref="A14:E14"/>
  </x:mergeCells>
  <x:pageMargins left="0.7" right="0.7" top="0.75" bottom="0.75" header="0.3" footer="0.3"/>
</x:worksheet>
</file>