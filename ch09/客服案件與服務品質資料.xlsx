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F6334\"/>
    </mc:Choice>
  </mc:AlternateContent>
  <xr:revisionPtr revIDLastSave="0" documentId="13_ncr:1_{1F843438-DDAF-4661-AC65-315B38FE915F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使用說明" sheetId="1" r:id="rId1"/>
    <sheet name="客服工單" sheetId="2" r:id="rId2"/>
    <sheet name="人員與團隊" sheetId="3" r:id="rId3"/>
    <sheet name="SLA標準" sheetId="4" r:id="rId4"/>
    <sheet name="滿意度調查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03" i="2" l="1"/>
  <c r="U903" i="2"/>
  <c r="T903" i="2"/>
  <c r="S903" i="2" s="1"/>
  <c r="P903" i="2"/>
  <c r="O903" i="2"/>
  <c r="N903" i="2"/>
  <c r="M903" i="2"/>
  <c r="I903" i="2"/>
  <c r="V902" i="2"/>
  <c r="U902" i="2"/>
  <c r="T902" i="2"/>
  <c r="S902" i="2" s="1"/>
  <c r="P902" i="2"/>
  <c r="O902" i="2"/>
  <c r="N902" i="2"/>
  <c r="M902" i="2"/>
  <c r="I902" i="2"/>
  <c r="V901" i="2"/>
  <c r="U901" i="2"/>
  <c r="T901" i="2"/>
  <c r="S901" i="2" s="1"/>
  <c r="P901" i="2"/>
  <c r="O901" i="2"/>
  <c r="N901" i="2"/>
  <c r="M901" i="2"/>
  <c r="I901" i="2"/>
  <c r="V900" i="2"/>
  <c r="U900" i="2"/>
  <c r="T900" i="2"/>
  <c r="S900" i="2" s="1"/>
  <c r="P900" i="2"/>
  <c r="O900" i="2"/>
  <c r="N900" i="2"/>
  <c r="M900" i="2"/>
  <c r="I900" i="2"/>
  <c r="V899" i="2"/>
  <c r="U899" i="2"/>
  <c r="T899" i="2"/>
  <c r="S899" i="2" s="1"/>
  <c r="P899" i="2"/>
  <c r="O899" i="2"/>
  <c r="N899" i="2"/>
  <c r="M899" i="2"/>
  <c r="I899" i="2"/>
  <c r="V898" i="2"/>
  <c r="U898" i="2"/>
  <c r="T898" i="2"/>
  <c r="S898" i="2" s="1"/>
  <c r="P898" i="2"/>
  <c r="O898" i="2"/>
  <c r="N898" i="2"/>
  <c r="M898" i="2"/>
  <c r="Q898" i="2" s="1"/>
  <c r="I898" i="2"/>
  <c r="V897" i="2"/>
  <c r="U897" i="2"/>
  <c r="T897" i="2"/>
  <c r="S897" i="2" s="1"/>
  <c r="P897" i="2"/>
  <c r="O897" i="2"/>
  <c r="N897" i="2"/>
  <c r="M897" i="2"/>
  <c r="I897" i="2"/>
  <c r="V896" i="2"/>
  <c r="U896" i="2"/>
  <c r="T896" i="2"/>
  <c r="S896" i="2" s="1"/>
  <c r="P896" i="2"/>
  <c r="O896" i="2"/>
  <c r="N896" i="2"/>
  <c r="M896" i="2"/>
  <c r="I896" i="2"/>
  <c r="V895" i="2"/>
  <c r="U895" i="2"/>
  <c r="T895" i="2"/>
  <c r="S895" i="2" s="1"/>
  <c r="P895" i="2"/>
  <c r="O895" i="2"/>
  <c r="N895" i="2"/>
  <c r="M895" i="2"/>
  <c r="I895" i="2"/>
  <c r="V894" i="2"/>
  <c r="U894" i="2"/>
  <c r="T894" i="2"/>
  <c r="S894" i="2" s="1"/>
  <c r="P894" i="2"/>
  <c r="O894" i="2"/>
  <c r="N894" i="2"/>
  <c r="M894" i="2"/>
  <c r="I894" i="2"/>
  <c r="V893" i="2"/>
  <c r="U893" i="2"/>
  <c r="T893" i="2"/>
  <c r="S893" i="2" s="1"/>
  <c r="P893" i="2"/>
  <c r="O893" i="2"/>
  <c r="N893" i="2"/>
  <c r="M893" i="2"/>
  <c r="I893" i="2"/>
  <c r="V892" i="2"/>
  <c r="U892" i="2"/>
  <c r="T892" i="2"/>
  <c r="S892" i="2" s="1"/>
  <c r="P892" i="2"/>
  <c r="O892" i="2"/>
  <c r="N892" i="2"/>
  <c r="M892" i="2"/>
  <c r="I892" i="2"/>
  <c r="V891" i="2"/>
  <c r="U891" i="2"/>
  <c r="T891" i="2"/>
  <c r="S891" i="2" s="1"/>
  <c r="P891" i="2"/>
  <c r="O891" i="2"/>
  <c r="N891" i="2"/>
  <c r="M891" i="2"/>
  <c r="I891" i="2"/>
  <c r="V890" i="2"/>
  <c r="U890" i="2"/>
  <c r="T890" i="2"/>
  <c r="S890" i="2" s="1"/>
  <c r="P890" i="2"/>
  <c r="O890" i="2"/>
  <c r="N890" i="2"/>
  <c r="M890" i="2"/>
  <c r="I890" i="2"/>
  <c r="V889" i="2"/>
  <c r="U889" i="2"/>
  <c r="T889" i="2"/>
  <c r="S889" i="2" s="1"/>
  <c r="P889" i="2"/>
  <c r="O889" i="2"/>
  <c r="N889" i="2"/>
  <c r="M889" i="2"/>
  <c r="I889" i="2"/>
  <c r="V888" i="2"/>
  <c r="U888" i="2"/>
  <c r="T888" i="2"/>
  <c r="S888" i="2" s="1"/>
  <c r="P888" i="2"/>
  <c r="O888" i="2"/>
  <c r="N888" i="2"/>
  <c r="M888" i="2"/>
  <c r="I888" i="2"/>
  <c r="V887" i="2"/>
  <c r="U887" i="2"/>
  <c r="T887" i="2"/>
  <c r="S887" i="2" s="1"/>
  <c r="P887" i="2"/>
  <c r="O887" i="2"/>
  <c r="N887" i="2"/>
  <c r="M887" i="2"/>
  <c r="I887" i="2"/>
  <c r="V886" i="2"/>
  <c r="U886" i="2"/>
  <c r="T886" i="2"/>
  <c r="S886" i="2" s="1"/>
  <c r="P886" i="2"/>
  <c r="O886" i="2"/>
  <c r="N886" i="2"/>
  <c r="M886" i="2"/>
  <c r="Q886" i="2" s="1"/>
  <c r="I886" i="2"/>
  <c r="V885" i="2"/>
  <c r="U885" i="2"/>
  <c r="T885" i="2"/>
  <c r="S885" i="2" s="1"/>
  <c r="P885" i="2"/>
  <c r="O885" i="2"/>
  <c r="N885" i="2"/>
  <c r="M885" i="2"/>
  <c r="I885" i="2"/>
  <c r="V884" i="2"/>
  <c r="U884" i="2"/>
  <c r="T884" i="2"/>
  <c r="S884" i="2" s="1"/>
  <c r="P884" i="2"/>
  <c r="O884" i="2"/>
  <c r="N884" i="2"/>
  <c r="M884" i="2"/>
  <c r="I884" i="2"/>
  <c r="V883" i="2"/>
  <c r="U883" i="2"/>
  <c r="T883" i="2"/>
  <c r="S883" i="2" s="1"/>
  <c r="P883" i="2"/>
  <c r="O883" i="2"/>
  <c r="N883" i="2"/>
  <c r="M883" i="2"/>
  <c r="I883" i="2"/>
  <c r="V882" i="2"/>
  <c r="U882" i="2"/>
  <c r="T882" i="2"/>
  <c r="S882" i="2" s="1"/>
  <c r="P882" i="2"/>
  <c r="O882" i="2"/>
  <c r="N882" i="2"/>
  <c r="M882" i="2"/>
  <c r="I882" i="2"/>
  <c r="V881" i="2"/>
  <c r="U881" i="2"/>
  <c r="T881" i="2"/>
  <c r="S881" i="2" s="1"/>
  <c r="P881" i="2"/>
  <c r="O881" i="2"/>
  <c r="N881" i="2"/>
  <c r="M881" i="2"/>
  <c r="I881" i="2"/>
  <c r="V880" i="2"/>
  <c r="U880" i="2"/>
  <c r="T880" i="2"/>
  <c r="S880" i="2"/>
  <c r="P880" i="2"/>
  <c r="O880" i="2"/>
  <c r="N880" i="2"/>
  <c r="M880" i="2"/>
  <c r="I880" i="2"/>
  <c r="V879" i="2"/>
  <c r="U879" i="2"/>
  <c r="T879" i="2"/>
  <c r="S879" i="2" s="1"/>
  <c r="P879" i="2"/>
  <c r="O879" i="2"/>
  <c r="N879" i="2"/>
  <c r="M879" i="2"/>
  <c r="I879" i="2"/>
  <c r="V878" i="2"/>
  <c r="U878" i="2"/>
  <c r="T878" i="2"/>
  <c r="S878" i="2"/>
  <c r="P878" i="2"/>
  <c r="O878" i="2"/>
  <c r="N878" i="2"/>
  <c r="M878" i="2"/>
  <c r="I878" i="2"/>
  <c r="V877" i="2"/>
  <c r="U877" i="2"/>
  <c r="T877" i="2"/>
  <c r="S877" i="2" s="1"/>
  <c r="P877" i="2"/>
  <c r="O877" i="2"/>
  <c r="N877" i="2"/>
  <c r="M877" i="2"/>
  <c r="I877" i="2"/>
  <c r="V876" i="2"/>
  <c r="U876" i="2"/>
  <c r="T876" i="2"/>
  <c r="S876" i="2" s="1"/>
  <c r="P876" i="2"/>
  <c r="O876" i="2"/>
  <c r="N876" i="2"/>
  <c r="M876" i="2"/>
  <c r="I876" i="2"/>
  <c r="V875" i="2"/>
  <c r="U875" i="2"/>
  <c r="T875" i="2"/>
  <c r="S875" i="2" s="1"/>
  <c r="P875" i="2"/>
  <c r="O875" i="2"/>
  <c r="N875" i="2"/>
  <c r="M875" i="2"/>
  <c r="Q875" i="2" s="1"/>
  <c r="I875" i="2"/>
  <c r="V874" i="2"/>
  <c r="U874" i="2"/>
  <c r="T874" i="2"/>
  <c r="S874" i="2"/>
  <c r="P874" i="2"/>
  <c r="O874" i="2"/>
  <c r="N874" i="2"/>
  <c r="M874" i="2"/>
  <c r="I874" i="2"/>
  <c r="V873" i="2"/>
  <c r="U873" i="2"/>
  <c r="T873" i="2"/>
  <c r="S873" i="2" s="1"/>
  <c r="P873" i="2"/>
  <c r="O873" i="2"/>
  <c r="N873" i="2"/>
  <c r="M873" i="2"/>
  <c r="I873" i="2"/>
  <c r="V872" i="2"/>
  <c r="U872" i="2"/>
  <c r="T872" i="2"/>
  <c r="S872" i="2" s="1"/>
  <c r="P872" i="2"/>
  <c r="O872" i="2"/>
  <c r="N872" i="2"/>
  <c r="M872" i="2"/>
  <c r="I872" i="2"/>
  <c r="V871" i="2"/>
  <c r="U871" i="2"/>
  <c r="T871" i="2"/>
  <c r="S871" i="2"/>
  <c r="P871" i="2"/>
  <c r="O871" i="2"/>
  <c r="N871" i="2"/>
  <c r="M871" i="2"/>
  <c r="I871" i="2"/>
  <c r="V870" i="2"/>
  <c r="U870" i="2"/>
  <c r="T870" i="2"/>
  <c r="S870" i="2" s="1"/>
  <c r="P870" i="2"/>
  <c r="O870" i="2"/>
  <c r="N870" i="2"/>
  <c r="M870" i="2"/>
  <c r="Q870" i="2" s="1"/>
  <c r="I870" i="2"/>
  <c r="V869" i="2"/>
  <c r="U869" i="2"/>
  <c r="T869" i="2"/>
  <c r="S869" i="2" s="1"/>
  <c r="P869" i="2"/>
  <c r="O869" i="2"/>
  <c r="N869" i="2"/>
  <c r="M869" i="2"/>
  <c r="I869" i="2"/>
  <c r="V868" i="2"/>
  <c r="U868" i="2"/>
  <c r="T868" i="2"/>
  <c r="S868" i="2" s="1"/>
  <c r="P868" i="2"/>
  <c r="O868" i="2"/>
  <c r="N868" i="2"/>
  <c r="M868" i="2"/>
  <c r="Q868" i="2" s="1"/>
  <c r="I868" i="2"/>
  <c r="V867" i="2"/>
  <c r="U867" i="2"/>
  <c r="T867" i="2"/>
  <c r="S867" i="2" s="1"/>
  <c r="P867" i="2"/>
  <c r="O867" i="2"/>
  <c r="N867" i="2"/>
  <c r="M867" i="2"/>
  <c r="I867" i="2"/>
  <c r="V866" i="2"/>
  <c r="U866" i="2"/>
  <c r="T866" i="2"/>
  <c r="S866" i="2" s="1"/>
  <c r="P866" i="2"/>
  <c r="O866" i="2"/>
  <c r="N866" i="2"/>
  <c r="M866" i="2"/>
  <c r="Q866" i="2" s="1"/>
  <c r="I866" i="2"/>
  <c r="V865" i="2"/>
  <c r="U865" i="2"/>
  <c r="T865" i="2"/>
  <c r="S865" i="2"/>
  <c r="P865" i="2"/>
  <c r="O865" i="2"/>
  <c r="N865" i="2"/>
  <c r="M865" i="2"/>
  <c r="I865" i="2"/>
  <c r="V864" i="2"/>
  <c r="U864" i="2"/>
  <c r="T864" i="2"/>
  <c r="S864" i="2" s="1"/>
  <c r="P864" i="2"/>
  <c r="O864" i="2"/>
  <c r="N864" i="2"/>
  <c r="M864" i="2"/>
  <c r="I864" i="2"/>
  <c r="V863" i="2"/>
  <c r="U863" i="2"/>
  <c r="T863" i="2"/>
  <c r="S863" i="2" s="1"/>
  <c r="P863" i="2"/>
  <c r="O863" i="2"/>
  <c r="N863" i="2"/>
  <c r="M863" i="2"/>
  <c r="I863" i="2"/>
  <c r="V862" i="2"/>
  <c r="U862" i="2"/>
  <c r="T862" i="2"/>
  <c r="S862" i="2"/>
  <c r="P862" i="2"/>
  <c r="O862" i="2"/>
  <c r="N862" i="2"/>
  <c r="M862" i="2"/>
  <c r="I862" i="2"/>
  <c r="V861" i="2"/>
  <c r="U861" i="2"/>
  <c r="T861" i="2"/>
  <c r="S861" i="2" s="1"/>
  <c r="P861" i="2"/>
  <c r="O861" i="2"/>
  <c r="N861" i="2"/>
  <c r="M861" i="2"/>
  <c r="Q861" i="2" s="1"/>
  <c r="I861" i="2"/>
  <c r="V860" i="2"/>
  <c r="U860" i="2"/>
  <c r="T860" i="2"/>
  <c r="S860" i="2" s="1"/>
  <c r="P860" i="2"/>
  <c r="O860" i="2"/>
  <c r="N860" i="2"/>
  <c r="M860" i="2"/>
  <c r="I860" i="2"/>
  <c r="V859" i="2"/>
  <c r="U859" i="2"/>
  <c r="T859" i="2"/>
  <c r="S859" i="2"/>
  <c r="P859" i="2"/>
  <c r="O859" i="2"/>
  <c r="N859" i="2"/>
  <c r="M859" i="2"/>
  <c r="I859" i="2"/>
  <c r="V858" i="2"/>
  <c r="U858" i="2"/>
  <c r="T858" i="2"/>
  <c r="S858" i="2"/>
  <c r="P858" i="2"/>
  <c r="O858" i="2"/>
  <c r="N858" i="2"/>
  <c r="M858" i="2"/>
  <c r="Q858" i="2" s="1"/>
  <c r="I858" i="2"/>
  <c r="V857" i="2"/>
  <c r="U857" i="2"/>
  <c r="T857" i="2"/>
  <c r="S857" i="2" s="1"/>
  <c r="P857" i="2"/>
  <c r="O857" i="2"/>
  <c r="N857" i="2"/>
  <c r="M857" i="2"/>
  <c r="I857" i="2"/>
  <c r="V856" i="2"/>
  <c r="U856" i="2"/>
  <c r="T856" i="2"/>
  <c r="S856" i="2" s="1"/>
  <c r="P856" i="2"/>
  <c r="O856" i="2"/>
  <c r="N856" i="2"/>
  <c r="M856" i="2"/>
  <c r="Q856" i="2" s="1"/>
  <c r="I856" i="2"/>
  <c r="V855" i="2"/>
  <c r="U855" i="2"/>
  <c r="T855" i="2"/>
  <c r="S855" i="2"/>
  <c r="P855" i="2"/>
  <c r="O855" i="2"/>
  <c r="N855" i="2"/>
  <c r="M855" i="2"/>
  <c r="I855" i="2"/>
  <c r="V854" i="2"/>
  <c r="U854" i="2"/>
  <c r="T854" i="2"/>
  <c r="S854" i="2"/>
  <c r="P854" i="2"/>
  <c r="O854" i="2"/>
  <c r="N854" i="2"/>
  <c r="M854" i="2"/>
  <c r="I854" i="2"/>
  <c r="V853" i="2"/>
  <c r="U853" i="2"/>
  <c r="T853" i="2"/>
  <c r="S853" i="2" s="1"/>
  <c r="P853" i="2"/>
  <c r="O853" i="2"/>
  <c r="N853" i="2"/>
  <c r="M853" i="2"/>
  <c r="I853" i="2"/>
  <c r="V852" i="2"/>
  <c r="U852" i="2"/>
  <c r="T852" i="2"/>
  <c r="S852" i="2"/>
  <c r="P852" i="2"/>
  <c r="O852" i="2"/>
  <c r="N852" i="2"/>
  <c r="M852" i="2"/>
  <c r="Q852" i="2" s="1"/>
  <c r="I852" i="2"/>
  <c r="V851" i="2"/>
  <c r="U851" i="2"/>
  <c r="T851" i="2"/>
  <c r="S851" i="2" s="1"/>
  <c r="P851" i="2"/>
  <c r="O851" i="2"/>
  <c r="N851" i="2"/>
  <c r="M851" i="2"/>
  <c r="I851" i="2"/>
  <c r="V850" i="2"/>
  <c r="U850" i="2"/>
  <c r="T850" i="2"/>
  <c r="S850" i="2"/>
  <c r="P850" i="2"/>
  <c r="O850" i="2"/>
  <c r="N850" i="2"/>
  <c r="M850" i="2"/>
  <c r="I850" i="2"/>
  <c r="V849" i="2"/>
  <c r="U849" i="2"/>
  <c r="T849" i="2"/>
  <c r="S849" i="2"/>
  <c r="P849" i="2"/>
  <c r="O849" i="2"/>
  <c r="N849" i="2"/>
  <c r="M849" i="2"/>
  <c r="Q849" i="2" s="1"/>
  <c r="I849" i="2"/>
  <c r="V848" i="2"/>
  <c r="U848" i="2"/>
  <c r="T848" i="2"/>
  <c r="S848" i="2" s="1"/>
  <c r="P848" i="2"/>
  <c r="O848" i="2"/>
  <c r="N848" i="2"/>
  <c r="M848" i="2"/>
  <c r="Q848" i="2" s="1"/>
  <c r="I848" i="2"/>
  <c r="V847" i="2"/>
  <c r="U847" i="2"/>
  <c r="T847" i="2"/>
  <c r="S847" i="2"/>
  <c r="P847" i="2"/>
  <c r="O847" i="2"/>
  <c r="N847" i="2"/>
  <c r="M847" i="2"/>
  <c r="I847" i="2"/>
  <c r="V846" i="2"/>
  <c r="U846" i="2"/>
  <c r="T846" i="2"/>
  <c r="S846" i="2" s="1"/>
  <c r="P846" i="2"/>
  <c r="O846" i="2"/>
  <c r="N846" i="2"/>
  <c r="M846" i="2"/>
  <c r="I846" i="2"/>
  <c r="V845" i="2"/>
  <c r="U845" i="2"/>
  <c r="T845" i="2"/>
  <c r="S845" i="2" s="1"/>
  <c r="P845" i="2"/>
  <c r="O845" i="2"/>
  <c r="N845" i="2"/>
  <c r="M845" i="2"/>
  <c r="I845" i="2"/>
  <c r="V844" i="2"/>
  <c r="U844" i="2"/>
  <c r="T844" i="2"/>
  <c r="S844" i="2"/>
  <c r="P844" i="2"/>
  <c r="O844" i="2"/>
  <c r="N844" i="2"/>
  <c r="M844" i="2"/>
  <c r="Q844" i="2" s="1"/>
  <c r="I844" i="2"/>
  <c r="V843" i="2"/>
  <c r="U843" i="2"/>
  <c r="T843" i="2"/>
  <c r="S843" i="2" s="1"/>
  <c r="P843" i="2"/>
  <c r="O843" i="2"/>
  <c r="N843" i="2"/>
  <c r="M843" i="2"/>
  <c r="Q843" i="2" s="1"/>
  <c r="I843" i="2"/>
  <c r="V842" i="2"/>
  <c r="U842" i="2"/>
  <c r="T842" i="2"/>
  <c r="S842" i="2" s="1"/>
  <c r="P842" i="2"/>
  <c r="O842" i="2"/>
  <c r="N842" i="2"/>
  <c r="M842" i="2"/>
  <c r="I842" i="2"/>
  <c r="V841" i="2"/>
  <c r="U841" i="2"/>
  <c r="T841" i="2"/>
  <c r="S841" i="2"/>
  <c r="P841" i="2"/>
  <c r="O841" i="2"/>
  <c r="N841" i="2"/>
  <c r="M841" i="2"/>
  <c r="I841" i="2"/>
  <c r="V840" i="2"/>
  <c r="U840" i="2"/>
  <c r="T840" i="2"/>
  <c r="S840" i="2"/>
  <c r="P840" i="2"/>
  <c r="O840" i="2"/>
  <c r="N840" i="2"/>
  <c r="M840" i="2"/>
  <c r="I840" i="2"/>
  <c r="V839" i="2"/>
  <c r="U839" i="2"/>
  <c r="T839" i="2"/>
  <c r="S839" i="2" s="1"/>
  <c r="P839" i="2"/>
  <c r="O839" i="2"/>
  <c r="N839" i="2"/>
  <c r="M839" i="2"/>
  <c r="I839" i="2"/>
  <c r="V838" i="2"/>
  <c r="U838" i="2"/>
  <c r="T838" i="2"/>
  <c r="S838" i="2" s="1"/>
  <c r="P838" i="2"/>
  <c r="O838" i="2"/>
  <c r="N838" i="2"/>
  <c r="M838" i="2"/>
  <c r="I838" i="2"/>
  <c r="V837" i="2"/>
  <c r="U837" i="2"/>
  <c r="T837" i="2"/>
  <c r="S837" i="2"/>
  <c r="P837" i="2"/>
  <c r="O837" i="2"/>
  <c r="N837" i="2"/>
  <c r="M837" i="2"/>
  <c r="I837" i="2"/>
  <c r="V836" i="2"/>
  <c r="U836" i="2"/>
  <c r="T836" i="2"/>
  <c r="S836" i="2"/>
  <c r="P836" i="2"/>
  <c r="O836" i="2"/>
  <c r="N836" i="2"/>
  <c r="M836" i="2"/>
  <c r="I836" i="2"/>
  <c r="V835" i="2"/>
  <c r="U835" i="2"/>
  <c r="T835" i="2"/>
  <c r="S835" i="2" s="1"/>
  <c r="P835" i="2"/>
  <c r="O835" i="2"/>
  <c r="N835" i="2"/>
  <c r="M835" i="2"/>
  <c r="I835" i="2"/>
  <c r="V834" i="2"/>
  <c r="U834" i="2"/>
  <c r="T834" i="2"/>
  <c r="S834" i="2"/>
  <c r="P834" i="2"/>
  <c r="O834" i="2"/>
  <c r="N834" i="2"/>
  <c r="M834" i="2"/>
  <c r="I834" i="2"/>
  <c r="V833" i="2"/>
  <c r="U833" i="2"/>
  <c r="T833" i="2"/>
  <c r="S833" i="2" s="1"/>
  <c r="P833" i="2"/>
  <c r="O833" i="2"/>
  <c r="N833" i="2"/>
  <c r="M833" i="2"/>
  <c r="I833" i="2"/>
  <c r="V832" i="2"/>
  <c r="U832" i="2"/>
  <c r="T832" i="2"/>
  <c r="S832" i="2"/>
  <c r="P832" i="2"/>
  <c r="O832" i="2"/>
  <c r="N832" i="2"/>
  <c r="M832" i="2"/>
  <c r="I832" i="2"/>
  <c r="V831" i="2"/>
  <c r="U831" i="2"/>
  <c r="T831" i="2"/>
  <c r="S831" i="2"/>
  <c r="P831" i="2"/>
  <c r="O831" i="2"/>
  <c r="N831" i="2"/>
  <c r="M831" i="2"/>
  <c r="Q831" i="2" s="1"/>
  <c r="I831" i="2"/>
  <c r="V830" i="2"/>
  <c r="U830" i="2"/>
  <c r="T830" i="2"/>
  <c r="S830" i="2" s="1"/>
  <c r="P830" i="2"/>
  <c r="O830" i="2"/>
  <c r="N830" i="2"/>
  <c r="M830" i="2"/>
  <c r="I830" i="2"/>
  <c r="V829" i="2"/>
  <c r="U829" i="2"/>
  <c r="T829" i="2"/>
  <c r="S829" i="2" s="1"/>
  <c r="P829" i="2"/>
  <c r="O829" i="2"/>
  <c r="N829" i="2"/>
  <c r="M829" i="2"/>
  <c r="I829" i="2"/>
  <c r="V828" i="2"/>
  <c r="U828" i="2"/>
  <c r="T828" i="2"/>
  <c r="S828" i="2"/>
  <c r="P828" i="2"/>
  <c r="O828" i="2"/>
  <c r="N828" i="2"/>
  <c r="M828" i="2"/>
  <c r="I828" i="2"/>
  <c r="V827" i="2"/>
  <c r="U827" i="2"/>
  <c r="T827" i="2"/>
  <c r="S827" i="2"/>
  <c r="P827" i="2"/>
  <c r="O827" i="2"/>
  <c r="N827" i="2"/>
  <c r="M827" i="2"/>
  <c r="I827" i="2"/>
  <c r="V826" i="2"/>
  <c r="U826" i="2"/>
  <c r="T826" i="2"/>
  <c r="S826" i="2" s="1"/>
  <c r="P826" i="2"/>
  <c r="O826" i="2"/>
  <c r="N826" i="2"/>
  <c r="M826" i="2"/>
  <c r="I826" i="2"/>
  <c r="V825" i="2"/>
  <c r="U825" i="2"/>
  <c r="T825" i="2"/>
  <c r="S825" i="2"/>
  <c r="P825" i="2"/>
  <c r="O825" i="2"/>
  <c r="N825" i="2"/>
  <c r="M825" i="2"/>
  <c r="I825" i="2"/>
  <c r="V824" i="2"/>
  <c r="U824" i="2"/>
  <c r="T824" i="2"/>
  <c r="S824" i="2" s="1"/>
  <c r="P824" i="2"/>
  <c r="O824" i="2"/>
  <c r="N824" i="2"/>
  <c r="M824" i="2"/>
  <c r="Q824" i="2" s="1"/>
  <c r="I824" i="2"/>
  <c r="V823" i="2"/>
  <c r="U823" i="2"/>
  <c r="T823" i="2"/>
  <c r="S823" i="2"/>
  <c r="P823" i="2"/>
  <c r="O823" i="2"/>
  <c r="N823" i="2"/>
  <c r="M823" i="2"/>
  <c r="I823" i="2"/>
  <c r="V822" i="2"/>
  <c r="U822" i="2"/>
  <c r="T822" i="2"/>
  <c r="S822" i="2"/>
  <c r="P822" i="2"/>
  <c r="O822" i="2"/>
  <c r="N822" i="2"/>
  <c r="M822" i="2"/>
  <c r="I822" i="2"/>
  <c r="V821" i="2"/>
  <c r="U821" i="2"/>
  <c r="T821" i="2"/>
  <c r="S821" i="2" s="1"/>
  <c r="P821" i="2"/>
  <c r="O821" i="2"/>
  <c r="N821" i="2"/>
  <c r="M821" i="2"/>
  <c r="Q821" i="2" s="1"/>
  <c r="I821" i="2"/>
  <c r="V820" i="2"/>
  <c r="U820" i="2"/>
  <c r="T820" i="2"/>
  <c r="S820" i="2" s="1"/>
  <c r="P820" i="2"/>
  <c r="O820" i="2"/>
  <c r="N820" i="2"/>
  <c r="M820" i="2"/>
  <c r="I820" i="2"/>
  <c r="V819" i="2"/>
  <c r="U819" i="2"/>
  <c r="T819" i="2"/>
  <c r="S819" i="2" s="1"/>
  <c r="P819" i="2"/>
  <c r="O819" i="2"/>
  <c r="N819" i="2"/>
  <c r="M819" i="2"/>
  <c r="Q819" i="2" s="1"/>
  <c r="I819" i="2"/>
  <c r="V818" i="2"/>
  <c r="U818" i="2"/>
  <c r="T818" i="2"/>
  <c r="S818" i="2"/>
  <c r="P818" i="2"/>
  <c r="O818" i="2"/>
  <c r="N818" i="2"/>
  <c r="M818" i="2"/>
  <c r="I818" i="2"/>
  <c r="V817" i="2"/>
  <c r="U817" i="2"/>
  <c r="T817" i="2"/>
  <c r="S817" i="2" s="1"/>
  <c r="P817" i="2"/>
  <c r="O817" i="2"/>
  <c r="N817" i="2"/>
  <c r="M817" i="2"/>
  <c r="I817" i="2"/>
  <c r="V816" i="2"/>
  <c r="U816" i="2"/>
  <c r="T816" i="2"/>
  <c r="S816" i="2"/>
  <c r="P816" i="2"/>
  <c r="O816" i="2"/>
  <c r="N816" i="2"/>
  <c r="M816" i="2"/>
  <c r="I816" i="2"/>
  <c r="V815" i="2"/>
  <c r="U815" i="2"/>
  <c r="T815" i="2"/>
  <c r="S815" i="2" s="1"/>
  <c r="P815" i="2"/>
  <c r="O815" i="2"/>
  <c r="N815" i="2"/>
  <c r="M815" i="2"/>
  <c r="Q815" i="2" s="1"/>
  <c r="I815" i="2"/>
  <c r="V814" i="2"/>
  <c r="U814" i="2"/>
  <c r="T814" i="2"/>
  <c r="S814" i="2"/>
  <c r="P814" i="2"/>
  <c r="O814" i="2"/>
  <c r="N814" i="2"/>
  <c r="M814" i="2"/>
  <c r="I814" i="2"/>
  <c r="V813" i="2"/>
  <c r="U813" i="2"/>
  <c r="T813" i="2"/>
  <c r="S813" i="2"/>
  <c r="P813" i="2"/>
  <c r="O813" i="2"/>
  <c r="N813" i="2"/>
  <c r="M813" i="2"/>
  <c r="I813" i="2"/>
  <c r="V812" i="2"/>
  <c r="U812" i="2"/>
  <c r="T812" i="2"/>
  <c r="S812" i="2" s="1"/>
  <c r="P812" i="2"/>
  <c r="O812" i="2"/>
  <c r="N812" i="2"/>
  <c r="M812" i="2"/>
  <c r="Q812" i="2" s="1"/>
  <c r="I812" i="2"/>
  <c r="V811" i="2"/>
  <c r="U811" i="2"/>
  <c r="T811" i="2"/>
  <c r="S811" i="2" s="1"/>
  <c r="P811" i="2"/>
  <c r="O811" i="2"/>
  <c r="N811" i="2"/>
  <c r="M811" i="2"/>
  <c r="I811" i="2"/>
  <c r="V810" i="2"/>
  <c r="U810" i="2"/>
  <c r="T810" i="2"/>
  <c r="S810" i="2" s="1"/>
  <c r="P810" i="2"/>
  <c r="O810" i="2"/>
  <c r="N810" i="2"/>
  <c r="M810" i="2"/>
  <c r="Q810" i="2" s="1"/>
  <c r="I810" i="2"/>
  <c r="V809" i="2"/>
  <c r="U809" i="2"/>
  <c r="T809" i="2"/>
  <c r="S809" i="2"/>
  <c r="P809" i="2"/>
  <c r="O809" i="2"/>
  <c r="N809" i="2"/>
  <c r="M809" i="2"/>
  <c r="I809" i="2"/>
  <c r="V808" i="2"/>
  <c r="U808" i="2"/>
  <c r="T808" i="2"/>
  <c r="S808" i="2" s="1"/>
  <c r="P808" i="2"/>
  <c r="O808" i="2"/>
  <c r="N808" i="2"/>
  <c r="M808" i="2"/>
  <c r="I808" i="2"/>
  <c r="V807" i="2"/>
  <c r="U807" i="2"/>
  <c r="T807" i="2"/>
  <c r="S807" i="2" s="1"/>
  <c r="P807" i="2"/>
  <c r="O807" i="2"/>
  <c r="N807" i="2"/>
  <c r="M807" i="2"/>
  <c r="I807" i="2"/>
  <c r="V806" i="2"/>
  <c r="U806" i="2"/>
  <c r="T806" i="2"/>
  <c r="S806" i="2"/>
  <c r="P806" i="2"/>
  <c r="O806" i="2"/>
  <c r="N806" i="2"/>
  <c r="M806" i="2"/>
  <c r="I806" i="2"/>
  <c r="V805" i="2"/>
  <c r="U805" i="2"/>
  <c r="T805" i="2"/>
  <c r="S805" i="2" s="1"/>
  <c r="P805" i="2"/>
  <c r="O805" i="2"/>
  <c r="N805" i="2"/>
  <c r="M805" i="2"/>
  <c r="I805" i="2"/>
  <c r="V804" i="2"/>
  <c r="U804" i="2"/>
  <c r="T804" i="2"/>
  <c r="S804" i="2"/>
  <c r="P804" i="2"/>
  <c r="O804" i="2"/>
  <c r="N804" i="2"/>
  <c r="M804" i="2"/>
  <c r="I804" i="2"/>
  <c r="V803" i="2"/>
  <c r="U803" i="2"/>
  <c r="T803" i="2"/>
  <c r="S803" i="2" s="1"/>
  <c r="P803" i="2"/>
  <c r="O803" i="2"/>
  <c r="N803" i="2"/>
  <c r="M803" i="2"/>
  <c r="I803" i="2"/>
  <c r="V802" i="2"/>
  <c r="U802" i="2"/>
  <c r="T802" i="2"/>
  <c r="S802" i="2" s="1"/>
  <c r="P802" i="2"/>
  <c r="O802" i="2"/>
  <c r="N802" i="2"/>
  <c r="M802" i="2"/>
  <c r="I802" i="2"/>
  <c r="V801" i="2"/>
  <c r="U801" i="2"/>
  <c r="T801" i="2"/>
  <c r="S801" i="2" s="1"/>
  <c r="P801" i="2"/>
  <c r="O801" i="2"/>
  <c r="N801" i="2"/>
  <c r="M801" i="2"/>
  <c r="Q801" i="2" s="1"/>
  <c r="I801" i="2"/>
  <c r="V800" i="2"/>
  <c r="U800" i="2"/>
  <c r="T800" i="2"/>
  <c r="S800" i="2"/>
  <c r="P800" i="2"/>
  <c r="O800" i="2"/>
  <c r="N800" i="2"/>
  <c r="M800" i="2"/>
  <c r="I800" i="2"/>
  <c r="V799" i="2"/>
  <c r="U799" i="2"/>
  <c r="T799" i="2"/>
  <c r="S799" i="2" s="1"/>
  <c r="P799" i="2"/>
  <c r="O799" i="2"/>
  <c r="N799" i="2"/>
  <c r="M799" i="2"/>
  <c r="I799" i="2"/>
  <c r="V798" i="2"/>
  <c r="U798" i="2"/>
  <c r="T798" i="2"/>
  <c r="S798" i="2" s="1"/>
  <c r="P798" i="2"/>
  <c r="O798" i="2"/>
  <c r="N798" i="2"/>
  <c r="M798" i="2"/>
  <c r="I798" i="2"/>
  <c r="V797" i="2"/>
  <c r="U797" i="2"/>
  <c r="T797" i="2"/>
  <c r="S797" i="2"/>
  <c r="P797" i="2"/>
  <c r="O797" i="2"/>
  <c r="N797" i="2"/>
  <c r="M797" i="2"/>
  <c r="I797" i="2"/>
  <c r="V796" i="2"/>
  <c r="U796" i="2"/>
  <c r="T796" i="2"/>
  <c r="S796" i="2" s="1"/>
  <c r="P796" i="2"/>
  <c r="O796" i="2"/>
  <c r="N796" i="2"/>
  <c r="M796" i="2"/>
  <c r="Q796" i="2" s="1"/>
  <c r="I796" i="2"/>
  <c r="V795" i="2"/>
  <c r="U795" i="2"/>
  <c r="T795" i="2"/>
  <c r="S795" i="2" s="1"/>
  <c r="P795" i="2"/>
  <c r="O795" i="2"/>
  <c r="N795" i="2"/>
  <c r="M795" i="2"/>
  <c r="I795" i="2"/>
  <c r="V794" i="2"/>
  <c r="U794" i="2"/>
  <c r="T794" i="2"/>
  <c r="S794" i="2"/>
  <c r="P794" i="2"/>
  <c r="O794" i="2"/>
  <c r="N794" i="2"/>
  <c r="M794" i="2"/>
  <c r="I794" i="2"/>
  <c r="V793" i="2"/>
  <c r="U793" i="2"/>
  <c r="T793" i="2"/>
  <c r="S793" i="2"/>
  <c r="P793" i="2"/>
  <c r="O793" i="2"/>
  <c r="N793" i="2"/>
  <c r="M793" i="2"/>
  <c r="Q793" i="2" s="1"/>
  <c r="I793" i="2"/>
  <c r="V792" i="2"/>
  <c r="U792" i="2"/>
  <c r="T792" i="2"/>
  <c r="S792" i="2" s="1"/>
  <c r="P792" i="2"/>
  <c r="O792" i="2"/>
  <c r="N792" i="2"/>
  <c r="M792" i="2"/>
  <c r="I792" i="2"/>
  <c r="V791" i="2"/>
  <c r="U791" i="2"/>
  <c r="T791" i="2"/>
  <c r="S791" i="2"/>
  <c r="P791" i="2"/>
  <c r="O791" i="2"/>
  <c r="N791" i="2"/>
  <c r="M791" i="2"/>
  <c r="I791" i="2"/>
  <c r="V790" i="2"/>
  <c r="U790" i="2"/>
  <c r="T790" i="2"/>
  <c r="S790" i="2"/>
  <c r="P790" i="2"/>
  <c r="O790" i="2"/>
  <c r="N790" i="2"/>
  <c r="M790" i="2"/>
  <c r="I790" i="2"/>
  <c r="V789" i="2"/>
  <c r="U789" i="2"/>
  <c r="T789" i="2"/>
  <c r="S789" i="2"/>
  <c r="P789" i="2"/>
  <c r="O789" i="2"/>
  <c r="N789" i="2"/>
  <c r="M789" i="2"/>
  <c r="I789" i="2"/>
  <c r="V788" i="2"/>
  <c r="U788" i="2"/>
  <c r="T788" i="2"/>
  <c r="S788" i="2" s="1"/>
  <c r="P788" i="2"/>
  <c r="O788" i="2"/>
  <c r="N788" i="2"/>
  <c r="M788" i="2"/>
  <c r="I788" i="2"/>
  <c r="V787" i="2"/>
  <c r="U787" i="2"/>
  <c r="T787" i="2"/>
  <c r="S787" i="2" s="1"/>
  <c r="P787" i="2"/>
  <c r="O787" i="2"/>
  <c r="N787" i="2"/>
  <c r="M787" i="2"/>
  <c r="Q787" i="2" s="1"/>
  <c r="I787" i="2"/>
  <c r="V786" i="2"/>
  <c r="U786" i="2"/>
  <c r="T786" i="2"/>
  <c r="S786" i="2" s="1"/>
  <c r="P786" i="2"/>
  <c r="O786" i="2"/>
  <c r="N786" i="2"/>
  <c r="M786" i="2"/>
  <c r="I786" i="2"/>
  <c r="V785" i="2"/>
  <c r="U785" i="2"/>
  <c r="T785" i="2"/>
  <c r="S785" i="2" s="1"/>
  <c r="P785" i="2"/>
  <c r="O785" i="2"/>
  <c r="N785" i="2"/>
  <c r="M785" i="2"/>
  <c r="I785" i="2"/>
  <c r="V784" i="2"/>
  <c r="U784" i="2"/>
  <c r="T784" i="2"/>
  <c r="S784" i="2" s="1"/>
  <c r="P784" i="2"/>
  <c r="O784" i="2"/>
  <c r="N784" i="2"/>
  <c r="M784" i="2"/>
  <c r="I784" i="2"/>
  <c r="V783" i="2"/>
  <c r="U783" i="2"/>
  <c r="T783" i="2"/>
  <c r="S783" i="2" s="1"/>
  <c r="P783" i="2"/>
  <c r="O783" i="2"/>
  <c r="N783" i="2"/>
  <c r="M783" i="2"/>
  <c r="I783" i="2"/>
  <c r="V782" i="2"/>
  <c r="U782" i="2"/>
  <c r="T782" i="2"/>
  <c r="S782" i="2" s="1"/>
  <c r="P782" i="2"/>
  <c r="O782" i="2"/>
  <c r="N782" i="2"/>
  <c r="M782" i="2"/>
  <c r="I782" i="2"/>
  <c r="V781" i="2"/>
  <c r="U781" i="2"/>
  <c r="T781" i="2"/>
  <c r="S781" i="2"/>
  <c r="P781" i="2"/>
  <c r="O781" i="2"/>
  <c r="N781" i="2"/>
  <c r="M781" i="2"/>
  <c r="I781" i="2"/>
  <c r="V780" i="2"/>
  <c r="U780" i="2"/>
  <c r="T780" i="2"/>
  <c r="S780" i="2" s="1"/>
  <c r="P780" i="2"/>
  <c r="O780" i="2"/>
  <c r="N780" i="2"/>
  <c r="M780" i="2"/>
  <c r="Q780" i="2" s="1"/>
  <c r="I780" i="2"/>
  <c r="V779" i="2"/>
  <c r="U779" i="2"/>
  <c r="T779" i="2"/>
  <c r="S779" i="2" s="1"/>
  <c r="P779" i="2"/>
  <c r="O779" i="2"/>
  <c r="N779" i="2"/>
  <c r="M779" i="2"/>
  <c r="I779" i="2"/>
  <c r="V778" i="2"/>
  <c r="U778" i="2"/>
  <c r="T778" i="2"/>
  <c r="S778" i="2"/>
  <c r="P778" i="2"/>
  <c r="O778" i="2"/>
  <c r="N778" i="2"/>
  <c r="M778" i="2"/>
  <c r="I778" i="2"/>
  <c r="V777" i="2"/>
  <c r="U777" i="2"/>
  <c r="T777" i="2"/>
  <c r="S777" i="2"/>
  <c r="P777" i="2"/>
  <c r="O777" i="2"/>
  <c r="N777" i="2"/>
  <c r="M777" i="2"/>
  <c r="Q777" i="2" s="1"/>
  <c r="I777" i="2"/>
  <c r="V776" i="2"/>
  <c r="U776" i="2"/>
  <c r="T776" i="2"/>
  <c r="S776" i="2" s="1"/>
  <c r="P776" i="2"/>
  <c r="O776" i="2"/>
  <c r="N776" i="2"/>
  <c r="M776" i="2"/>
  <c r="I776" i="2"/>
  <c r="V775" i="2"/>
  <c r="U775" i="2"/>
  <c r="T775" i="2"/>
  <c r="S775" i="2" s="1"/>
  <c r="P775" i="2"/>
  <c r="O775" i="2"/>
  <c r="N775" i="2"/>
  <c r="M775" i="2"/>
  <c r="Q775" i="2" s="1"/>
  <c r="I775" i="2"/>
  <c r="V774" i="2"/>
  <c r="U774" i="2"/>
  <c r="T774" i="2"/>
  <c r="S774" i="2"/>
  <c r="P774" i="2"/>
  <c r="O774" i="2"/>
  <c r="N774" i="2"/>
  <c r="M774" i="2"/>
  <c r="I774" i="2"/>
  <c r="V773" i="2"/>
  <c r="U773" i="2"/>
  <c r="T773" i="2"/>
  <c r="S773" i="2"/>
  <c r="P773" i="2"/>
  <c r="O773" i="2"/>
  <c r="N773" i="2"/>
  <c r="M773" i="2"/>
  <c r="I773" i="2"/>
  <c r="V772" i="2"/>
  <c r="U772" i="2"/>
  <c r="T772" i="2"/>
  <c r="S772" i="2" s="1"/>
  <c r="P772" i="2"/>
  <c r="O772" i="2"/>
  <c r="N772" i="2"/>
  <c r="M772" i="2"/>
  <c r="I772" i="2"/>
  <c r="V771" i="2"/>
  <c r="U771" i="2"/>
  <c r="T771" i="2"/>
  <c r="S771" i="2"/>
  <c r="P771" i="2"/>
  <c r="O771" i="2"/>
  <c r="N771" i="2"/>
  <c r="M771" i="2"/>
  <c r="I771" i="2"/>
  <c r="V770" i="2"/>
  <c r="U770" i="2"/>
  <c r="T770" i="2"/>
  <c r="S770" i="2" s="1"/>
  <c r="P770" i="2"/>
  <c r="O770" i="2"/>
  <c r="N770" i="2"/>
  <c r="M770" i="2"/>
  <c r="Q770" i="2" s="1"/>
  <c r="I770" i="2"/>
  <c r="V769" i="2"/>
  <c r="U769" i="2"/>
  <c r="T769" i="2"/>
  <c r="S769" i="2" s="1"/>
  <c r="P769" i="2"/>
  <c r="O769" i="2"/>
  <c r="N769" i="2"/>
  <c r="M769" i="2"/>
  <c r="I769" i="2"/>
  <c r="V768" i="2"/>
  <c r="U768" i="2"/>
  <c r="T768" i="2"/>
  <c r="S768" i="2"/>
  <c r="P768" i="2"/>
  <c r="O768" i="2"/>
  <c r="N768" i="2"/>
  <c r="M768" i="2"/>
  <c r="Q768" i="2" s="1"/>
  <c r="I768" i="2"/>
  <c r="V767" i="2"/>
  <c r="U767" i="2"/>
  <c r="T767" i="2"/>
  <c r="S767" i="2" s="1"/>
  <c r="P767" i="2"/>
  <c r="O767" i="2"/>
  <c r="N767" i="2"/>
  <c r="M767" i="2"/>
  <c r="Q767" i="2" s="1"/>
  <c r="I767" i="2"/>
  <c r="V766" i="2"/>
  <c r="U766" i="2"/>
  <c r="T766" i="2"/>
  <c r="S766" i="2"/>
  <c r="P766" i="2"/>
  <c r="O766" i="2"/>
  <c r="N766" i="2"/>
  <c r="M766" i="2"/>
  <c r="I766" i="2"/>
  <c r="V765" i="2"/>
  <c r="U765" i="2"/>
  <c r="T765" i="2"/>
  <c r="S765" i="2" s="1"/>
  <c r="P765" i="2"/>
  <c r="O765" i="2"/>
  <c r="N765" i="2"/>
  <c r="M765" i="2"/>
  <c r="I765" i="2"/>
  <c r="V764" i="2"/>
  <c r="U764" i="2"/>
  <c r="T764" i="2"/>
  <c r="S764" i="2" s="1"/>
  <c r="P764" i="2"/>
  <c r="O764" i="2"/>
  <c r="N764" i="2"/>
  <c r="M764" i="2"/>
  <c r="I764" i="2"/>
  <c r="V763" i="2"/>
  <c r="U763" i="2"/>
  <c r="T763" i="2"/>
  <c r="S763" i="2"/>
  <c r="P763" i="2"/>
  <c r="O763" i="2"/>
  <c r="N763" i="2"/>
  <c r="M763" i="2"/>
  <c r="I763" i="2"/>
  <c r="V762" i="2"/>
  <c r="U762" i="2"/>
  <c r="T762" i="2"/>
  <c r="S762" i="2" s="1"/>
  <c r="P762" i="2"/>
  <c r="O762" i="2"/>
  <c r="N762" i="2"/>
  <c r="M762" i="2"/>
  <c r="Q762" i="2" s="1"/>
  <c r="I762" i="2"/>
  <c r="V761" i="2"/>
  <c r="U761" i="2"/>
  <c r="T761" i="2"/>
  <c r="S761" i="2" s="1"/>
  <c r="P761" i="2"/>
  <c r="O761" i="2"/>
  <c r="N761" i="2"/>
  <c r="M761" i="2"/>
  <c r="I761" i="2"/>
  <c r="V760" i="2"/>
  <c r="U760" i="2"/>
  <c r="T760" i="2"/>
  <c r="S760" i="2"/>
  <c r="P760" i="2"/>
  <c r="O760" i="2"/>
  <c r="N760" i="2"/>
  <c r="M760" i="2"/>
  <c r="I760" i="2"/>
  <c r="V759" i="2"/>
  <c r="U759" i="2"/>
  <c r="T759" i="2"/>
  <c r="S759" i="2"/>
  <c r="P759" i="2"/>
  <c r="O759" i="2"/>
  <c r="N759" i="2"/>
  <c r="M759" i="2"/>
  <c r="Q759" i="2" s="1"/>
  <c r="I759" i="2"/>
  <c r="V758" i="2"/>
  <c r="U758" i="2"/>
  <c r="T758" i="2"/>
  <c r="S758" i="2" s="1"/>
  <c r="P758" i="2"/>
  <c r="O758" i="2"/>
  <c r="N758" i="2"/>
  <c r="M758" i="2"/>
  <c r="I758" i="2"/>
  <c r="V757" i="2"/>
  <c r="U757" i="2"/>
  <c r="T757" i="2"/>
  <c r="S757" i="2" s="1"/>
  <c r="P757" i="2"/>
  <c r="O757" i="2"/>
  <c r="N757" i="2"/>
  <c r="M757" i="2"/>
  <c r="I757" i="2"/>
  <c r="V756" i="2"/>
  <c r="U756" i="2"/>
  <c r="T756" i="2"/>
  <c r="S756" i="2"/>
  <c r="P756" i="2"/>
  <c r="O756" i="2"/>
  <c r="N756" i="2"/>
  <c r="M756" i="2"/>
  <c r="I756" i="2"/>
  <c r="V755" i="2"/>
  <c r="U755" i="2"/>
  <c r="T755" i="2"/>
  <c r="S755" i="2"/>
  <c r="P755" i="2"/>
  <c r="O755" i="2"/>
  <c r="N755" i="2"/>
  <c r="M755" i="2"/>
  <c r="I755" i="2"/>
  <c r="V754" i="2"/>
  <c r="U754" i="2"/>
  <c r="T754" i="2"/>
  <c r="S754" i="2" s="1"/>
  <c r="P754" i="2"/>
  <c r="O754" i="2"/>
  <c r="N754" i="2"/>
  <c r="M754" i="2"/>
  <c r="I754" i="2"/>
  <c r="V753" i="2"/>
  <c r="U753" i="2"/>
  <c r="T753" i="2"/>
  <c r="S753" i="2"/>
  <c r="P753" i="2"/>
  <c r="O753" i="2"/>
  <c r="N753" i="2"/>
  <c r="M753" i="2"/>
  <c r="I753" i="2"/>
  <c r="V752" i="2"/>
  <c r="U752" i="2"/>
  <c r="T752" i="2"/>
  <c r="S752" i="2" s="1"/>
  <c r="P752" i="2"/>
  <c r="O752" i="2"/>
  <c r="N752" i="2"/>
  <c r="M752" i="2"/>
  <c r="Q752" i="2" s="1"/>
  <c r="I752" i="2"/>
  <c r="V751" i="2"/>
  <c r="U751" i="2"/>
  <c r="T751" i="2"/>
  <c r="S751" i="2"/>
  <c r="P751" i="2"/>
  <c r="O751" i="2"/>
  <c r="N751" i="2"/>
  <c r="M751" i="2"/>
  <c r="I751" i="2"/>
  <c r="V750" i="2"/>
  <c r="U750" i="2"/>
  <c r="T750" i="2"/>
  <c r="S750" i="2"/>
  <c r="P750" i="2"/>
  <c r="O750" i="2"/>
  <c r="N750" i="2"/>
  <c r="M750" i="2"/>
  <c r="I750" i="2"/>
  <c r="V749" i="2"/>
  <c r="U749" i="2"/>
  <c r="T749" i="2"/>
  <c r="S749" i="2" s="1"/>
  <c r="P749" i="2"/>
  <c r="O749" i="2"/>
  <c r="N749" i="2"/>
  <c r="M749" i="2"/>
  <c r="I749" i="2"/>
  <c r="V748" i="2"/>
  <c r="U748" i="2"/>
  <c r="T748" i="2"/>
  <c r="S748" i="2" s="1"/>
  <c r="P748" i="2"/>
  <c r="O748" i="2"/>
  <c r="N748" i="2"/>
  <c r="M748" i="2"/>
  <c r="I748" i="2"/>
  <c r="V747" i="2"/>
  <c r="U747" i="2"/>
  <c r="T747" i="2"/>
  <c r="S747" i="2" s="1"/>
  <c r="P747" i="2"/>
  <c r="O747" i="2"/>
  <c r="N747" i="2"/>
  <c r="M747" i="2"/>
  <c r="Q747" i="2" s="1"/>
  <c r="I747" i="2"/>
  <c r="V746" i="2"/>
  <c r="U746" i="2"/>
  <c r="T746" i="2"/>
  <c r="S746" i="2"/>
  <c r="P746" i="2"/>
  <c r="O746" i="2"/>
  <c r="N746" i="2"/>
  <c r="M746" i="2"/>
  <c r="I746" i="2"/>
  <c r="V745" i="2"/>
  <c r="U745" i="2"/>
  <c r="T745" i="2"/>
  <c r="S745" i="2" s="1"/>
  <c r="P745" i="2"/>
  <c r="O745" i="2"/>
  <c r="N745" i="2"/>
  <c r="M745" i="2"/>
  <c r="I745" i="2"/>
  <c r="V744" i="2"/>
  <c r="U744" i="2"/>
  <c r="T744" i="2"/>
  <c r="S744" i="2" s="1"/>
  <c r="P744" i="2"/>
  <c r="O744" i="2"/>
  <c r="N744" i="2"/>
  <c r="M744" i="2"/>
  <c r="I744" i="2"/>
  <c r="V743" i="2"/>
  <c r="U743" i="2"/>
  <c r="T743" i="2"/>
  <c r="S743" i="2"/>
  <c r="P743" i="2"/>
  <c r="O743" i="2"/>
  <c r="N743" i="2"/>
  <c r="M743" i="2"/>
  <c r="Q743" i="2" s="1"/>
  <c r="I743" i="2"/>
  <c r="V742" i="2"/>
  <c r="U742" i="2"/>
  <c r="T742" i="2"/>
  <c r="S742" i="2" s="1"/>
  <c r="P742" i="2"/>
  <c r="O742" i="2"/>
  <c r="N742" i="2"/>
  <c r="M742" i="2"/>
  <c r="Q742" i="2" s="1"/>
  <c r="I742" i="2"/>
  <c r="V741" i="2"/>
  <c r="U741" i="2"/>
  <c r="T741" i="2"/>
  <c r="S741" i="2" s="1"/>
  <c r="P741" i="2"/>
  <c r="O741" i="2"/>
  <c r="N741" i="2"/>
  <c r="M741" i="2"/>
  <c r="I741" i="2"/>
  <c r="V740" i="2"/>
  <c r="U740" i="2"/>
  <c r="T740" i="2"/>
  <c r="S740" i="2"/>
  <c r="P740" i="2"/>
  <c r="O740" i="2"/>
  <c r="N740" i="2"/>
  <c r="M740" i="2"/>
  <c r="I740" i="2"/>
  <c r="V739" i="2"/>
  <c r="U739" i="2"/>
  <c r="T739" i="2"/>
  <c r="S739" i="2"/>
  <c r="P739" i="2"/>
  <c r="O739" i="2"/>
  <c r="N739" i="2"/>
  <c r="M739" i="2"/>
  <c r="Q739" i="2" s="1"/>
  <c r="I739" i="2"/>
  <c r="V738" i="2"/>
  <c r="U738" i="2"/>
  <c r="T738" i="2"/>
  <c r="S738" i="2" s="1"/>
  <c r="P738" i="2"/>
  <c r="O738" i="2"/>
  <c r="N738" i="2"/>
  <c r="M738" i="2"/>
  <c r="I738" i="2"/>
  <c r="V737" i="2"/>
  <c r="U737" i="2"/>
  <c r="T737" i="2"/>
  <c r="S737" i="2" s="1"/>
  <c r="P737" i="2"/>
  <c r="O737" i="2"/>
  <c r="N737" i="2"/>
  <c r="M737" i="2"/>
  <c r="Q737" i="2" s="1"/>
  <c r="I737" i="2"/>
  <c r="V736" i="2"/>
  <c r="U736" i="2"/>
  <c r="T736" i="2"/>
  <c r="S736" i="2"/>
  <c r="P736" i="2"/>
  <c r="O736" i="2"/>
  <c r="N736" i="2"/>
  <c r="M736" i="2"/>
  <c r="I736" i="2"/>
  <c r="V735" i="2"/>
  <c r="U735" i="2"/>
  <c r="T735" i="2"/>
  <c r="S735" i="2"/>
  <c r="P735" i="2"/>
  <c r="O735" i="2"/>
  <c r="N735" i="2"/>
  <c r="M735" i="2"/>
  <c r="I735" i="2"/>
  <c r="V734" i="2"/>
  <c r="U734" i="2"/>
  <c r="T734" i="2"/>
  <c r="S734" i="2" s="1"/>
  <c r="P734" i="2"/>
  <c r="O734" i="2"/>
  <c r="N734" i="2"/>
  <c r="M734" i="2"/>
  <c r="I734" i="2"/>
  <c r="V733" i="2"/>
  <c r="U733" i="2"/>
  <c r="T733" i="2"/>
  <c r="S733" i="2"/>
  <c r="P733" i="2"/>
  <c r="O733" i="2"/>
  <c r="N733" i="2"/>
  <c r="M733" i="2"/>
  <c r="I733" i="2"/>
  <c r="V732" i="2"/>
  <c r="U732" i="2"/>
  <c r="T732" i="2"/>
  <c r="S732" i="2" s="1"/>
  <c r="P732" i="2"/>
  <c r="O732" i="2"/>
  <c r="N732" i="2"/>
  <c r="M732" i="2"/>
  <c r="Q732" i="2" s="1"/>
  <c r="I732" i="2"/>
  <c r="V731" i="2"/>
  <c r="U731" i="2"/>
  <c r="T731" i="2"/>
  <c r="S731" i="2"/>
  <c r="P731" i="2"/>
  <c r="O731" i="2"/>
  <c r="N731" i="2"/>
  <c r="M731" i="2"/>
  <c r="I731" i="2"/>
  <c r="V730" i="2"/>
  <c r="U730" i="2"/>
  <c r="T730" i="2"/>
  <c r="S730" i="2"/>
  <c r="P730" i="2"/>
  <c r="O730" i="2"/>
  <c r="N730" i="2"/>
  <c r="M730" i="2"/>
  <c r="I730" i="2"/>
  <c r="V729" i="2"/>
  <c r="U729" i="2"/>
  <c r="T729" i="2"/>
  <c r="S729" i="2" s="1"/>
  <c r="P729" i="2"/>
  <c r="O729" i="2"/>
  <c r="N729" i="2"/>
  <c r="M729" i="2"/>
  <c r="I729" i="2"/>
  <c r="V728" i="2"/>
  <c r="U728" i="2"/>
  <c r="T728" i="2"/>
  <c r="S728" i="2" s="1"/>
  <c r="P728" i="2"/>
  <c r="O728" i="2"/>
  <c r="N728" i="2"/>
  <c r="M728" i="2"/>
  <c r="I728" i="2"/>
  <c r="V727" i="2"/>
  <c r="U727" i="2"/>
  <c r="T727" i="2"/>
  <c r="S727" i="2" s="1"/>
  <c r="P727" i="2"/>
  <c r="O727" i="2"/>
  <c r="N727" i="2"/>
  <c r="M727" i="2"/>
  <c r="Q727" i="2" s="1"/>
  <c r="I727" i="2"/>
  <c r="V726" i="2"/>
  <c r="U726" i="2"/>
  <c r="T726" i="2"/>
  <c r="S726" i="2"/>
  <c r="P726" i="2"/>
  <c r="O726" i="2"/>
  <c r="N726" i="2"/>
  <c r="M726" i="2"/>
  <c r="I726" i="2"/>
  <c r="V725" i="2"/>
  <c r="U725" i="2"/>
  <c r="T725" i="2"/>
  <c r="S725" i="2" s="1"/>
  <c r="P725" i="2"/>
  <c r="O725" i="2"/>
  <c r="N725" i="2"/>
  <c r="M725" i="2"/>
  <c r="I725" i="2"/>
  <c r="V724" i="2"/>
  <c r="U724" i="2"/>
  <c r="T724" i="2"/>
  <c r="S724" i="2" s="1"/>
  <c r="P724" i="2"/>
  <c r="O724" i="2"/>
  <c r="N724" i="2"/>
  <c r="M724" i="2"/>
  <c r="I724" i="2"/>
  <c r="V723" i="2"/>
  <c r="U723" i="2"/>
  <c r="T723" i="2"/>
  <c r="S723" i="2"/>
  <c r="P723" i="2"/>
  <c r="O723" i="2"/>
  <c r="N723" i="2"/>
  <c r="M723" i="2"/>
  <c r="I723" i="2"/>
  <c r="V722" i="2"/>
  <c r="U722" i="2"/>
  <c r="T722" i="2"/>
  <c r="S722" i="2" s="1"/>
  <c r="P722" i="2"/>
  <c r="O722" i="2"/>
  <c r="N722" i="2"/>
  <c r="M722" i="2"/>
  <c r="Q722" i="2" s="1"/>
  <c r="I722" i="2"/>
  <c r="V721" i="2"/>
  <c r="U721" i="2"/>
  <c r="T721" i="2"/>
  <c r="S721" i="2" s="1"/>
  <c r="P721" i="2"/>
  <c r="O721" i="2"/>
  <c r="N721" i="2"/>
  <c r="M721" i="2"/>
  <c r="I721" i="2"/>
  <c r="V720" i="2"/>
  <c r="U720" i="2"/>
  <c r="T720" i="2"/>
  <c r="S720" i="2"/>
  <c r="P720" i="2"/>
  <c r="O720" i="2"/>
  <c r="N720" i="2"/>
  <c r="M720" i="2"/>
  <c r="I720" i="2"/>
  <c r="V719" i="2"/>
  <c r="U719" i="2"/>
  <c r="T719" i="2"/>
  <c r="S719" i="2"/>
  <c r="P719" i="2"/>
  <c r="O719" i="2"/>
  <c r="N719" i="2"/>
  <c r="M719" i="2"/>
  <c r="Q719" i="2" s="1"/>
  <c r="I719" i="2"/>
  <c r="V718" i="2"/>
  <c r="U718" i="2"/>
  <c r="T718" i="2"/>
  <c r="S718" i="2" s="1"/>
  <c r="P718" i="2"/>
  <c r="O718" i="2"/>
  <c r="N718" i="2"/>
  <c r="M718" i="2"/>
  <c r="I718" i="2"/>
  <c r="V717" i="2"/>
  <c r="U717" i="2"/>
  <c r="T717" i="2"/>
  <c r="S717" i="2" s="1"/>
  <c r="P717" i="2"/>
  <c r="O717" i="2"/>
  <c r="N717" i="2"/>
  <c r="M717" i="2"/>
  <c r="I717" i="2"/>
  <c r="V716" i="2"/>
  <c r="U716" i="2"/>
  <c r="T716" i="2"/>
  <c r="S716" i="2"/>
  <c r="P716" i="2"/>
  <c r="O716" i="2"/>
  <c r="N716" i="2"/>
  <c r="M716" i="2"/>
  <c r="I716" i="2"/>
  <c r="V715" i="2"/>
  <c r="U715" i="2"/>
  <c r="T715" i="2"/>
  <c r="S715" i="2"/>
  <c r="P715" i="2"/>
  <c r="O715" i="2"/>
  <c r="N715" i="2"/>
  <c r="M715" i="2"/>
  <c r="I715" i="2"/>
  <c r="V714" i="2"/>
  <c r="U714" i="2"/>
  <c r="T714" i="2"/>
  <c r="S714" i="2" s="1"/>
  <c r="P714" i="2"/>
  <c r="O714" i="2"/>
  <c r="N714" i="2"/>
  <c r="M714" i="2"/>
  <c r="I714" i="2"/>
  <c r="V713" i="2"/>
  <c r="U713" i="2"/>
  <c r="T713" i="2"/>
  <c r="S713" i="2"/>
  <c r="P713" i="2"/>
  <c r="O713" i="2"/>
  <c r="N713" i="2"/>
  <c r="M713" i="2"/>
  <c r="I713" i="2"/>
  <c r="V712" i="2"/>
  <c r="U712" i="2"/>
  <c r="T712" i="2"/>
  <c r="S712" i="2" s="1"/>
  <c r="P712" i="2"/>
  <c r="O712" i="2"/>
  <c r="N712" i="2"/>
  <c r="M712" i="2"/>
  <c r="Q712" i="2" s="1"/>
  <c r="I712" i="2"/>
  <c r="V711" i="2"/>
  <c r="U711" i="2"/>
  <c r="T711" i="2"/>
  <c r="S711" i="2"/>
  <c r="P711" i="2"/>
  <c r="O711" i="2"/>
  <c r="N711" i="2"/>
  <c r="M711" i="2"/>
  <c r="I711" i="2"/>
  <c r="V710" i="2"/>
  <c r="U710" i="2"/>
  <c r="T710" i="2"/>
  <c r="S710" i="2"/>
  <c r="P710" i="2"/>
  <c r="O710" i="2"/>
  <c r="N710" i="2"/>
  <c r="M710" i="2"/>
  <c r="I710" i="2"/>
  <c r="V709" i="2"/>
  <c r="U709" i="2"/>
  <c r="T709" i="2"/>
  <c r="S709" i="2" s="1"/>
  <c r="P709" i="2"/>
  <c r="O709" i="2"/>
  <c r="N709" i="2"/>
  <c r="M709" i="2"/>
  <c r="I709" i="2"/>
  <c r="V708" i="2"/>
  <c r="U708" i="2"/>
  <c r="T708" i="2"/>
  <c r="S708" i="2" s="1"/>
  <c r="P708" i="2"/>
  <c r="O708" i="2"/>
  <c r="N708" i="2"/>
  <c r="M708" i="2"/>
  <c r="I708" i="2"/>
  <c r="V707" i="2"/>
  <c r="U707" i="2"/>
  <c r="T707" i="2"/>
  <c r="S707" i="2" s="1"/>
  <c r="P707" i="2"/>
  <c r="O707" i="2"/>
  <c r="N707" i="2"/>
  <c r="M707" i="2"/>
  <c r="Q707" i="2" s="1"/>
  <c r="I707" i="2"/>
  <c r="V706" i="2"/>
  <c r="U706" i="2"/>
  <c r="T706" i="2"/>
  <c r="S706" i="2"/>
  <c r="P706" i="2"/>
  <c r="O706" i="2"/>
  <c r="N706" i="2"/>
  <c r="M706" i="2"/>
  <c r="I706" i="2"/>
  <c r="V705" i="2"/>
  <c r="U705" i="2"/>
  <c r="T705" i="2"/>
  <c r="S705" i="2" s="1"/>
  <c r="P705" i="2"/>
  <c r="O705" i="2"/>
  <c r="N705" i="2"/>
  <c r="M705" i="2"/>
  <c r="I705" i="2"/>
  <c r="V704" i="2"/>
  <c r="U704" i="2"/>
  <c r="T704" i="2"/>
  <c r="S704" i="2" s="1"/>
  <c r="P704" i="2"/>
  <c r="O704" i="2"/>
  <c r="N704" i="2"/>
  <c r="M704" i="2"/>
  <c r="I704" i="2"/>
  <c r="V703" i="2"/>
  <c r="U703" i="2"/>
  <c r="T703" i="2"/>
  <c r="S703" i="2"/>
  <c r="P703" i="2"/>
  <c r="O703" i="2"/>
  <c r="N703" i="2"/>
  <c r="M703" i="2"/>
  <c r="I703" i="2"/>
  <c r="V702" i="2"/>
  <c r="U702" i="2"/>
  <c r="T702" i="2"/>
  <c r="S702" i="2" s="1"/>
  <c r="P702" i="2"/>
  <c r="O702" i="2"/>
  <c r="N702" i="2"/>
  <c r="M702" i="2"/>
  <c r="Q702" i="2" s="1"/>
  <c r="I702" i="2"/>
  <c r="V701" i="2"/>
  <c r="U701" i="2"/>
  <c r="T701" i="2"/>
  <c r="S701" i="2" s="1"/>
  <c r="P701" i="2"/>
  <c r="O701" i="2"/>
  <c r="N701" i="2"/>
  <c r="M701" i="2"/>
  <c r="I701" i="2"/>
  <c r="V700" i="2"/>
  <c r="U700" i="2"/>
  <c r="T700" i="2"/>
  <c r="S700" i="2"/>
  <c r="P700" i="2"/>
  <c r="O700" i="2"/>
  <c r="N700" i="2"/>
  <c r="M700" i="2"/>
  <c r="I700" i="2"/>
  <c r="V699" i="2"/>
  <c r="U699" i="2"/>
  <c r="T699" i="2"/>
  <c r="S699" i="2"/>
  <c r="P699" i="2"/>
  <c r="O699" i="2"/>
  <c r="N699" i="2"/>
  <c r="M699" i="2"/>
  <c r="I699" i="2"/>
  <c r="V698" i="2"/>
  <c r="U698" i="2"/>
  <c r="T698" i="2"/>
  <c r="S698" i="2" s="1"/>
  <c r="P698" i="2"/>
  <c r="O698" i="2"/>
  <c r="N698" i="2"/>
  <c r="M698" i="2"/>
  <c r="I698" i="2"/>
  <c r="V697" i="2"/>
  <c r="U697" i="2"/>
  <c r="T697" i="2"/>
  <c r="S697" i="2" s="1"/>
  <c r="P697" i="2"/>
  <c r="O697" i="2"/>
  <c r="N697" i="2"/>
  <c r="M697" i="2"/>
  <c r="I697" i="2"/>
  <c r="V696" i="2"/>
  <c r="U696" i="2"/>
  <c r="T696" i="2"/>
  <c r="S696" i="2"/>
  <c r="P696" i="2"/>
  <c r="O696" i="2"/>
  <c r="N696" i="2"/>
  <c r="M696" i="2"/>
  <c r="I696" i="2"/>
  <c r="V695" i="2"/>
  <c r="U695" i="2"/>
  <c r="T695" i="2"/>
  <c r="S695" i="2"/>
  <c r="P695" i="2"/>
  <c r="O695" i="2"/>
  <c r="N695" i="2"/>
  <c r="M695" i="2"/>
  <c r="I695" i="2"/>
  <c r="V694" i="2"/>
  <c r="U694" i="2"/>
  <c r="T694" i="2"/>
  <c r="S694" i="2" s="1"/>
  <c r="P694" i="2"/>
  <c r="O694" i="2"/>
  <c r="N694" i="2"/>
  <c r="M694" i="2"/>
  <c r="I694" i="2"/>
  <c r="V693" i="2"/>
  <c r="U693" i="2"/>
  <c r="T693" i="2"/>
  <c r="S693" i="2"/>
  <c r="P693" i="2"/>
  <c r="O693" i="2"/>
  <c r="N693" i="2"/>
  <c r="M693" i="2"/>
  <c r="I693" i="2"/>
  <c r="V692" i="2"/>
  <c r="U692" i="2"/>
  <c r="T692" i="2"/>
  <c r="S692" i="2" s="1"/>
  <c r="P692" i="2"/>
  <c r="O692" i="2"/>
  <c r="N692" i="2"/>
  <c r="M692" i="2"/>
  <c r="Q692" i="2" s="1"/>
  <c r="I692" i="2"/>
  <c r="V691" i="2"/>
  <c r="U691" i="2"/>
  <c r="T691" i="2"/>
  <c r="S691" i="2"/>
  <c r="P691" i="2"/>
  <c r="O691" i="2"/>
  <c r="N691" i="2"/>
  <c r="M691" i="2"/>
  <c r="I691" i="2"/>
  <c r="V690" i="2"/>
  <c r="U690" i="2"/>
  <c r="T690" i="2"/>
  <c r="S690" i="2"/>
  <c r="P690" i="2"/>
  <c r="O690" i="2"/>
  <c r="N690" i="2"/>
  <c r="M690" i="2"/>
  <c r="I690" i="2"/>
  <c r="V689" i="2"/>
  <c r="U689" i="2"/>
  <c r="T689" i="2"/>
  <c r="S689" i="2" s="1"/>
  <c r="P689" i="2"/>
  <c r="O689" i="2"/>
  <c r="N689" i="2"/>
  <c r="M689" i="2"/>
  <c r="I689" i="2"/>
  <c r="V688" i="2"/>
  <c r="U688" i="2"/>
  <c r="T688" i="2"/>
  <c r="S688" i="2" s="1"/>
  <c r="P688" i="2"/>
  <c r="O688" i="2"/>
  <c r="N688" i="2"/>
  <c r="M688" i="2"/>
  <c r="I688" i="2"/>
  <c r="V687" i="2"/>
  <c r="U687" i="2"/>
  <c r="T687" i="2"/>
  <c r="S687" i="2" s="1"/>
  <c r="P687" i="2"/>
  <c r="O687" i="2"/>
  <c r="N687" i="2"/>
  <c r="M687" i="2"/>
  <c r="Q687" i="2" s="1"/>
  <c r="I687" i="2"/>
  <c r="V686" i="2"/>
  <c r="U686" i="2"/>
  <c r="T686" i="2"/>
  <c r="S686" i="2"/>
  <c r="P686" i="2"/>
  <c r="O686" i="2"/>
  <c r="N686" i="2"/>
  <c r="M686" i="2"/>
  <c r="I686" i="2"/>
  <c r="V685" i="2"/>
  <c r="U685" i="2"/>
  <c r="T685" i="2"/>
  <c r="S685" i="2" s="1"/>
  <c r="P685" i="2"/>
  <c r="O685" i="2"/>
  <c r="N685" i="2"/>
  <c r="M685" i="2"/>
  <c r="I685" i="2"/>
  <c r="V684" i="2"/>
  <c r="U684" i="2"/>
  <c r="T684" i="2"/>
  <c r="S684" i="2" s="1"/>
  <c r="P684" i="2"/>
  <c r="O684" i="2"/>
  <c r="N684" i="2"/>
  <c r="M684" i="2"/>
  <c r="I684" i="2"/>
  <c r="V683" i="2"/>
  <c r="U683" i="2"/>
  <c r="T683" i="2"/>
  <c r="S683" i="2"/>
  <c r="P683" i="2"/>
  <c r="O683" i="2"/>
  <c r="N683" i="2"/>
  <c r="M683" i="2"/>
  <c r="I683" i="2"/>
  <c r="V682" i="2"/>
  <c r="U682" i="2"/>
  <c r="T682" i="2"/>
  <c r="S682" i="2" s="1"/>
  <c r="P682" i="2"/>
  <c r="O682" i="2"/>
  <c r="N682" i="2"/>
  <c r="M682" i="2"/>
  <c r="Q682" i="2" s="1"/>
  <c r="I682" i="2"/>
  <c r="V681" i="2"/>
  <c r="U681" i="2"/>
  <c r="T681" i="2"/>
  <c r="S681" i="2" s="1"/>
  <c r="P681" i="2"/>
  <c r="O681" i="2"/>
  <c r="N681" i="2"/>
  <c r="M681" i="2"/>
  <c r="I681" i="2"/>
  <c r="V680" i="2"/>
  <c r="U680" i="2"/>
  <c r="T680" i="2"/>
  <c r="S680" i="2"/>
  <c r="P680" i="2"/>
  <c r="O680" i="2"/>
  <c r="N680" i="2"/>
  <c r="M680" i="2"/>
  <c r="I680" i="2"/>
  <c r="V679" i="2"/>
  <c r="U679" i="2"/>
  <c r="T679" i="2"/>
  <c r="S679" i="2"/>
  <c r="P679" i="2"/>
  <c r="O679" i="2"/>
  <c r="N679" i="2"/>
  <c r="M679" i="2"/>
  <c r="Q679" i="2" s="1"/>
  <c r="I679" i="2"/>
  <c r="V678" i="2"/>
  <c r="U678" i="2"/>
  <c r="T678" i="2"/>
  <c r="S678" i="2" s="1"/>
  <c r="P678" i="2"/>
  <c r="O678" i="2"/>
  <c r="N678" i="2"/>
  <c r="M678" i="2"/>
  <c r="I678" i="2"/>
  <c r="V677" i="2"/>
  <c r="U677" i="2"/>
  <c r="T677" i="2"/>
  <c r="S677" i="2" s="1"/>
  <c r="P677" i="2"/>
  <c r="O677" i="2"/>
  <c r="N677" i="2"/>
  <c r="M677" i="2"/>
  <c r="I677" i="2"/>
  <c r="V676" i="2"/>
  <c r="U676" i="2"/>
  <c r="T676" i="2"/>
  <c r="S676" i="2"/>
  <c r="P676" i="2"/>
  <c r="O676" i="2"/>
  <c r="N676" i="2"/>
  <c r="M676" i="2"/>
  <c r="I676" i="2"/>
  <c r="V675" i="2"/>
  <c r="U675" i="2"/>
  <c r="T675" i="2"/>
  <c r="S675" i="2" s="1"/>
  <c r="P675" i="2"/>
  <c r="O675" i="2"/>
  <c r="N675" i="2"/>
  <c r="M675" i="2"/>
  <c r="I675" i="2"/>
  <c r="V674" i="2"/>
  <c r="U674" i="2"/>
  <c r="T674" i="2"/>
  <c r="S674" i="2" s="1"/>
  <c r="P674" i="2"/>
  <c r="O674" i="2"/>
  <c r="N674" i="2"/>
  <c r="M674" i="2"/>
  <c r="Q674" i="2" s="1"/>
  <c r="I674" i="2"/>
  <c r="V673" i="2"/>
  <c r="U673" i="2"/>
  <c r="T673" i="2"/>
  <c r="S673" i="2"/>
  <c r="P673" i="2"/>
  <c r="O673" i="2"/>
  <c r="N673" i="2"/>
  <c r="M673" i="2"/>
  <c r="I673" i="2"/>
  <c r="V672" i="2"/>
  <c r="U672" i="2"/>
  <c r="T672" i="2"/>
  <c r="S672" i="2" s="1"/>
  <c r="P672" i="2"/>
  <c r="O672" i="2"/>
  <c r="N672" i="2"/>
  <c r="M672" i="2"/>
  <c r="I672" i="2"/>
  <c r="V671" i="2"/>
  <c r="U671" i="2"/>
  <c r="T671" i="2"/>
  <c r="S671" i="2" s="1"/>
  <c r="P671" i="2"/>
  <c r="O671" i="2"/>
  <c r="N671" i="2"/>
  <c r="M671" i="2"/>
  <c r="Q671" i="2" s="1"/>
  <c r="I671" i="2"/>
  <c r="V670" i="2"/>
  <c r="U670" i="2"/>
  <c r="T670" i="2"/>
  <c r="S670" i="2" s="1"/>
  <c r="P670" i="2"/>
  <c r="O670" i="2"/>
  <c r="N670" i="2"/>
  <c r="M670" i="2"/>
  <c r="I670" i="2"/>
  <c r="V669" i="2"/>
  <c r="U669" i="2"/>
  <c r="T669" i="2"/>
  <c r="S669" i="2" s="1"/>
  <c r="P669" i="2"/>
  <c r="O669" i="2"/>
  <c r="N669" i="2"/>
  <c r="M669" i="2"/>
  <c r="I669" i="2"/>
  <c r="V668" i="2"/>
  <c r="U668" i="2"/>
  <c r="T668" i="2"/>
  <c r="S668" i="2"/>
  <c r="P668" i="2"/>
  <c r="O668" i="2"/>
  <c r="N668" i="2"/>
  <c r="M668" i="2"/>
  <c r="I668" i="2"/>
  <c r="V667" i="2"/>
  <c r="U667" i="2"/>
  <c r="T667" i="2"/>
  <c r="S667" i="2" s="1"/>
  <c r="P667" i="2"/>
  <c r="O667" i="2"/>
  <c r="N667" i="2"/>
  <c r="M667" i="2"/>
  <c r="Q667" i="2" s="1"/>
  <c r="I667" i="2"/>
  <c r="V666" i="2"/>
  <c r="U666" i="2"/>
  <c r="T666" i="2"/>
  <c r="S666" i="2"/>
  <c r="P666" i="2"/>
  <c r="O666" i="2"/>
  <c r="N666" i="2"/>
  <c r="M666" i="2"/>
  <c r="I666" i="2"/>
  <c r="V665" i="2"/>
  <c r="U665" i="2"/>
  <c r="T665" i="2"/>
  <c r="S665" i="2"/>
  <c r="P665" i="2"/>
  <c r="O665" i="2"/>
  <c r="N665" i="2"/>
  <c r="M665" i="2"/>
  <c r="I665" i="2"/>
  <c r="V664" i="2"/>
  <c r="U664" i="2"/>
  <c r="T664" i="2"/>
  <c r="S664" i="2" s="1"/>
  <c r="P664" i="2"/>
  <c r="O664" i="2"/>
  <c r="N664" i="2"/>
  <c r="M664" i="2"/>
  <c r="I664" i="2"/>
  <c r="V663" i="2"/>
  <c r="U663" i="2"/>
  <c r="T663" i="2"/>
  <c r="S663" i="2" s="1"/>
  <c r="P663" i="2"/>
  <c r="O663" i="2"/>
  <c r="N663" i="2"/>
  <c r="M663" i="2"/>
  <c r="I663" i="2"/>
  <c r="V662" i="2"/>
  <c r="U662" i="2"/>
  <c r="T662" i="2"/>
  <c r="S662" i="2" s="1"/>
  <c r="P662" i="2"/>
  <c r="O662" i="2"/>
  <c r="N662" i="2"/>
  <c r="M662" i="2"/>
  <c r="Q662" i="2" s="1"/>
  <c r="I662" i="2"/>
  <c r="V661" i="2"/>
  <c r="U661" i="2"/>
  <c r="T661" i="2"/>
  <c r="S661" i="2"/>
  <c r="P661" i="2"/>
  <c r="O661" i="2"/>
  <c r="N661" i="2"/>
  <c r="M661" i="2"/>
  <c r="I661" i="2"/>
  <c r="V660" i="2"/>
  <c r="U660" i="2"/>
  <c r="T660" i="2"/>
  <c r="S660" i="2" s="1"/>
  <c r="P660" i="2"/>
  <c r="O660" i="2"/>
  <c r="N660" i="2"/>
  <c r="M660" i="2"/>
  <c r="I660" i="2"/>
  <c r="V659" i="2"/>
  <c r="U659" i="2"/>
  <c r="T659" i="2"/>
  <c r="S659" i="2" s="1"/>
  <c r="P659" i="2"/>
  <c r="O659" i="2"/>
  <c r="N659" i="2"/>
  <c r="M659" i="2"/>
  <c r="I659" i="2"/>
  <c r="V658" i="2"/>
  <c r="U658" i="2"/>
  <c r="T658" i="2"/>
  <c r="S658" i="2"/>
  <c r="P658" i="2"/>
  <c r="O658" i="2"/>
  <c r="N658" i="2"/>
  <c r="M658" i="2"/>
  <c r="I658" i="2"/>
  <c r="V657" i="2"/>
  <c r="U657" i="2"/>
  <c r="T657" i="2"/>
  <c r="S657" i="2" s="1"/>
  <c r="P657" i="2"/>
  <c r="O657" i="2"/>
  <c r="N657" i="2"/>
  <c r="M657" i="2"/>
  <c r="Q657" i="2" s="1"/>
  <c r="I657" i="2"/>
  <c r="V656" i="2"/>
  <c r="U656" i="2"/>
  <c r="T656" i="2"/>
  <c r="S656" i="2" s="1"/>
  <c r="P656" i="2"/>
  <c r="O656" i="2"/>
  <c r="N656" i="2"/>
  <c r="M656" i="2"/>
  <c r="I656" i="2"/>
  <c r="V655" i="2"/>
  <c r="U655" i="2"/>
  <c r="T655" i="2"/>
  <c r="S655" i="2"/>
  <c r="P655" i="2"/>
  <c r="O655" i="2"/>
  <c r="N655" i="2"/>
  <c r="M655" i="2"/>
  <c r="I655" i="2"/>
  <c r="V654" i="2"/>
  <c r="U654" i="2"/>
  <c r="T654" i="2"/>
  <c r="S654" i="2"/>
  <c r="P654" i="2"/>
  <c r="O654" i="2"/>
  <c r="N654" i="2"/>
  <c r="M654" i="2"/>
  <c r="Q654" i="2" s="1"/>
  <c r="I654" i="2"/>
  <c r="V653" i="2"/>
  <c r="U653" i="2"/>
  <c r="T653" i="2"/>
  <c r="S653" i="2" s="1"/>
  <c r="P653" i="2"/>
  <c r="O653" i="2"/>
  <c r="N653" i="2"/>
  <c r="M653" i="2"/>
  <c r="I653" i="2"/>
  <c r="V652" i="2"/>
  <c r="U652" i="2"/>
  <c r="T652" i="2"/>
  <c r="S652" i="2" s="1"/>
  <c r="P652" i="2"/>
  <c r="O652" i="2"/>
  <c r="N652" i="2"/>
  <c r="M652" i="2"/>
  <c r="I652" i="2"/>
  <c r="V651" i="2"/>
  <c r="U651" i="2"/>
  <c r="T651" i="2"/>
  <c r="S651" i="2"/>
  <c r="P651" i="2"/>
  <c r="O651" i="2"/>
  <c r="N651" i="2"/>
  <c r="M651" i="2"/>
  <c r="I651" i="2"/>
  <c r="V650" i="2"/>
  <c r="U650" i="2"/>
  <c r="T650" i="2"/>
  <c r="S650" i="2"/>
  <c r="P650" i="2"/>
  <c r="O650" i="2"/>
  <c r="N650" i="2"/>
  <c r="M650" i="2"/>
  <c r="I650" i="2"/>
  <c r="V649" i="2"/>
  <c r="U649" i="2"/>
  <c r="T649" i="2"/>
  <c r="S649" i="2"/>
  <c r="P649" i="2"/>
  <c r="O649" i="2"/>
  <c r="N649" i="2"/>
  <c r="M649" i="2"/>
  <c r="I649" i="2"/>
  <c r="V648" i="2"/>
  <c r="U648" i="2"/>
  <c r="T648" i="2"/>
  <c r="S648" i="2"/>
  <c r="P648" i="2"/>
  <c r="O648" i="2"/>
  <c r="N648" i="2"/>
  <c r="M648" i="2"/>
  <c r="I648" i="2"/>
  <c r="V647" i="2"/>
  <c r="U647" i="2"/>
  <c r="T647" i="2"/>
  <c r="S647" i="2" s="1"/>
  <c r="P647" i="2"/>
  <c r="O647" i="2"/>
  <c r="N647" i="2"/>
  <c r="M647" i="2"/>
  <c r="I647" i="2"/>
  <c r="V646" i="2"/>
  <c r="U646" i="2"/>
  <c r="T646" i="2"/>
  <c r="S646" i="2"/>
  <c r="P646" i="2"/>
  <c r="O646" i="2"/>
  <c r="N646" i="2"/>
  <c r="M646" i="2"/>
  <c r="I646" i="2"/>
  <c r="V645" i="2"/>
  <c r="U645" i="2"/>
  <c r="T645" i="2"/>
  <c r="S645" i="2"/>
  <c r="P645" i="2"/>
  <c r="O645" i="2"/>
  <c r="N645" i="2"/>
  <c r="M645" i="2"/>
  <c r="Q645" i="2" s="1"/>
  <c r="I645" i="2"/>
  <c r="V644" i="2"/>
  <c r="U644" i="2"/>
  <c r="T644" i="2"/>
  <c r="S644" i="2" s="1"/>
  <c r="P644" i="2"/>
  <c r="O644" i="2"/>
  <c r="N644" i="2"/>
  <c r="M644" i="2"/>
  <c r="I644" i="2"/>
  <c r="V643" i="2"/>
  <c r="U643" i="2"/>
  <c r="T643" i="2"/>
  <c r="S643" i="2" s="1"/>
  <c r="P643" i="2"/>
  <c r="O643" i="2"/>
  <c r="N643" i="2"/>
  <c r="M643" i="2"/>
  <c r="I643" i="2"/>
  <c r="V642" i="2"/>
  <c r="U642" i="2"/>
  <c r="T642" i="2"/>
  <c r="S642" i="2" s="1"/>
  <c r="P642" i="2"/>
  <c r="O642" i="2"/>
  <c r="N642" i="2"/>
  <c r="M642" i="2"/>
  <c r="Q642" i="2" s="1"/>
  <c r="I642" i="2"/>
  <c r="V641" i="2"/>
  <c r="U641" i="2"/>
  <c r="T641" i="2"/>
  <c r="S641" i="2" s="1"/>
  <c r="P641" i="2"/>
  <c r="O641" i="2"/>
  <c r="N641" i="2"/>
  <c r="M641" i="2"/>
  <c r="I641" i="2"/>
  <c r="V640" i="2"/>
  <c r="U640" i="2"/>
  <c r="T640" i="2"/>
  <c r="S640" i="2" s="1"/>
  <c r="P640" i="2"/>
  <c r="O640" i="2"/>
  <c r="N640" i="2"/>
  <c r="M640" i="2"/>
  <c r="I640" i="2"/>
  <c r="V639" i="2"/>
  <c r="U639" i="2"/>
  <c r="T639" i="2"/>
  <c r="S639" i="2" s="1"/>
  <c r="P639" i="2"/>
  <c r="O639" i="2"/>
  <c r="N639" i="2"/>
  <c r="M639" i="2"/>
  <c r="I639" i="2"/>
  <c r="V638" i="2"/>
  <c r="U638" i="2"/>
  <c r="T638" i="2"/>
  <c r="S638" i="2"/>
  <c r="P638" i="2"/>
  <c r="O638" i="2"/>
  <c r="N638" i="2"/>
  <c r="M638" i="2"/>
  <c r="I638" i="2"/>
  <c r="V637" i="2"/>
  <c r="U637" i="2"/>
  <c r="T637" i="2"/>
  <c r="S637" i="2" s="1"/>
  <c r="P637" i="2"/>
  <c r="O637" i="2"/>
  <c r="N637" i="2"/>
  <c r="M637" i="2"/>
  <c r="I637" i="2"/>
  <c r="V636" i="2"/>
  <c r="U636" i="2"/>
  <c r="T636" i="2"/>
  <c r="S636" i="2" s="1"/>
  <c r="P636" i="2"/>
  <c r="O636" i="2"/>
  <c r="N636" i="2"/>
  <c r="M636" i="2"/>
  <c r="I636" i="2"/>
  <c r="V635" i="2"/>
  <c r="U635" i="2"/>
  <c r="T635" i="2"/>
  <c r="S635" i="2"/>
  <c r="P635" i="2"/>
  <c r="O635" i="2"/>
  <c r="N635" i="2"/>
  <c r="M635" i="2"/>
  <c r="I635" i="2"/>
  <c r="V634" i="2"/>
  <c r="U634" i="2"/>
  <c r="T634" i="2"/>
  <c r="S634" i="2" s="1"/>
  <c r="P634" i="2"/>
  <c r="O634" i="2"/>
  <c r="N634" i="2"/>
  <c r="M634" i="2"/>
  <c r="I634" i="2"/>
  <c r="V633" i="2"/>
  <c r="U633" i="2"/>
  <c r="T633" i="2"/>
  <c r="S633" i="2" s="1"/>
  <c r="P633" i="2"/>
  <c r="O633" i="2"/>
  <c r="N633" i="2"/>
  <c r="M633" i="2"/>
  <c r="I633" i="2"/>
  <c r="V632" i="2"/>
  <c r="U632" i="2"/>
  <c r="T632" i="2"/>
  <c r="S632" i="2" s="1"/>
  <c r="P632" i="2"/>
  <c r="O632" i="2"/>
  <c r="N632" i="2"/>
  <c r="M632" i="2"/>
  <c r="I632" i="2"/>
  <c r="V631" i="2"/>
  <c r="U631" i="2"/>
  <c r="T631" i="2"/>
  <c r="S631" i="2" s="1"/>
  <c r="P631" i="2"/>
  <c r="O631" i="2"/>
  <c r="N631" i="2"/>
  <c r="M631" i="2"/>
  <c r="I631" i="2"/>
  <c r="V630" i="2"/>
  <c r="U630" i="2"/>
  <c r="T630" i="2"/>
  <c r="S630" i="2" s="1"/>
  <c r="P630" i="2"/>
  <c r="O630" i="2"/>
  <c r="N630" i="2"/>
  <c r="M630" i="2"/>
  <c r="I630" i="2"/>
  <c r="V629" i="2"/>
  <c r="U629" i="2"/>
  <c r="T629" i="2"/>
  <c r="S629" i="2" s="1"/>
  <c r="P629" i="2"/>
  <c r="O629" i="2"/>
  <c r="N629" i="2"/>
  <c r="M629" i="2"/>
  <c r="Q629" i="2" s="1"/>
  <c r="I629" i="2"/>
  <c r="V628" i="2"/>
  <c r="U628" i="2"/>
  <c r="T628" i="2"/>
  <c r="S628" i="2" s="1"/>
  <c r="P628" i="2"/>
  <c r="O628" i="2"/>
  <c r="N628" i="2"/>
  <c r="M628" i="2"/>
  <c r="I628" i="2"/>
  <c r="V627" i="2"/>
  <c r="U627" i="2"/>
  <c r="T627" i="2"/>
  <c r="S627" i="2" s="1"/>
  <c r="P627" i="2"/>
  <c r="O627" i="2"/>
  <c r="N627" i="2"/>
  <c r="M627" i="2"/>
  <c r="I627" i="2"/>
  <c r="V626" i="2"/>
  <c r="U626" i="2"/>
  <c r="T626" i="2"/>
  <c r="S626" i="2" s="1"/>
  <c r="P626" i="2"/>
  <c r="O626" i="2"/>
  <c r="N626" i="2"/>
  <c r="M626" i="2"/>
  <c r="I626" i="2"/>
  <c r="V625" i="2"/>
  <c r="U625" i="2"/>
  <c r="T625" i="2"/>
  <c r="S625" i="2" s="1"/>
  <c r="P625" i="2"/>
  <c r="O625" i="2"/>
  <c r="N625" i="2"/>
  <c r="M625" i="2"/>
  <c r="Q625" i="2" s="1"/>
  <c r="I625" i="2"/>
  <c r="V624" i="2"/>
  <c r="U624" i="2"/>
  <c r="T624" i="2"/>
  <c r="S624" i="2" s="1"/>
  <c r="P624" i="2"/>
  <c r="O624" i="2"/>
  <c r="N624" i="2"/>
  <c r="M624" i="2"/>
  <c r="I624" i="2"/>
  <c r="V623" i="2"/>
  <c r="U623" i="2"/>
  <c r="T623" i="2"/>
  <c r="S623" i="2" s="1"/>
  <c r="P623" i="2"/>
  <c r="O623" i="2"/>
  <c r="N623" i="2"/>
  <c r="M623" i="2"/>
  <c r="Q623" i="2" s="1"/>
  <c r="I623" i="2"/>
  <c r="V622" i="2"/>
  <c r="U622" i="2"/>
  <c r="T622" i="2"/>
  <c r="S622" i="2" s="1"/>
  <c r="P622" i="2"/>
  <c r="O622" i="2"/>
  <c r="N622" i="2"/>
  <c r="M622" i="2"/>
  <c r="I622" i="2"/>
  <c r="V621" i="2"/>
  <c r="U621" i="2"/>
  <c r="T621" i="2"/>
  <c r="S621" i="2" s="1"/>
  <c r="P621" i="2"/>
  <c r="O621" i="2"/>
  <c r="N621" i="2"/>
  <c r="M621" i="2"/>
  <c r="I621" i="2"/>
  <c r="V620" i="2"/>
  <c r="U620" i="2"/>
  <c r="T620" i="2"/>
  <c r="S620" i="2" s="1"/>
  <c r="P620" i="2"/>
  <c r="O620" i="2"/>
  <c r="N620" i="2"/>
  <c r="M620" i="2"/>
  <c r="Q620" i="2" s="1"/>
  <c r="I620" i="2"/>
  <c r="V619" i="2"/>
  <c r="U619" i="2"/>
  <c r="T619" i="2"/>
  <c r="S619" i="2" s="1"/>
  <c r="P619" i="2"/>
  <c r="O619" i="2"/>
  <c r="N619" i="2"/>
  <c r="M619" i="2"/>
  <c r="I619" i="2"/>
  <c r="V618" i="2"/>
  <c r="U618" i="2"/>
  <c r="T618" i="2"/>
  <c r="S618" i="2" s="1"/>
  <c r="P618" i="2"/>
  <c r="O618" i="2"/>
  <c r="N618" i="2"/>
  <c r="M618" i="2"/>
  <c r="Q618" i="2" s="1"/>
  <c r="I618" i="2"/>
  <c r="V617" i="2"/>
  <c r="U617" i="2"/>
  <c r="T617" i="2"/>
  <c r="S617" i="2" s="1"/>
  <c r="P617" i="2"/>
  <c r="O617" i="2"/>
  <c r="N617" i="2"/>
  <c r="M617" i="2"/>
  <c r="I617" i="2"/>
  <c r="V616" i="2"/>
  <c r="U616" i="2"/>
  <c r="T616" i="2"/>
  <c r="S616" i="2"/>
  <c r="P616" i="2"/>
  <c r="O616" i="2"/>
  <c r="N616" i="2"/>
  <c r="M616" i="2"/>
  <c r="I616" i="2"/>
  <c r="V615" i="2"/>
  <c r="U615" i="2"/>
  <c r="T615" i="2"/>
  <c r="S615" i="2" s="1"/>
  <c r="P615" i="2"/>
  <c r="O615" i="2"/>
  <c r="N615" i="2"/>
  <c r="M615" i="2"/>
  <c r="I615" i="2"/>
  <c r="V614" i="2"/>
  <c r="U614" i="2"/>
  <c r="T614" i="2"/>
  <c r="S614" i="2" s="1"/>
  <c r="P614" i="2"/>
  <c r="O614" i="2"/>
  <c r="N614" i="2"/>
  <c r="M614" i="2"/>
  <c r="I614" i="2"/>
  <c r="V613" i="2"/>
  <c r="U613" i="2"/>
  <c r="T613" i="2"/>
  <c r="S613" i="2" s="1"/>
  <c r="P613" i="2"/>
  <c r="O613" i="2"/>
  <c r="N613" i="2"/>
  <c r="M613" i="2"/>
  <c r="I613" i="2"/>
  <c r="V612" i="2"/>
  <c r="U612" i="2"/>
  <c r="T612" i="2"/>
  <c r="S612" i="2" s="1"/>
  <c r="P612" i="2"/>
  <c r="O612" i="2"/>
  <c r="N612" i="2"/>
  <c r="M612" i="2"/>
  <c r="I612" i="2"/>
  <c r="V611" i="2"/>
  <c r="U611" i="2"/>
  <c r="T611" i="2"/>
  <c r="S611" i="2" s="1"/>
  <c r="P611" i="2"/>
  <c r="O611" i="2"/>
  <c r="N611" i="2"/>
  <c r="M611" i="2"/>
  <c r="I611" i="2"/>
  <c r="V610" i="2"/>
  <c r="U610" i="2"/>
  <c r="T610" i="2"/>
  <c r="S610" i="2" s="1"/>
  <c r="P610" i="2"/>
  <c r="O610" i="2"/>
  <c r="N610" i="2"/>
  <c r="M610" i="2"/>
  <c r="I610" i="2"/>
  <c r="V609" i="2"/>
  <c r="U609" i="2"/>
  <c r="T609" i="2"/>
  <c r="S609" i="2" s="1"/>
  <c r="P609" i="2"/>
  <c r="O609" i="2"/>
  <c r="N609" i="2"/>
  <c r="M609" i="2"/>
  <c r="I609" i="2"/>
  <c r="V608" i="2"/>
  <c r="U608" i="2"/>
  <c r="T608" i="2"/>
  <c r="S608" i="2" s="1"/>
  <c r="P608" i="2"/>
  <c r="O608" i="2"/>
  <c r="N608" i="2"/>
  <c r="M608" i="2"/>
  <c r="I608" i="2"/>
  <c r="V607" i="2"/>
  <c r="U607" i="2"/>
  <c r="T607" i="2"/>
  <c r="S607" i="2" s="1"/>
  <c r="P607" i="2"/>
  <c r="O607" i="2"/>
  <c r="N607" i="2"/>
  <c r="M607" i="2"/>
  <c r="Q607" i="2" s="1"/>
  <c r="I607" i="2"/>
  <c r="V606" i="2"/>
  <c r="U606" i="2"/>
  <c r="T606" i="2"/>
  <c r="S606" i="2" s="1"/>
  <c r="P606" i="2"/>
  <c r="O606" i="2"/>
  <c r="N606" i="2"/>
  <c r="M606" i="2"/>
  <c r="I606" i="2"/>
  <c r="V605" i="2"/>
  <c r="U605" i="2"/>
  <c r="T605" i="2"/>
  <c r="S605" i="2" s="1"/>
  <c r="P605" i="2"/>
  <c r="O605" i="2"/>
  <c r="N605" i="2"/>
  <c r="M605" i="2"/>
  <c r="I605" i="2"/>
  <c r="V604" i="2"/>
  <c r="U604" i="2"/>
  <c r="T604" i="2"/>
  <c r="S604" i="2" s="1"/>
  <c r="P604" i="2"/>
  <c r="O604" i="2"/>
  <c r="N604" i="2"/>
  <c r="M604" i="2"/>
  <c r="I604" i="2"/>
  <c r="V603" i="2"/>
  <c r="U603" i="2"/>
  <c r="T603" i="2"/>
  <c r="S603" i="2" s="1"/>
  <c r="P603" i="2"/>
  <c r="O603" i="2"/>
  <c r="N603" i="2"/>
  <c r="M603" i="2"/>
  <c r="Q603" i="2" s="1"/>
  <c r="I603" i="2"/>
  <c r="V602" i="2"/>
  <c r="U602" i="2"/>
  <c r="T602" i="2"/>
  <c r="S602" i="2" s="1"/>
  <c r="P602" i="2"/>
  <c r="O602" i="2"/>
  <c r="N602" i="2"/>
  <c r="M602" i="2"/>
  <c r="I602" i="2"/>
  <c r="V601" i="2"/>
  <c r="U601" i="2"/>
  <c r="T601" i="2"/>
  <c r="S601" i="2" s="1"/>
  <c r="P601" i="2"/>
  <c r="O601" i="2"/>
  <c r="N601" i="2"/>
  <c r="M601" i="2"/>
  <c r="Q601" i="2" s="1"/>
  <c r="I601" i="2"/>
  <c r="V600" i="2"/>
  <c r="U600" i="2"/>
  <c r="T600" i="2"/>
  <c r="S600" i="2" s="1"/>
  <c r="P600" i="2"/>
  <c r="O600" i="2"/>
  <c r="N600" i="2"/>
  <c r="M600" i="2"/>
  <c r="I600" i="2"/>
  <c r="V599" i="2"/>
  <c r="U599" i="2"/>
  <c r="T599" i="2"/>
  <c r="S599" i="2" s="1"/>
  <c r="P599" i="2"/>
  <c r="O599" i="2"/>
  <c r="N599" i="2"/>
  <c r="M599" i="2"/>
  <c r="I599" i="2"/>
  <c r="V598" i="2"/>
  <c r="U598" i="2"/>
  <c r="T598" i="2"/>
  <c r="S598" i="2" s="1"/>
  <c r="P598" i="2"/>
  <c r="O598" i="2"/>
  <c r="N598" i="2"/>
  <c r="M598" i="2"/>
  <c r="Q598" i="2" s="1"/>
  <c r="I598" i="2"/>
  <c r="V597" i="2"/>
  <c r="U597" i="2"/>
  <c r="T597" i="2"/>
  <c r="S597" i="2" s="1"/>
  <c r="P597" i="2"/>
  <c r="O597" i="2"/>
  <c r="N597" i="2"/>
  <c r="M597" i="2"/>
  <c r="I597" i="2"/>
  <c r="V596" i="2"/>
  <c r="U596" i="2"/>
  <c r="T596" i="2"/>
  <c r="S596" i="2" s="1"/>
  <c r="P596" i="2"/>
  <c r="O596" i="2"/>
  <c r="N596" i="2"/>
  <c r="M596" i="2"/>
  <c r="Q596" i="2" s="1"/>
  <c r="I596" i="2"/>
  <c r="V595" i="2"/>
  <c r="U595" i="2"/>
  <c r="T595" i="2"/>
  <c r="S595" i="2" s="1"/>
  <c r="P595" i="2"/>
  <c r="O595" i="2"/>
  <c r="N595" i="2"/>
  <c r="M595" i="2"/>
  <c r="Q595" i="2" s="1"/>
  <c r="I595" i="2"/>
  <c r="V594" i="2"/>
  <c r="U594" i="2"/>
  <c r="T594" i="2"/>
  <c r="S594" i="2" s="1"/>
  <c r="P594" i="2"/>
  <c r="O594" i="2"/>
  <c r="N594" i="2"/>
  <c r="M594" i="2"/>
  <c r="I594" i="2"/>
  <c r="V593" i="2"/>
  <c r="U593" i="2"/>
  <c r="T593" i="2"/>
  <c r="S593" i="2" s="1"/>
  <c r="P593" i="2"/>
  <c r="O593" i="2"/>
  <c r="N593" i="2"/>
  <c r="M593" i="2"/>
  <c r="Q593" i="2" s="1"/>
  <c r="I593" i="2"/>
  <c r="V592" i="2"/>
  <c r="U592" i="2"/>
  <c r="T592" i="2"/>
  <c r="S592" i="2" s="1"/>
  <c r="P592" i="2"/>
  <c r="O592" i="2"/>
  <c r="N592" i="2"/>
  <c r="M592" i="2"/>
  <c r="Q592" i="2" s="1"/>
  <c r="I592" i="2"/>
  <c r="V591" i="2"/>
  <c r="U591" i="2"/>
  <c r="T591" i="2"/>
  <c r="S591" i="2" s="1"/>
  <c r="P591" i="2"/>
  <c r="O591" i="2"/>
  <c r="N591" i="2"/>
  <c r="M591" i="2"/>
  <c r="Q591" i="2" s="1"/>
  <c r="I591" i="2"/>
  <c r="V590" i="2"/>
  <c r="U590" i="2"/>
  <c r="T590" i="2"/>
  <c r="S590" i="2" s="1"/>
  <c r="P590" i="2"/>
  <c r="O590" i="2"/>
  <c r="N590" i="2"/>
  <c r="M590" i="2"/>
  <c r="Q590" i="2" s="1"/>
  <c r="I590" i="2"/>
  <c r="V589" i="2"/>
  <c r="U589" i="2"/>
  <c r="T589" i="2"/>
  <c r="S589" i="2" s="1"/>
  <c r="P589" i="2"/>
  <c r="O589" i="2"/>
  <c r="N589" i="2"/>
  <c r="M589" i="2"/>
  <c r="I589" i="2"/>
  <c r="V588" i="2"/>
  <c r="U588" i="2"/>
  <c r="T588" i="2"/>
  <c r="S588" i="2" s="1"/>
  <c r="P588" i="2"/>
  <c r="O588" i="2"/>
  <c r="N588" i="2"/>
  <c r="M588" i="2"/>
  <c r="Q588" i="2" s="1"/>
  <c r="I588" i="2"/>
  <c r="V587" i="2"/>
  <c r="U587" i="2"/>
  <c r="T587" i="2"/>
  <c r="S587" i="2" s="1"/>
  <c r="P587" i="2"/>
  <c r="O587" i="2"/>
  <c r="N587" i="2"/>
  <c r="M587" i="2"/>
  <c r="Q587" i="2" s="1"/>
  <c r="I587" i="2"/>
  <c r="V586" i="2"/>
  <c r="U586" i="2"/>
  <c r="T586" i="2"/>
  <c r="S586" i="2" s="1"/>
  <c r="P586" i="2"/>
  <c r="O586" i="2"/>
  <c r="N586" i="2"/>
  <c r="M586" i="2"/>
  <c r="Q586" i="2" s="1"/>
  <c r="I586" i="2"/>
  <c r="V585" i="2"/>
  <c r="U585" i="2"/>
  <c r="T585" i="2"/>
  <c r="S585" i="2" s="1"/>
  <c r="P585" i="2"/>
  <c r="O585" i="2"/>
  <c r="N585" i="2"/>
  <c r="M585" i="2"/>
  <c r="Q585" i="2" s="1"/>
  <c r="I585" i="2"/>
  <c r="V584" i="2"/>
  <c r="U584" i="2"/>
  <c r="T584" i="2"/>
  <c r="S584" i="2" s="1"/>
  <c r="P584" i="2"/>
  <c r="O584" i="2"/>
  <c r="N584" i="2"/>
  <c r="M584" i="2"/>
  <c r="I584" i="2"/>
  <c r="V583" i="2"/>
  <c r="U583" i="2"/>
  <c r="T583" i="2"/>
  <c r="S583" i="2" s="1"/>
  <c r="P583" i="2"/>
  <c r="O583" i="2"/>
  <c r="N583" i="2"/>
  <c r="M583" i="2"/>
  <c r="Q583" i="2" s="1"/>
  <c r="I583" i="2"/>
  <c r="V582" i="2"/>
  <c r="U582" i="2"/>
  <c r="T582" i="2"/>
  <c r="S582" i="2" s="1"/>
  <c r="P582" i="2"/>
  <c r="O582" i="2"/>
  <c r="N582" i="2"/>
  <c r="M582" i="2"/>
  <c r="Q582" i="2" s="1"/>
  <c r="I582" i="2"/>
  <c r="V581" i="2"/>
  <c r="U581" i="2"/>
  <c r="T581" i="2"/>
  <c r="S581" i="2" s="1"/>
  <c r="P581" i="2"/>
  <c r="O581" i="2"/>
  <c r="N581" i="2"/>
  <c r="M581" i="2"/>
  <c r="Q581" i="2" s="1"/>
  <c r="I581" i="2"/>
  <c r="V580" i="2"/>
  <c r="U580" i="2"/>
  <c r="T580" i="2"/>
  <c r="S580" i="2" s="1"/>
  <c r="P580" i="2"/>
  <c r="O580" i="2"/>
  <c r="N580" i="2"/>
  <c r="M580" i="2"/>
  <c r="Q580" i="2" s="1"/>
  <c r="I580" i="2"/>
  <c r="V579" i="2"/>
  <c r="U579" i="2"/>
  <c r="T579" i="2"/>
  <c r="S579" i="2"/>
  <c r="P579" i="2"/>
  <c r="O579" i="2"/>
  <c r="N579" i="2"/>
  <c r="M579" i="2"/>
  <c r="I579" i="2"/>
  <c r="V578" i="2"/>
  <c r="U578" i="2"/>
  <c r="T578" i="2"/>
  <c r="S578" i="2" s="1"/>
  <c r="P578" i="2"/>
  <c r="O578" i="2"/>
  <c r="N578" i="2"/>
  <c r="M578" i="2"/>
  <c r="I578" i="2"/>
  <c r="V577" i="2"/>
  <c r="U577" i="2"/>
  <c r="T577" i="2"/>
  <c r="S577" i="2" s="1"/>
  <c r="P577" i="2"/>
  <c r="O577" i="2"/>
  <c r="N577" i="2"/>
  <c r="M577" i="2"/>
  <c r="Q577" i="2" s="1"/>
  <c r="I577" i="2"/>
  <c r="V576" i="2"/>
  <c r="U576" i="2"/>
  <c r="T576" i="2"/>
  <c r="S576" i="2"/>
  <c r="P576" i="2"/>
  <c r="O576" i="2"/>
  <c r="N576" i="2"/>
  <c r="M576" i="2"/>
  <c r="I576" i="2"/>
  <c r="V575" i="2"/>
  <c r="U575" i="2"/>
  <c r="T575" i="2"/>
  <c r="S575" i="2" s="1"/>
  <c r="P575" i="2"/>
  <c r="O575" i="2"/>
  <c r="N575" i="2"/>
  <c r="M575" i="2"/>
  <c r="I575" i="2"/>
  <c r="V574" i="2"/>
  <c r="U574" i="2"/>
  <c r="T574" i="2"/>
  <c r="S574" i="2"/>
  <c r="P574" i="2"/>
  <c r="O574" i="2"/>
  <c r="N574" i="2"/>
  <c r="M574" i="2"/>
  <c r="Q574" i="2" s="1"/>
  <c r="I574" i="2"/>
  <c r="V573" i="2"/>
  <c r="U573" i="2"/>
  <c r="T573" i="2"/>
  <c r="S573" i="2" s="1"/>
  <c r="P573" i="2"/>
  <c r="O573" i="2"/>
  <c r="N573" i="2"/>
  <c r="M573" i="2"/>
  <c r="Q573" i="2" s="1"/>
  <c r="I573" i="2"/>
  <c r="V572" i="2"/>
  <c r="U572" i="2"/>
  <c r="T572" i="2"/>
  <c r="S572" i="2" s="1"/>
  <c r="P572" i="2"/>
  <c r="O572" i="2"/>
  <c r="N572" i="2"/>
  <c r="M572" i="2"/>
  <c r="I572" i="2"/>
  <c r="V571" i="2"/>
  <c r="U571" i="2"/>
  <c r="T571" i="2"/>
  <c r="S571" i="2" s="1"/>
  <c r="P571" i="2"/>
  <c r="O571" i="2"/>
  <c r="N571" i="2"/>
  <c r="M571" i="2"/>
  <c r="I571" i="2"/>
  <c r="V570" i="2"/>
  <c r="U570" i="2"/>
  <c r="T570" i="2"/>
  <c r="S570" i="2"/>
  <c r="P570" i="2"/>
  <c r="O570" i="2"/>
  <c r="N570" i="2"/>
  <c r="M570" i="2"/>
  <c r="I570" i="2"/>
  <c r="V569" i="2"/>
  <c r="U569" i="2"/>
  <c r="T569" i="2"/>
  <c r="S569" i="2"/>
  <c r="P569" i="2"/>
  <c r="O569" i="2"/>
  <c r="N569" i="2"/>
  <c r="M569" i="2"/>
  <c r="I569" i="2"/>
  <c r="V568" i="2"/>
  <c r="U568" i="2"/>
  <c r="T568" i="2"/>
  <c r="S568" i="2" s="1"/>
  <c r="P568" i="2"/>
  <c r="O568" i="2"/>
  <c r="N568" i="2"/>
  <c r="M568" i="2"/>
  <c r="I568" i="2"/>
  <c r="V567" i="2"/>
  <c r="U567" i="2"/>
  <c r="T567" i="2"/>
  <c r="S567" i="2" s="1"/>
  <c r="P567" i="2"/>
  <c r="O567" i="2"/>
  <c r="N567" i="2"/>
  <c r="M567" i="2"/>
  <c r="I567" i="2"/>
  <c r="V566" i="2"/>
  <c r="U566" i="2"/>
  <c r="T566" i="2"/>
  <c r="S566" i="2"/>
  <c r="P566" i="2"/>
  <c r="O566" i="2"/>
  <c r="N566" i="2"/>
  <c r="M566" i="2"/>
  <c r="Q566" i="2" s="1"/>
  <c r="I566" i="2"/>
  <c r="V565" i="2"/>
  <c r="U565" i="2"/>
  <c r="T565" i="2"/>
  <c r="S565" i="2" s="1"/>
  <c r="P565" i="2"/>
  <c r="O565" i="2"/>
  <c r="N565" i="2"/>
  <c r="M565" i="2"/>
  <c r="Q565" i="2" s="1"/>
  <c r="I565" i="2"/>
  <c r="V564" i="2"/>
  <c r="U564" i="2"/>
  <c r="T564" i="2"/>
  <c r="S564" i="2"/>
  <c r="P564" i="2"/>
  <c r="O564" i="2"/>
  <c r="N564" i="2"/>
  <c r="M564" i="2"/>
  <c r="I564" i="2"/>
  <c r="V563" i="2"/>
  <c r="U563" i="2"/>
  <c r="T563" i="2"/>
  <c r="S563" i="2"/>
  <c r="P563" i="2"/>
  <c r="O563" i="2"/>
  <c r="N563" i="2"/>
  <c r="M563" i="2"/>
  <c r="I563" i="2"/>
  <c r="V562" i="2"/>
  <c r="U562" i="2"/>
  <c r="T562" i="2"/>
  <c r="S562" i="2"/>
  <c r="P562" i="2"/>
  <c r="O562" i="2"/>
  <c r="N562" i="2"/>
  <c r="M562" i="2"/>
  <c r="Q562" i="2" s="1"/>
  <c r="I562" i="2"/>
  <c r="V561" i="2"/>
  <c r="U561" i="2"/>
  <c r="T561" i="2"/>
  <c r="S561" i="2"/>
  <c r="P561" i="2"/>
  <c r="O561" i="2"/>
  <c r="N561" i="2"/>
  <c r="M561" i="2"/>
  <c r="I561" i="2"/>
  <c r="V560" i="2"/>
  <c r="U560" i="2"/>
  <c r="T560" i="2"/>
  <c r="S560" i="2" s="1"/>
  <c r="P560" i="2"/>
  <c r="O560" i="2"/>
  <c r="N560" i="2"/>
  <c r="M560" i="2"/>
  <c r="I560" i="2"/>
  <c r="V559" i="2"/>
  <c r="U559" i="2"/>
  <c r="T559" i="2"/>
  <c r="S559" i="2"/>
  <c r="P559" i="2"/>
  <c r="O559" i="2"/>
  <c r="N559" i="2"/>
  <c r="M559" i="2"/>
  <c r="I559" i="2"/>
  <c r="V558" i="2"/>
  <c r="U558" i="2"/>
  <c r="T558" i="2"/>
  <c r="S558" i="2"/>
  <c r="P558" i="2"/>
  <c r="O558" i="2"/>
  <c r="N558" i="2"/>
  <c r="M558" i="2"/>
  <c r="I558" i="2"/>
  <c r="V557" i="2"/>
  <c r="U557" i="2"/>
  <c r="T557" i="2"/>
  <c r="S557" i="2"/>
  <c r="P557" i="2"/>
  <c r="O557" i="2"/>
  <c r="N557" i="2"/>
  <c r="M557" i="2"/>
  <c r="Q557" i="2" s="1"/>
  <c r="I557" i="2"/>
  <c r="V556" i="2"/>
  <c r="U556" i="2"/>
  <c r="T556" i="2"/>
  <c r="S556" i="2"/>
  <c r="P556" i="2"/>
  <c r="O556" i="2"/>
  <c r="N556" i="2"/>
  <c r="M556" i="2"/>
  <c r="I556" i="2"/>
  <c r="V555" i="2"/>
  <c r="U555" i="2"/>
  <c r="T555" i="2"/>
  <c r="S555" i="2"/>
  <c r="P555" i="2"/>
  <c r="O555" i="2"/>
  <c r="N555" i="2"/>
  <c r="M555" i="2"/>
  <c r="I555" i="2"/>
  <c r="V554" i="2"/>
  <c r="U554" i="2"/>
  <c r="T554" i="2"/>
  <c r="S554" i="2" s="1"/>
  <c r="P554" i="2"/>
  <c r="O554" i="2"/>
  <c r="N554" i="2"/>
  <c r="M554" i="2"/>
  <c r="Q554" i="2" s="1"/>
  <c r="I554" i="2"/>
  <c r="V553" i="2"/>
  <c r="U553" i="2"/>
  <c r="T553" i="2"/>
  <c r="S553" i="2" s="1"/>
  <c r="P553" i="2"/>
  <c r="O553" i="2"/>
  <c r="N553" i="2"/>
  <c r="M553" i="2"/>
  <c r="Q553" i="2" s="1"/>
  <c r="I553" i="2"/>
  <c r="V552" i="2"/>
  <c r="U552" i="2"/>
  <c r="T552" i="2"/>
  <c r="S552" i="2" s="1"/>
  <c r="P552" i="2"/>
  <c r="O552" i="2"/>
  <c r="N552" i="2"/>
  <c r="M552" i="2"/>
  <c r="I552" i="2"/>
  <c r="V551" i="2"/>
  <c r="U551" i="2"/>
  <c r="T551" i="2"/>
  <c r="S551" i="2" s="1"/>
  <c r="P551" i="2"/>
  <c r="O551" i="2"/>
  <c r="N551" i="2"/>
  <c r="M551" i="2"/>
  <c r="I551" i="2"/>
  <c r="V550" i="2"/>
  <c r="U550" i="2"/>
  <c r="T550" i="2"/>
  <c r="S550" i="2"/>
  <c r="P550" i="2"/>
  <c r="O550" i="2"/>
  <c r="N550" i="2"/>
  <c r="M550" i="2"/>
  <c r="I550" i="2"/>
  <c r="V549" i="2"/>
  <c r="U549" i="2"/>
  <c r="T549" i="2"/>
  <c r="S549" i="2"/>
  <c r="P549" i="2"/>
  <c r="O549" i="2"/>
  <c r="N549" i="2"/>
  <c r="M549" i="2"/>
  <c r="I549" i="2"/>
  <c r="V548" i="2"/>
  <c r="U548" i="2"/>
  <c r="T548" i="2"/>
  <c r="S548" i="2" s="1"/>
  <c r="P548" i="2"/>
  <c r="O548" i="2"/>
  <c r="N548" i="2"/>
  <c r="M548" i="2"/>
  <c r="I548" i="2"/>
  <c r="V547" i="2"/>
  <c r="U547" i="2"/>
  <c r="T547" i="2"/>
  <c r="S547" i="2" s="1"/>
  <c r="P547" i="2"/>
  <c r="O547" i="2"/>
  <c r="N547" i="2"/>
  <c r="M547" i="2"/>
  <c r="I547" i="2"/>
  <c r="V546" i="2"/>
  <c r="U546" i="2"/>
  <c r="T546" i="2"/>
  <c r="S546" i="2"/>
  <c r="P546" i="2"/>
  <c r="O546" i="2"/>
  <c r="N546" i="2"/>
  <c r="M546" i="2"/>
  <c r="Q546" i="2" s="1"/>
  <c r="I546" i="2"/>
  <c r="V545" i="2"/>
  <c r="U545" i="2"/>
  <c r="T545" i="2"/>
  <c r="S545" i="2" s="1"/>
  <c r="P545" i="2"/>
  <c r="O545" i="2"/>
  <c r="N545" i="2"/>
  <c r="M545" i="2"/>
  <c r="Q545" i="2" s="1"/>
  <c r="I545" i="2"/>
  <c r="V544" i="2"/>
  <c r="U544" i="2"/>
  <c r="T544" i="2"/>
  <c r="S544" i="2"/>
  <c r="P544" i="2"/>
  <c r="O544" i="2"/>
  <c r="N544" i="2"/>
  <c r="M544" i="2"/>
  <c r="I544" i="2"/>
  <c r="V543" i="2"/>
  <c r="U543" i="2"/>
  <c r="T543" i="2"/>
  <c r="S543" i="2"/>
  <c r="P543" i="2"/>
  <c r="O543" i="2"/>
  <c r="N543" i="2"/>
  <c r="M543" i="2"/>
  <c r="I543" i="2"/>
  <c r="V542" i="2"/>
  <c r="U542" i="2"/>
  <c r="T542" i="2"/>
  <c r="S542" i="2"/>
  <c r="P542" i="2"/>
  <c r="O542" i="2"/>
  <c r="N542" i="2"/>
  <c r="M542" i="2"/>
  <c r="Q542" i="2" s="1"/>
  <c r="I542" i="2"/>
  <c r="V541" i="2"/>
  <c r="U541" i="2"/>
  <c r="T541" i="2"/>
  <c r="S541" i="2"/>
  <c r="P541" i="2"/>
  <c r="O541" i="2"/>
  <c r="N541" i="2"/>
  <c r="M541" i="2"/>
  <c r="I541" i="2"/>
  <c r="V540" i="2"/>
  <c r="U540" i="2"/>
  <c r="T540" i="2"/>
  <c r="S540" i="2" s="1"/>
  <c r="P540" i="2"/>
  <c r="O540" i="2"/>
  <c r="N540" i="2"/>
  <c r="M540" i="2"/>
  <c r="I540" i="2"/>
  <c r="V539" i="2"/>
  <c r="U539" i="2"/>
  <c r="T539" i="2"/>
  <c r="S539" i="2" s="1"/>
  <c r="P539" i="2"/>
  <c r="O539" i="2"/>
  <c r="N539" i="2"/>
  <c r="M539" i="2"/>
  <c r="I539" i="2"/>
  <c r="V538" i="2"/>
  <c r="U538" i="2"/>
  <c r="T538" i="2"/>
  <c r="S538" i="2"/>
  <c r="P538" i="2"/>
  <c r="O538" i="2"/>
  <c r="N538" i="2"/>
  <c r="M538" i="2"/>
  <c r="I538" i="2"/>
  <c r="V537" i="2"/>
  <c r="U537" i="2"/>
  <c r="T537" i="2"/>
  <c r="S537" i="2"/>
  <c r="P537" i="2"/>
  <c r="O537" i="2"/>
  <c r="N537" i="2"/>
  <c r="M537" i="2"/>
  <c r="Q537" i="2" s="1"/>
  <c r="I537" i="2"/>
  <c r="V536" i="2"/>
  <c r="U536" i="2"/>
  <c r="T536" i="2"/>
  <c r="S536" i="2"/>
  <c r="P536" i="2"/>
  <c r="O536" i="2"/>
  <c r="N536" i="2"/>
  <c r="M536" i="2"/>
  <c r="I536" i="2"/>
  <c r="V535" i="2"/>
  <c r="U535" i="2"/>
  <c r="T535" i="2"/>
  <c r="S535" i="2" s="1"/>
  <c r="P535" i="2"/>
  <c r="O535" i="2"/>
  <c r="N535" i="2"/>
  <c r="M535" i="2"/>
  <c r="I535" i="2"/>
  <c r="V534" i="2"/>
  <c r="U534" i="2"/>
  <c r="T534" i="2"/>
  <c r="S534" i="2" s="1"/>
  <c r="P534" i="2"/>
  <c r="O534" i="2"/>
  <c r="N534" i="2"/>
  <c r="M534" i="2"/>
  <c r="Q534" i="2" s="1"/>
  <c r="I534" i="2"/>
  <c r="V533" i="2"/>
  <c r="U533" i="2"/>
  <c r="T533" i="2"/>
  <c r="S533" i="2" s="1"/>
  <c r="P533" i="2"/>
  <c r="O533" i="2"/>
  <c r="N533" i="2"/>
  <c r="M533" i="2"/>
  <c r="I533" i="2"/>
  <c r="V532" i="2"/>
  <c r="U532" i="2"/>
  <c r="T532" i="2"/>
  <c r="S532" i="2" s="1"/>
  <c r="P532" i="2"/>
  <c r="O532" i="2"/>
  <c r="N532" i="2"/>
  <c r="M532" i="2"/>
  <c r="I532" i="2"/>
  <c r="V531" i="2"/>
  <c r="U531" i="2"/>
  <c r="T531" i="2"/>
  <c r="S531" i="2" s="1"/>
  <c r="P531" i="2"/>
  <c r="O531" i="2"/>
  <c r="N531" i="2"/>
  <c r="M531" i="2"/>
  <c r="I531" i="2"/>
  <c r="V530" i="2"/>
  <c r="U530" i="2"/>
  <c r="T530" i="2"/>
  <c r="S530" i="2"/>
  <c r="P530" i="2"/>
  <c r="O530" i="2"/>
  <c r="N530" i="2"/>
  <c r="M530" i="2"/>
  <c r="I530" i="2"/>
  <c r="V529" i="2"/>
  <c r="U529" i="2"/>
  <c r="T529" i="2"/>
  <c r="S529" i="2"/>
  <c r="P529" i="2"/>
  <c r="O529" i="2"/>
  <c r="N529" i="2"/>
  <c r="M529" i="2"/>
  <c r="I529" i="2"/>
  <c r="V528" i="2"/>
  <c r="U528" i="2"/>
  <c r="T528" i="2"/>
  <c r="S528" i="2" s="1"/>
  <c r="P528" i="2"/>
  <c r="O528" i="2"/>
  <c r="N528" i="2"/>
  <c r="M528" i="2"/>
  <c r="I528" i="2"/>
  <c r="V527" i="2"/>
  <c r="U527" i="2"/>
  <c r="T527" i="2"/>
  <c r="S527" i="2" s="1"/>
  <c r="P527" i="2"/>
  <c r="O527" i="2"/>
  <c r="N527" i="2"/>
  <c r="M527" i="2"/>
  <c r="I527" i="2"/>
  <c r="V526" i="2"/>
  <c r="U526" i="2"/>
  <c r="T526" i="2"/>
  <c r="S526" i="2"/>
  <c r="P526" i="2"/>
  <c r="O526" i="2"/>
  <c r="N526" i="2"/>
  <c r="M526" i="2"/>
  <c r="Q526" i="2" s="1"/>
  <c r="I526" i="2"/>
  <c r="V525" i="2"/>
  <c r="U525" i="2"/>
  <c r="T525" i="2"/>
  <c r="S525" i="2" s="1"/>
  <c r="P525" i="2"/>
  <c r="O525" i="2"/>
  <c r="N525" i="2"/>
  <c r="M525" i="2"/>
  <c r="Q525" i="2" s="1"/>
  <c r="I525" i="2"/>
  <c r="V524" i="2"/>
  <c r="U524" i="2"/>
  <c r="T524" i="2"/>
  <c r="S524" i="2" s="1"/>
  <c r="P524" i="2"/>
  <c r="O524" i="2"/>
  <c r="N524" i="2"/>
  <c r="M524" i="2"/>
  <c r="I524" i="2"/>
  <c r="V523" i="2"/>
  <c r="U523" i="2"/>
  <c r="T523" i="2"/>
  <c r="S523" i="2"/>
  <c r="P523" i="2"/>
  <c r="O523" i="2"/>
  <c r="N523" i="2"/>
  <c r="M523" i="2"/>
  <c r="I523" i="2"/>
  <c r="V522" i="2"/>
  <c r="U522" i="2"/>
  <c r="T522" i="2"/>
  <c r="S522" i="2"/>
  <c r="P522" i="2"/>
  <c r="O522" i="2"/>
  <c r="N522" i="2"/>
  <c r="M522" i="2"/>
  <c r="I522" i="2"/>
  <c r="V521" i="2"/>
  <c r="U521" i="2"/>
  <c r="T521" i="2"/>
  <c r="S521" i="2"/>
  <c r="P521" i="2"/>
  <c r="O521" i="2"/>
  <c r="N521" i="2"/>
  <c r="M521" i="2"/>
  <c r="I521" i="2"/>
  <c r="V520" i="2"/>
  <c r="U520" i="2"/>
  <c r="T520" i="2"/>
  <c r="S520" i="2" s="1"/>
  <c r="P520" i="2"/>
  <c r="O520" i="2"/>
  <c r="N520" i="2"/>
  <c r="M520" i="2"/>
  <c r="I520" i="2"/>
  <c r="V519" i="2"/>
  <c r="U519" i="2"/>
  <c r="T519" i="2"/>
  <c r="S519" i="2" s="1"/>
  <c r="P519" i="2"/>
  <c r="O519" i="2"/>
  <c r="N519" i="2"/>
  <c r="M519" i="2"/>
  <c r="I519" i="2"/>
  <c r="V518" i="2"/>
  <c r="U518" i="2"/>
  <c r="T518" i="2"/>
  <c r="S518" i="2"/>
  <c r="P518" i="2"/>
  <c r="O518" i="2"/>
  <c r="N518" i="2"/>
  <c r="M518" i="2"/>
  <c r="I518" i="2"/>
  <c r="V517" i="2"/>
  <c r="U517" i="2"/>
  <c r="T517" i="2"/>
  <c r="S517" i="2"/>
  <c r="P517" i="2"/>
  <c r="O517" i="2"/>
  <c r="N517" i="2"/>
  <c r="M517" i="2"/>
  <c r="Q517" i="2" s="1"/>
  <c r="I517" i="2"/>
  <c r="V516" i="2"/>
  <c r="U516" i="2"/>
  <c r="T516" i="2"/>
  <c r="S516" i="2"/>
  <c r="P516" i="2"/>
  <c r="O516" i="2"/>
  <c r="N516" i="2"/>
  <c r="M516" i="2"/>
  <c r="I516" i="2"/>
  <c r="V515" i="2"/>
  <c r="U515" i="2"/>
  <c r="T515" i="2"/>
  <c r="S515" i="2" s="1"/>
  <c r="P515" i="2"/>
  <c r="O515" i="2"/>
  <c r="N515" i="2"/>
  <c r="M515" i="2"/>
  <c r="I515" i="2"/>
  <c r="V514" i="2"/>
  <c r="U514" i="2"/>
  <c r="T514" i="2"/>
  <c r="S514" i="2" s="1"/>
  <c r="P514" i="2"/>
  <c r="O514" i="2"/>
  <c r="N514" i="2"/>
  <c r="M514" i="2"/>
  <c r="Q514" i="2" s="1"/>
  <c r="I514" i="2"/>
  <c r="V513" i="2"/>
  <c r="U513" i="2"/>
  <c r="T513" i="2"/>
  <c r="S513" i="2"/>
  <c r="P513" i="2"/>
  <c r="O513" i="2"/>
  <c r="N513" i="2"/>
  <c r="M513" i="2"/>
  <c r="I513" i="2"/>
  <c r="V512" i="2"/>
  <c r="U512" i="2"/>
  <c r="T512" i="2"/>
  <c r="S512" i="2" s="1"/>
  <c r="P512" i="2"/>
  <c r="O512" i="2"/>
  <c r="N512" i="2"/>
  <c r="M512" i="2"/>
  <c r="I512" i="2"/>
  <c r="V511" i="2"/>
  <c r="U511" i="2"/>
  <c r="T511" i="2"/>
  <c r="S511" i="2" s="1"/>
  <c r="P511" i="2"/>
  <c r="O511" i="2"/>
  <c r="N511" i="2"/>
  <c r="M511" i="2"/>
  <c r="I511" i="2"/>
  <c r="V510" i="2"/>
  <c r="U510" i="2"/>
  <c r="T510" i="2"/>
  <c r="S510" i="2"/>
  <c r="P510" i="2"/>
  <c r="O510" i="2"/>
  <c r="N510" i="2"/>
  <c r="M510" i="2"/>
  <c r="I510" i="2"/>
  <c r="V509" i="2"/>
  <c r="U509" i="2"/>
  <c r="T509" i="2"/>
  <c r="S509" i="2"/>
  <c r="P509" i="2"/>
  <c r="O509" i="2"/>
  <c r="N509" i="2"/>
  <c r="M509" i="2"/>
  <c r="Q509" i="2" s="1"/>
  <c r="I509" i="2"/>
  <c r="V508" i="2"/>
  <c r="U508" i="2"/>
  <c r="T508" i="2"/>
  <c r="S508" i="2" s="1"/>
  <c r="P508" i="2"/>
  <c r="O508" i="2"/>
  <c r="N508" i="2"/>
  <c r="M508" i="2"/>
  <c r="I508" i="2"/>
  <c r="V507" i="2"/>
  <c r="U507" i="2"/>
  <c r="T507" i="2"/>
  <c r="S507" i="2" s="1"/>
  <c r="P507" i="2"/>
  <c r="O507" i="2"/>
  <c r="N507" i="2"/>
  <c r="M507" i="2"/>
  <c r="I507" i="2"/>
  <c r="V506" i="2"/>
  <c r="U506" i="2"/>
  <c r="T506" i="2"/>
  <c r="S506" i="2"/>
  <c r="P506" i="2"/>
  <c r="O506" i="2"/>
  <c r="N506" i="2"/>
  <c r="M506" i="2"/>
  <c r="I506" i="2"/>
  <c r="V505" i="2"/>
  <c r="U505" i="2"/>
  <c r="T505" i="2"/>
  <c r="S505" i="2" s="1"/>
  <c r="P505" i="2"/>
  <c r="O505" i="2"/>
  <c r="N505" i="2"/>
  <c r="M505" i="2"/>
  <c r="Q505" i="2" s="1"/>
  <c r="I505" i="2"/>
  <c r="V504" i="2"/>
  <c r="U504" i="2"/>
  <c r="T504" i="2"/>
  <c r="S504" i="2" s="1"/>
  <c r="P504" i="2"/>
  <c r="O504" i="2"/>
  <c r="N504" i="2"/>
  <c r="M504" i="2"/>
  <c r="I504" i="2"/>
  <c r="V503" i="2"/>
  <c r="U503" i="2"/>
  <c r="T503" i="2"/>
  <c r="S503" i="2"/>
  <c r="P503" i="2"/>
  <c r="O503" i="2"/>
  <c r="N503" i="2"/>
  <c r="M503" i="2"/>
  <c r="I503" i="2"/>
  <c r="V502" i="2"/>
  <c r="U502" i="2"/>
  <c r="T502" i="2"/>
  <c r="S502" i="2"/>
  <c r="P502" i="2"/>
  <c r="O502" i="2"/>
  <c r="N502" i="2"/>
  <c r="M502" i="2"/>
  <c r="I502" i="2"/>
  <c r="V501" i="2"/>
  <c r="U501" i="2"/>
  <c r="T501" i="2"/>
  <c r="S501" i="2"/>
  <c r="P501" i="2"/>
  <c r="O501" i="2"/>
  <c r="N501" i="2"/>
  <c r="M501" i="2"/>
  <c r="I501" i="2"/>
  <c r="V500" i="2"/>
  <c r="U500" i="2"/>
  <c r="T500" i="2"/>
  <c r="S500" i="2" s="1"/>
  <c r="P500" i="2"/>
  <c r="O500" i="2"/>
  <c r="N500" i="2"/>
  <c r="M500" i="2"/>
  <c r="I500" i="2"/>
  <c r="V499" i="2"/>
  <c r="U499" i="2"/>
  <c r="T499" i="2"/>
  <c r="S499" i="2" s="1"/>
  <c r="P499" i="2"/>
  <c r="O499" i="2"/>
  <c r="N499" i="2"/>
  <c r="M499" i="2"/>
  <c r="I499" i="2"/>
  <c r="V498" i="2"/>
  <c r="U498" i="2"/>
  <c r="T498" i="2"/>
  <c r="S498" i="2"/>
  <c r="P498" i="2"/>
  <c r="O498" i="2"/>
  <c r="N498" i="2"/>
  <c r="M498" i="2"/>
  <c r="I498" i="2"/>
  <c r="V497" i="2"/>
  <c r="U497" i="2"/>
  <c r="T497" i="2"/>
  <c r="S497" i="2"/>
  <c r="P497" i="2"/>
  <c r="O497" i="2"/>
  <c r="N497" i="2"/>
  <c r="M497" i="2"/>
  <c r="Q497" i="2" s="1"/>
  <c r="I497" i="2"/>
  <c r="V496" i="2"/>
  <c r="U496" i="2"/>
  <c r="T496" i="2"/>
  <c r="S496" i="2"/>
  <c r="P496" i="2"/>
  <c r="O496" i="2"/>
  <c r="N496" i="2"/>
  <c r="M496" i="2"/>
  <c r="I496" i="2"/>
  <c r="V495" i="2"/>
  <c r="U495" i="2"/>
  <c r="T495" i="2"/>
  <c r="S495" i="2" s="1"/>
  <c r="P495" i="2"/>
  <c r="O495" i="2"/>
  <c r="N495" i="2"/>
  <c r="M495" i="2"/>
  <c r="I495" i="2"/>
  <c r="V494" i="2"/>
  <c r="U494" i="2"/>
  <c r="T494" i="2"/>
  <c r="S494" i="2" s="1"/>
  <c r="P494" i="2"/>
  <c r="O494" i="2"/>
  <c r="N494" i="2"/>
  <c r="M494" i="2"/>
  <c r="Q494" i="2" s="1"/>
  <c r="I494" i="2"/>
  <c r="V493" i="2"/>
  <c r="U493" i="2"/>
  <c r="T493" i="2"/>
  <c r="S493" i="2"/>
  <c r="P493" i="2"/>
  <c r="O493" i="2"/>
  <c r="N493" i="2"/>
  <c r="M493" i="2"/>
  <c r="I493" i="2"/>
  <c r="V492" i="2"/>
  <c r="U492" i="2"/>
  <c r="T492" i="2"/>
  <c r="S492" i="2" s="1"/>
  <c r="P492" i="2"/>
  <c r="O492" i="2"/>
  <c r="N492" i="2"/>
  <c r="M492" i="2"/>
  <c r="I492" i="2"/>
  <c r="V491" i="2"/>
  <c r="U491" i="2"/>
  <c r="T491" i="2"/>
  <c r="S491" i="2" s="1"/>
  <c r="P491" i="2"/>
  <c r="O491" i="2"/>
  <c r="N491" i="2"/>
  <c r="M491" i="2"/>
  <c r="I491" i="2"/>
  <c r="V490" i="2"/>
  <c r="U490" i="2"/>
  <c r="T490" i="2"/>
  <c r="S490" i="2"/>
  <c r="P490" i="2"/>
  <c r="O490" i="2"/>
  <c r="N490" i="2"/>
  <c r="M490" i="2"/>
  <c r="I490" i="2"/>
  <c r="V489" i="2"/>
  <c r="U489" i="2"/>
  <c r="T489" i="2"/>
  <c r="S489" i="2"/>
  <c r="P489" i="2"/>
  <c r="O489" i="2"/>
  <c r="N489" i="2"/>
  <c r="M489" i="2"/>
  <c r="Q489" i="2" s="1"/>
  <c r="I489" i="2"/>
  <c r="V488" i="2"/>
  <c r="U488" i="2"/>
  <c r="T488" i="2"/>
  <c r="S488" i="2" s="1"/>
  <c r="P488" i="2"/>
  <c r="O488" i="2"/>
  <c r="N488" i="2"/>
  <c r="M488" i="2"/>
  <c r="I488" i="2"/>
  <c r="V487" i="2"/>
  <c r="U487" i="2"/>
  <c r="T487" i="2"/>
  <c r="S487" i="2"/>
  <c r="P487" i="2"/>
  <c r="O487" i="2"/>
  <c r="N487" i="2"/>
  <c r="M487" i="2"/>
  <c r="I487" i="2"/>
  <c r="V486" i="2"/>
  <c r="U486" i="2"/>
  <c r="T486" i="2"/>
  <c r="S486" i="2"/>
  <c r="P486" i="2"/>
  <c r="O486" i="2"/>
  <c r="N486" i="2"/>
  <c r="M486" i="2"/>
  <c r="Q486" i="2" s="1"/>
  <c r="I486" i="2"/>
  <c r="V485" i="2"/>
  <c r="U485" i="2"/>
  <c r="T485" i="2"/>
  <c r="S485" i="2" s="1"/>
  <c r="P485" i="2"/>
  <c r="O485" i="2"/>
  <c r="N485" i="2"/>
  <c r="M485" i="2"/>
  <c r="Q485" i="2" s="1"/>
  <c r="I485" i="2"/>
  <c r="V484" i="2"/>
  <c r="U484" i="2"/>
  <c r="T484" i="2"/>
  <c r="S484" i="2" s="1"/>
  <c r="P484" i="2"/>
  <c r="O484" i="2"/>
  <c r="N484" i="2"/>
  <c r="M484" i="2"/>
  <c r="I484" i="2"/>
  <c r="V483" i="2"/>
  <c r="U483" i="2"/>
  <c r="T483" i="2"/>
  <c r="S483" i="2"/>
  <c r="P483" i="2"/>
  <c r="O483" i="2"/>
  <c r="N483" i="2"/>
  <c r="M483" i="2"/>
  <c r="Q483" i="2" s="1"/>
  <c r="I483" i="2"/>
  <c r="V482" i="2"/>
  <c r="U482" i="2"/>
  <c r="T482" i="2"/>
  <c r="S482" i="2"/>
  <c r="P482" i="2"/>
  <c r="O482" i="2"/>
  <c r="N482" i="2"/>
  <c r="M482" i="2"/>
  <c r="I482" i="2"/>
  <c r="V481" i="2"/>
  <c r="U481" i="2"/>
  <c r="T481" i="2"/>
  <c r="S481" i="2"/>
  <c r="P481" i="2"/>
  <c r="O481" i="2"/>
  <c r="N481" i="2"/>
  <c r="M481" i="2"/>
  <c r="I481" i="2"/>
  <c r="V480" i="2"/>
  <c r="U480" i="2"/>
  <c r="T480" i="2"/>
  <c r="S480" i="2" s="1"/>
  <c r="P480" i="2"/>
  <c r="O480" i="2"/>
  <c r="N480" i="2"/>
  <c r="M480" i="2"/>
  <c r="I480" i="2"/>
  <c r="V479" i="2"/>
  <c r="U479" i="2"/>
  <c r="T479" i="2"/>
  <c r="S479" i="2" s="1"/>
  <c r="P479" i="2"/>
  <c r="O479" i="2"/>
  <c r="N479" i="2"/>
  <c r="M479" i="2"/>
  <c r="I479" i="2"/>
  <c r="V478" i="2"/>
  <c r="U478" i="2"/>
  <c r="T478" i="2"/>
  <c r="S478" i="2"/>
  <c r="P478" i="2"/>
  <c r="O478" i="2"/>
  <c r="N478" i="2"/>
  <c r="M478" i="2"/>
  <c r="Q478" i="2" s="1"/>
  <c r="I478" i="2"/>
  <c r="V477" i="2"/>
  <c r="U477" i="2"/>
  <c r="T477" i="2"/>
  <c r="S477" i="2"/>
  <c r="P477" i="2"/>
  <c r="O477" i="2"/>
  <c r="N477" i="2"/>
  <c r="M477" i="2"/>
  <c r="Q477" i="2" s="1"/>
  <c r="I477" i="2"/>
  <c r="V476" i="2"/>
  <c r="U476" i="2"/>
  <c r="T476" i="2"/>
  <c r="S476" i="2"/>
  <c r="P476" i="2"/>
  <c r="O476" i="2"/>
  <c r="N476" i="2"/>
  <c r="M476" i="2"/>
  <c r="I476" i="2"/>
  <c r="V475" i="2"/>
  <c r="U475" i="2"/>
  <c r="T475" i="2"/>
  <c r="S475" i="2" s="1"/>
  <c r="P475" i="2"/>
  <c r="O475" i="2"/>
  <c r="N475" i="2"/>
  <c r="M475" i="2"/>
  <c r="I475" i="2"/>
  <c r="V474" i="2"/>
  <c r="U474" i="2"/>
  <c r="T474" i="2"/>
  <c r="S474" i="2" s="1"/>
  <c r="P474" i="2"/>
  <c r="O474" i="2"/>
  <c r="N474" i="2"/>
  <c r="M474" i="2"/>
  <c r="Q474" i="2" s="1"/>
  <c r="I474" i="2"/>
  <c r="V473" i="2"/>
  <c r="U473" i="2"/>
  <c r="T473" i="2"/>
  <c r="S473" i="2"/>
  <c r="P473" i="2"/>
  <c r="O473" i="2"/>
  <c r="N473" i="2"/>
  <c r="M473" i="2"/>
  <c r="I473" i="2"/>
  <c r="V472" i="2"/>
  <c r="U472" i="2"/>
  <c r="T472" i="2"/>
  <c r="S472" i="2" s="1"/>
  <c r="P472" i="2"/>
  <c r="O472" i="2"/>
  <c r="N472" i="2"/>
  <c r="M472" i="2"/>
  <c r="I472" i="2"/>
  <c r="V471" i="2"/>
  <c r="U471" i="2"/>
  <c r="T471" i="2"/>
  <c r="S471" i="2" s="1"/>
  <c r="P471" i="2"/>
  <c r="O471" i="2"/>
  <c r="N471" i="2"/>
  <c r="M471" i="2"/>
  <c r="I471" i="2"/>
  <c r="V470" i="2"/>
  <c r="U470" i="2"/>
  <c r="T470" i="2"/>
  <c r="S470" i="2"/>
  <c r="P470" i="2"/>
  <c r="O470" i="2"/>
  <c r="N470" i="2"/>
  <c r="M470" i="2"/>
  <c r="I470" i="2"/>
  <c r="V469" i="2"/>
  <c r="U469" i="2"/>
  <c r="T469" i="2"/>
  <c r="S469" i="2"/>
  <c r="P469" i="2"/>
  <c r="O469" i="2"/>
  <c r="N469" i="2"/>
  <c r="M469" i="2"/>
  <c r="I469" i="2"/>
  <c r="V468" i="2"/>
  <c r="U468" i="2"/>
  <c r="T468" i="2"/>
  <c r="S468" i="2" s="1"/>
  <c r="P468" i="2"/>
  <c r="O468" i="2"/>
  <c r="N468" i="2"/>
  <c r="M468" i="2"/>
  <c r="I468" i="2"/>
  <c r="V467" i="2"/>
  <c r="U467" i="2"/>
  <c r="T467" i="2"/>
  <c r="S467" i="2"/>
  <c r="P467" i="2"/>
  <c r="O467" i="2"/>
  <c r="N467" i="2"/>
  <c r="M467" i="2"/>
  <c r="I467" i="2"/>
  <c r="V466" i="2"/>
  <c r="U466" i="2"/>
  <c r="T466" i="2"/>
  <c r="S466" i="2"/>
  <c r="P466" i="2"/>
  <c r="O466" i="2"/>
  <c r="N466" i="2"/>
  <c r="M466" i="2"/>
  <c r="Q466" i="2" s="1"/>
  <c r="I466" i="2"/>
  <c r="V465" i="2"/>
  <c r="U465" i="2"/>
  <c r="T465" i="2"/>
  <c r="S465" i="2" s="1"/>
  <c r="P465" i="2"/>
  <c r="O465" i="2"/>
  <c r="N465" i="2"/>
  <c r="M465" i="2"/>
  <c r="Q465" i="2" s="1"/>
  <c r="I465" i="2"/>
  <c r="V464" i="2"/>
  <c r="U464" i="2"/>
  <c r="T464" i="2"/>
  <c r="S464" i="2" s="1"/>
  <c r="P464" i="2"/>
  <c r="O464" i="2"/>
  <c r="N464" i="2"/>
  <c r="M464" i="2"/>
  <c r="I464" i="2"/>
  <c r="V463" i="2"/>
  <c r="U463" i="2"/>
  <c r="T463" i="2"/>
  <c r="S463" i="2"/>
  <c r="P463" i="2"/>
  <c r="O463" i="2"/>
  <c r="N463" i="2"/>
  <c r="M463" i="2"/>
  <c r="Q463" i="2" s="1"/>
  <c r="I463" i="2"/>
  <c r="V462" i="2"/>
  <c r="U462" i="2"/>
  <c r="T462" i="2"/>
  <c r="S462" i="2"/>
  <c r="P462" i="2"/>
  <c r="O462" i="2"/>
  <c r="N462" i="2"/>
  <c r="M462" i="2"/>
  <c r="I462" i="2"/>
  <c r="V461" i="2"/>
  <c r="U461" i="2"/>
  <c r="T461" i="2"/>
  <c r="S461" i="2"/>
  <c r="P461" i="2"/>
  <c r="O461" i="2"/>
  <c r="N461" i="2"/>
  <c r="M461" i="2"/>
  <c r="I461" i="2"/>
  <c r="V460" i="2"/>
  <c r="U460" i="2"/>
  <c r="T460" i="2"/>
  <c r="S460" i="2" s="1"/>
  <c r="P460" i="2"/>
  <c r="O460" i="2"/>
  <c r="N460" i="2"/>
  <c r="M460" i="2"/>
  <c r="I460" i="2"/>
  <c r="V459" i="2"/>
  <c r="U459" i="2"/>
  <c r="T459" i="2"/>
  <c r="S459" i="2" s="1"/>
  <c r="P459" i="2"/>
  <c r="O459" i="2"/>
  <c r="N459" i="2"/>
  <c r="M459" i="2"/>
  <c r="I459" i="2"/>
  <c r="V458" i="2"/>
  <c r="U458" i="2"/>
  <c r="T458" i="2"/>
  <c r="S458" i="2"/>
  <c r="P458" i="2"/>
  <c r="O458" i="2"/>
  <c r="N458" i="2"/>
  <c r="M458" i="2"/>
  <c r="Q458" i="2" s="1"/>
  <c r="I458" i="2"/>
  <c r="V457" i="2"/>
  <c r="U457" i="2"/>
  <c r="T457" i="2"/>
  <c r="S457" i="2" s="1"/>
  <c r="P457" i="2"/>
  <c r="O457" i="2"/>
  <c r="N457" i="2"/>
  <c r="M457" i="2"/>
  <c r="Q457" i="2" s="1"/>
  <c r="I457" i="2"/>
  <c r="V456" i="2"/>
  <c r="U456" i="2"/>
  <c r="T456" i="2"/>
  <c r="S456" i="2"/>
  <c r="P456" i="2"/>
  <c r="O456" i="2"/>
  <c r="N456" i="2"/>
  <c r="M456" i="2"/>
  <c r="I456" i="2"/>
  <c r="V455" i="2"/>
  <c r="U455" i="2"/>
  <c r="T455" i="2"/>
  <c r="S455" i="2" s="1"/>
  <c r="P455" i="2"/>
  <c r="O455" i="2"/>
  <c r="N455" i="2"/>
  <c r="M455" i="2"/>
  <c r="I455" i="2"/>
  <c r="V454" i="2"/>
  <c r="U454" i="2"/>
  <c r="T454" i="2"/>
  <c r="S454" i="2" s="1"/>
  <c r="P454" i="2"/>
  <c r="O454" i="2"/>
  <c r="N454" i="2"/>
  <c r="M454" i="2"/>
  <c r="Q454" i="2" s="1"/>
  <c r="I454" i="2"/>
  <c r="V453" i="2"/>
  <c r="U453" i="2"/>
  <c r="T453" i="2"/>
  <c r="S453" i="2" s="1"/>
  <c r="P453" i="2"/>
  <c r="O453" i="2"/>
  <c r="N453" i="2"/>
  <c r="M453" i="2"/>
  <c r="I453" i="2"/>
  <c r="V452" i="2"/>
  <c r="U452" i="2"/>
  <c r="T452" i="2"/>
  <c r="S452" i="2" s="1"/>
  <c r="P452" i="2"/>
  <c r="O452" i="2"/>
  <c r="N452" i="2"/>
  <c r="M452" i="2"/>
  <c r="I452" i="2"/>
  <c r="V451" i="2"/>
  <c r="U451" i="2"/>
  <c r="T451" i="2"/>
  <c r="S451" i="2"/>
  <c r="P451" i="2"/>
  <c r="O451" i="2"/>
  <c r="N451" i="2"/>
  <c r="M451" i="2"/>
  <c r="I451" i="2"/>
  <c r="V450" i="2"/>
  <c r="U450" i="2"/>
  <c r="T450" i="2"/>
  <c r="S450" i="2" s="1"/>
  <c r="P450" i="2"/>
  <c r="O450" i="2"/>
  <c r="N450" i="2"/>
  <c r="M450" i="2"/>
  <c r="Q450" i="2" s="1"/>
  <c r="I450" i="2"/>
  <c r="V449" i="2"/>
  <c r="U449" i="2"/>
  <c r="T449" i="2"/>
  <c r="S449" i="2" s="1"/>
  <c r="P449" i="2"/>
  <c r="O449" i="2"/>
  <c r="N449" i="2"/>
  <c r="M449" i="2"/>
  <c r="Q449" i="2" s="1"/>
  <c r="I449" i="2"/>
  <c r="V448" i="2"/>
  <c r="U448" i="2"/>
  <c r="T448" i="2"/>
  <c r="S448" i="2" s="1"/>
  <c r="P448" i="2"/>
  <c r="O448" i="2"/>
  <c r="N448" i="2"/>
  <c r="M448" i="2"/>
  <c r="I448" i="2"/>
  <c r="V447" i="2"/>
  <c r="U447" i="2"/>
  <c r="T447" i="2"/>
  <c r="S447" i="2"/>
  <c r="P447" i="2"/>
  <c r="O447" i="2"/>
  <c r="N447" i="2"/>
  <c r="M447" i="2"/>
  <c r="I447" i="2"/>
  <c r="V446" i="2"/>
  <c r="U446" i="2"/>
  <c r="T446" i="2"/>
  <c r="S446" i="2" s="1"/>
  <c r="P446" i="2"/>
  <c r="O446" i="2"/>
  <c r="N446" i="2"/>
  <c r="M446" i="2"/>
  <c r="Q446" i="2" s="1"/>
  <c r="I446" i="2"/>
  <c r="V445" i="2"/>
  <c r="U445" i="2"/>
  <c r="T445" i="2"/>
  <c r="S445" i="2" s="1"/>
  <c r="P445" i="2"/>
  <c r="O445" i="2"/>
  <c r="N445" i="2"/>
  <c r="M445" i="2"/>
  <c r="Q445" i="2" s="1"/>
  <c r="I445" i="2"/>
  <c r="V444" i="2"/>
  <c r="U444" i="2"/>
  <c r="T444" i="2"/>
  <c r="S444" i="2" s="1"/>
  <c r="P444" i="2"/>
  <c r="O444" i="2"/>
  <c r="N444" i="2"/>
  <c r="M444" i="2"/>
  <c r="Q444" i="2" s="1"/>
  <c r="I444" i="2"/>
  <c r="V443" i="2"/>
  <c r="U443" i="2"/>
  <c r="T443" i="2"/>
  <c r="S443" i="2" s="1"/>
  <c r="P443" i="2"/>
  <c r="O443" i="2"/>
  <c r="N443" i="2"/>
  <c r="M443" i="2"/>
  <c r="I443" i="2"/>
  <c r="V442" i="2"/>
  <c r="U442" i="2"/>
  <c r="T442" i="2"/>
  <c r="S442" i="2" s="1"/>
  <c r="P442" i="2"/>
  <c r="O442" i="2"/>
  <c r="N442" i="2"/>
  <c r="M442" i="2"/>
  <c r="I442" i="2"/>
  <c r="V441" i="2"/>
  <c r="U441" i="2"/>
  <c r="T441" i="2"/>
  <c r="S441" i="2" s="1"/>
  <c r="P441" i="2"/>
  <c r="O441" i="2"/>
  <c r="N441" i="2"/>
  <c r="M441" i="2"/>
  <c r="Q441" i="2" s="1"/>
  <c r="I441" i="2"/>
  <c r="V440" i="2"/>
  <c r="U440" i="2"/>
  <c r="T440" i="2"/>
  <c r="S440" i="2" s="1"/>
  <c r="P440" i="2"/>
  <c r="O440" i="2"/>
  <c r="N440" i="2"/>
  <c r="M440" i="2"/>
  <c r="Q440" i="2" s="1"/>
  <c r="I440" i="2"/>
  <c r="V439" i="2"/>
  <c r="U439" i="2"/>
  <c r="T439" i="2"/>
  <c r="S439" i="2" s="1"/>
  <c r="P439" i="2"/>
  <c r="O439" i="2"/>
  <c r="N439" i="2"/>
  <c r="M439" i="2"/>
  <c r="Q439" i="2" s="1"/>
  <c r="I439" i="2"/>
  <c r="V438" i="2"/>
  <c r="U438" i="2"/>
  <c r="T438" i="2"/>
  <c r="S438" i="2" s="1"/>
  <c r="P438" i="2"/>
  <c r="O438" i="2"/>
  <c r="N438" i="2"/>
  <c r="M438" i="2"/>
  <c r="I438" i="2"/>
  <c r="V437" i="2"/>
  <c r="U437" i="2"/>
  <c r="T437" i="2"/>
  <c r="S437" i="2" s="1"/>
  <c r="P437" i="2"/>
  <c r="O437" i="2"/>
  <c r="N437" i="2"/>
  <c r="M437" i="2"/>
  <c r="I437" i="2"/>
  <c r="V436" i="2"/>
  <c r="U436" i="2"/>
  <c r="T436" i="2"/>
  <c r="S436" i="2" s="1"/>
  <c r="P436" i="2"/>
  <c r="O436" i="2"/>
  <c r="N436" i="2"/>
  <c r="M436" i="2"/>
  <c r="Q436" i="2" s="1"/>
  <c r="I436" i="2"/>
  <c r="V435" i="2"/>
  <c r="U435" i="2"/>
  <c r="T435" i="2"/>
  <c r="S435" i="2" s="1"/>
  <c r="P435" i="2"/>
  <c r="O435" i="2"/>
  <c r="N435" i="2"/>
  <c r="M435" i="2"/>
  <c r="Q435" i="2" s="1"/>
  <c r="I435" i="2"/>
  <c r="V434" i="2"/>
  <c r="U434" i="2"/>
  <c r="T434" i="2"/>
  <c r="S434" i="2" s="1"/>
  <c r="P434" i="2"/>
  <c r="O434" i="2"/>
  <c r="N434" i="2"/>
  <c r="M434" i="2"/>
  <c r="Q434" i="2" s="1"/>
  <c r="I434" i="2"/>
  <c r="V433" i="2"/>
  <c r="U433" i="2"/>
  <c r="T433" i="2"/>
  <c r="S433" i="2" s="1"/>
  <c r="P433" i="2"/>
  <c r="O433" i="2"/>
  <c r="N433" i="2"/>
  <c r="M433" i="2"/>
  <c r="I433" i="2"/>
  <c r="V432" i="2"/>
  <c r="U432" i="2"/>
  <c r="T432" i="2"/>
  <c r="S432" i="2" s="1"/>
  <c r="P432" i="2"/>
  <c r="O432" i="2"/>
  <c r="N432" i="2"/>
  <c r="M432" i="2"/>
  <c r="I432" i="2"/>
  <c r="V431" i="2"/>
  <c r="U431" i="2"/>
  <c r="T431" i="2"/>
  <c r="S431" i="2" s="1"/>
  <c r="P431" i="2"/>
  <c r="O431" i="2"/>
  <c r="N431" i="2"/>
  <c r="M431" i="2"/>
  <c r="Q431" i="2" s="1"/>
  <c r="I431" i="2"/>
  <c r="V430" i="2"/>
  <c r="U430" i="2"/>
  <c r="T430" i="2"/>
  <c r="S430" i="2" s="1"/>
  <c r="P430" i="2"/>
  <c r="O430" i="2"/>
  <c r="N430" i="2"/>
  <c r="M430" i="2"/>
  <c r="Q430" i="2" s="1"/>
  <c r="I430" i="2"/>
  <c r="V429" i="2"/>
  <c r="U429" i="2"/>
  <c r="T429" i="2"/>
  <c r="S429" i="2" s="1"/>
  <c r="P429" i="2"/>
  <c r="O429" i="2"/>
  <c r="N429" i="2"/>
  <c r="M429" i="2"/>
  <c r="Q429" i="2" s="1"/>
  <c r="I429" i="2"/>
  <c r="V428" i="2"/>
  <c r="U428" i="2"/>
  <c r="T428" i="2"/>
  <c r="S428" i="2" s="1"/>
  <c r="P428" i="2"/>
  <c r="O428" i="2"/>
  <c r="N428" i="2"/>
  <c r="M428" i="2"/>
  <c r="I428" i="2"/>
  <c r="V427" i="2"/>
  <c r="U427" i="2"/>
  <c r="T427" i="2"/>
  <c r="S427" i="2" s="1"/>
  <c r="P427" i="2"/>
  <c r="O427" i="2"/>
  <c r="N427" i="2"/>
  <c r="M427" i="2"/>
  <c r="I427" i="2"/>
  <c r="V426" i="2"/>
  <c r="U426" i="2"/>
  <c r="T426" i="2"/>
  <c r="S426" i="2" s="1"/>
  <c r="P426" i="2"/>
  <c r="O426" i="2"/>
  <c r="N426" i="2"/>
  <c r="M426" i="2"/>
  <c r="Q426" i="2" s="1"/>
  <c r="I426" i="2"/>
  <c r="V425" i="2"/>
  <c r="U425" i="2"/>
  <c r="T425" i="2"/>
  <c r="S425" i="2" s="1"/>
  <c r="P425" i="2"/>
  <c r="O425" i="2"/>
  <c r="N425" i="2"/>
  <c r="M425" i="2"/>
  <c r="Q425" i="2" s="1"/>
  <c r="I425" i="2"/>
  <c r="V424" i="2"/>
  <c r="U424" i="2"/>
  <c r="T424" i="2"/>
  <c r="S424" i="2" s="1"/>
  <c r="P424" i="2"/>
  <c r="O424" i="2"/>
  <c r="N424" i="2"/>
  <c r="M424" i="2"/>
  <c r="Q424" i="2" s="1"/>
  <c r="I424" i="2"/>
  <c r="V423" i="2"/>
  <c r="U423" i="2"/>
  <c r="T423" i="2"/>
  <c r="S423" i="2" s="1"/>
  <c r="P423" i="2"/>
  <c r="O423" i="2"/>
  <c r="N423" i="2"/>
  <c r="M423" i="2"/>
  <c r="I423" i="2"/>
  <c r="V422" i="2"/>
  <c r="U422" i="2"/>
  <c r="T422" i="2"/>
  <c r="S422" i="2" s="1"/>
  <c r="P422" i="2"/>
  <c r="O422" i="2"/>
  <c r="N422" i="2"/>
  <c r="M422" i="2"/>
  <c r="I422" i="2"/>
  <c r="V421" i="2"/>
  <c r="U421" i="2"/>
  <c r="T421" i="2"/>
  <c r="S421" i="2" s="1"/>
  <c r="P421" i="2"/>
  <c r="O421" i="2"/>
  <c r="N421" i="2"/>
  <c r="M421" i="2"/>
  <c r="Q421" i="2" s="1"/>
  <c r="I421" i="2"/>
  <c r="V420" i="2"/>
  <c r="U420" i="2"/>
  <c r="T420" i="2"/>
  <c r="S420" i="2" s="1"/>
  <c r="P420" i="2"/>
  <c r="O420" i="2"/>
  <c r="N420" i="2"/>
  <c r="M420" i="2"/>
  <c r="Q420" i="2" s="1"/>
  <c r="I420" i="2"/>
  <c r="V419" i="2"/>
  <c r="U419" i="2"/>
  <c r="T419" i="2"/>
  <c r="S419" i="2" s="1"/>
  <c r="P419" i="2"/>
  <c r="O419" i="2"/>
  <c r="N419" i="2"/>
  <c r="M419" i="2"/>
  <c r="Q419" i="2" s="1"/>
  <c r="I419" i="2"/>
  <c r="V418" i="2"/>
  <c r="U418" i="2"/>
  <c r="T418" i="2"/>
  <c r="S418" i="2" s="1"/>
  <c r="P418" i="2"/>
  <c r="O418" i="2"/>
  <c r="N418" i="2"/>
  <c r="M418" i="2"/>
  <c r="I418" i="2"/>
  <c r="V417" i="2"/>
  <c r="U417" i="2"/>
  <c r="T417" i="2"/>
  <c r="S417" i="2" s="1"/>
  <c r="P417" i="2"/>
  <c r="O417" i="2"/>
  <c r="N417" i="2"/>
  <c r="M417" i="2"/>
  <c r="I417" i="2"/>
  <c r="V416" i="2"/>
  <c r="U416" i="2"/>
  <c r="T416" i="2"/>
  <c r="S416" i="2" s="1"/>
  <c r="P416" i="2"/>
  <c r="O416" i="2"/>
  <c r="N416" i="2"/>
  <c r="M416" i="2"/>
  <c r="Q416" i="2" s="1"/>
  <c r="I416" i="2"/>
  <c r="V415" i="2"/>
  <c r="U415" i="2"/>
  <c r="T415" i="2"/>
  <c r="S415" i="2" s="1"/>
  <c r="P415" i="2"/>
  <c r="O415" i="2"/>
  <c r="N415" i="2"/>
  <c r="M415" i="2"/>
  <c r="Q415" i="2" s="1"/>
  <c r="I415" i="2"/>
  <c r="V414" i="2"/>
  <c r="U414" i="2"/>
  <c r="T414" i="2"/>
  <c r="S414" i="2" s="1"/>
  <c r="P414" i="2"/>
  <c r="O414" i="2"/>
  <c r="N414" i="2"/>
  <c r="M414" i="2"/>
  <c r="Q414" i="2" s="1"/>
  <c r="I414" i="2"/>
  <c r="V413" i="2"/>
  <c r="U413" i="2"/>
  <c r="T413" i="2"/>
  <c r="S413" i="2" s="1"/>
  <c r="P413" i="2"/>
  <c r="O413" i="2"/>
  <c r="N413" i="2"/>
  <c r="M413" i="2"/>
  <c r="I413" i="2"/>
  <c r="V412" i="2"/>
  <c r="U412" i="2"/>
  <c r="T412" i="2"/>
  <c r="S412" i="2" s="1"/>
  <c r="P412" i="2"/>
  <c r="O412" i="2"/>
  <c r="N412" i="2"/>
  <c r="M412" i="2"/>
  <c r="I412" i="2"/>
  <c r="V411" i="2"/>
  <c r="U411" i="2"/>
  <c r="T411" i="2"/>
  <c r="S411" i="2" s="1"/>
  <c r="P411" i="2"/>
  <c r="O411" i="2"/>
  <c r="N411" i="2"/>
  <c r="M411" i="2"/>
  <c r="Q411" i="2" s="1"/>
  <c r="I411" i="2"/>
  <c r="V410" i="2"/>
  <c r="U410" i="2"/>
  <c r="T410" i="2"/>
  <c r="S410" i="2" s="1"/>
  <c r="P410" i="2"/>
  <c r="O410" i="2"/>
  <c r="N410" i="2"/>
  <c r="M410" i="2"/>
  <c r="Q410" i="2" s="1"/>
  <c r="I410" i="2"/>
  <c r="V409" i="2"/>
  <c r="U409" i="2"/>
  <c r="T409" i="2"/>
  <c r="S409" i="2"/>
  <c r="P409" i="2"/>
  <c r="O409" i="2"/>
  <c r="N409" i="2"/>
  <c r="M409" i="2"/>
  <c r="Q409" i="2" s="1"/>
  <c r="I409" i="2"/>
  <c r="V408" i="2"/>
  <c r="U408" i="2"/>
  <c r="T408" i="2"/>
  <c r="S408" i="2" s="1"/>
  <c r="P408" i="2"/>
  <c r="O408" i="2"/>
  <c r="N408" i="2"/>
  <c r="M408" i="2"/>
  <c r="I408" i="2"/>
  <c r="V407" i="2"/>
  <c r="U407" i="2"/>
  <c r="T407" i="2"/>
  <c r="S407" i="2" s="1"/>
  <c r="P407" i="2"/>
  <c r="O407" i="2"/>
  <c r="N407" i="2"/>
  <c r="M407" i="2"/>
  <c r="I407" i="2"/>
  <c r="V406" i="2"/>
  <c r="U406" i="2"/>
  <c r="T406" i="2"/>
  <c r="S406" i="2" s="1"/>
  <c r="P406" i="2"/>
  <c r="O406" i="2"/>
  <c r="N406" i="2"/>
  <c r="M406" i="2"/>
  <c r="I406" i="2"/>
  <c r="V405" i="2"/>
  <c r="U405" i="2"/>
  <c r="T405" i="2"/>
  <c r="S405" i="2" s="1"/>
  <c r="P405" i="2"/>
  <c r="O405" i="2"/>
  <c r="N405" i="2"/>
  <c r="M405" i="2"/>
  <c r="I405" i="2"/>
  <c r="V404" i="2"/>
  <c r="U404" i="2"/>
  <c r="T404" i="2"/>
  <c r="S404" i="2" s="1"/>
  <c r="P404" i="2"/>
  <c r="O404" i="2"/>
  <c r="N404" i="2"/>
  <c r="M404" i="2"/>
  <c r="Q404" i="2" s="1"/>
  <c r="I404" i="2"/>
  <c r="V403" i="2"/>
  <c r="U403" i="2"/>
  <c r="T403" i="2"/>
  <c r="S403" i="2" s="1"/>
  <c r="P403" i="2"/>
  <c r="O403" i="2"/>
  <c r="N403" i="2"/>
  <c r="M403" i="2"/>
  <c r="I403" i="2"/>
  <c r="V402" i="2"/>
  <c r="U402" i="2"/>
  <c r="T402" i="2"/>
  <c r="S402" i="2" s="1"/>
  <c r="P402" i="2"/>
  <c r="O402" i="2"/>
  <c r="N402" i="2"/>
  <c r="M402" i="2"/>
  <c r="I402" i="2"/>
  <c r="V401" i="2"/>
  <c r="U401" i="2"/>
  <c r="T401" i="2"/>
  <c r="S401" i="2" s="1"/>
  <c r="P401" i="2"/>
  <c r="O401" i="2"/>
  <c r="N401" i="2"/>
  <c r="M401" i="2"/>
  <c r="I401" i="2"/>
  <c r="V400" i="2"/>
  <c r="U400" i="2"/>
  <c r="T400" i="2"/>
  <c r="S400" i="2" s="1"/>
  <c r="P400" i="2"/>
  <c r="O400" i="2"/>
  <c r="N400" i="2"/>
  <c r="M400" i="2"/>
  <c r="I400" i="2"/>
  <c r="V399" i="2"/>
  <c r="U399" i="2"/>
  <c r="T399" i="2"/>
  <c r="S399" i="2" s="1"/>
  <c r="P399" i="2"/>
  <c r="O399" i="2"/>
  <c r="N399" i="2"/>
  <c r="M399" i="2"/>
  <c r="Q399" i="2" s="1"/>
  <c r="I399" i="2"/>
  <c r="V398" i="2"/>
  <c r="U398" i="2"/>
  <c r="T398" i="2"/>
  <c r="S398" i="2" s="1"/>
  <c r="P398" i="2"/>
  <c r="O398" i="2"/>
  <c r="N398" i="2"/>
  <c r="M398" i="2"/>
  <c r="I398" i="2"/>
  <c r="V397" i="2"/>
  <c r="U397" i="2"/>
  <c r="T397" i="2"/>
  <c r="S397" i="2" s="1"/>
  <c r="P397" i="2"/>
  <c r="O397" i="2"/>
  <c r="N397" i="2"/>
  <c r="M397" i="2"/>
  <c r="I397" i="2"/>
  <c r="V396" i="2"/>
  <c r="U396" i="2"/>
  <c r="T396" i="2"/>
  <c r="S396" i="2" s="1"/>
  <c r="P396" i="2"/>
  <c r="O396" i="2"/>
  <c r="N396" i="2"/>
  <c r="M396" i="2"/>
  <c r="I396" i="2"/>
  <c r="V395" i="2"/>
  <c r="U395" i="2"/>
  <c r="T395" i="2"/>
  <c r="S395" i="2" s="1"/>
  <c r="P395" i="2"/>
  <c r="O395" i="2"/>
  <c r="N395" i="2"/>
  <c r="M395" i="2"/>
  <c r="I395" i="2"/>
  <c r="V394" i="2"/>
  <c r="U394" i="2"/>
  <c r="T394" i="2"/>
  <c r="S394" i="2" s="1"/>
  <c r="P394" i="2"/>
  <c r="O394" i="2"/>
  <c r="N394" i="2"/>
  <c r="M394" i="2"/>
  <c r="Q394" i="2" s="1"/>
  <c r="I394" i="2"/>
  <c r="V393" i="2"/>
  <c r="U393" i="2"/>
  <c r="T393" i="2"/>
  <c r="S393" i="2" s="1"/>
  <c r="P393" i="2"/>
  <c r="O393" i="2"/>
  <c r="N393" i="2"/>
  <c r="M393" i="2"/>
  <c r="I393" i="2"/>
  <c r="V392" i="2"/>
  <c r="U392" i="2"/>
  <c r="T392" i="2"/>
  <c r="S392" i="2" s="1"/>
  <c r="P392" i="2"/>
  <c r="O392" i="2"/>
  <c r="N392" i="2"/>
  <c r="M392" i="2"/>
  <c r="I392" i="2"/>
  <c r="V391" i="2"/>
  <c r="U391" i="2"/>
  <c r="T391" i="2"/>
  <c r="S391" i="2" s="1"/>
  <c r="P391" i="2"/>
  <c r="O391" i="2"/>
  <c r="N391" i="2"/>
  <c r="M391" i="2"/>
  <c r="I391" i="2"/>
  <c r="V390" i="2"/>
  <c r="U390" i="2"/>
  <c r="T390" i="2"/>
  <c r="S390" i="2" s="1"/>
  <c r="P390" i="2"/>
  <c r="O390" i="2"/>
  <c r="N390" i="2"/>
  <c r="M390" i="2"/>
  <c r="I390" i="2"/>
  <c r="V389" i="2"/>
  <c r="U389" i="2"/>
  <c r="T389" i="2"/>
  <c r="S389" i="2" s="1"/>
  <c r="P389" i="2"/>
  <c r="O389" i="2"/>
  <c r="N389" i="2"/>
  <c r="M389" i="2"/>
  <c r="Q389" i="2" s="1"/>
  <c r="I389" i="2"/>
  <c r="V388" i="2"/>
  <c r="U388" i="2"/>
  <c r="T388" i="2"/>
  <c r="S388" i="2" s="1"/>
  <c r="P388" i="2"/>
  <c r="O388" i="2"/>
  <c r="N388" i="2"/>
  <c r="M388" i="2"/>
  <c r="I388" i="2"/>
  <c r="V387" i="2"/>
  <c r="U387" i="2"/>
  <c r="T387" i="2"/>
  <c r="S387" i="2" s="1"/>
  <c r="P387" i="2"/>
  <c r="O387" i="2"/>
  <c r="N387" i="2"/>
  <c r="M387" i="2"/>
  <c r="I387" i="2"/>
  <c r="V386" i="2"/>
  <c r="U386" i="2"/>
  <c r="T386" i="2"/>
  <c r="S386" i="2" s="1"/>
  <c r="P386" i="2"/>
  <c r="O386" i="2"/>
  <c r="N386" i="2"/>
  <c r="M386" i="2"/>
  <c r="I386" i="2"/>
  <c r="V385" i="2"/>
  <c r="U385" i="2"/>
  <c r="T385" i="2"/>
  <c r="S385" i="2" s="1"/>
  <c r="P385" i="2"/>
  <c r="O385" i="2"/>
  <c r="N385" i="2"/>
  <c r="M385" i="2"/>
  <c r="I385" i="2"/>
  <c r="V384" i="2"/>
  <c r="U384" i="2"/>
  <c r="T384" i="2"/>
  <c r="S384" i="2" s="1"/>
  <c r="P384" i="2"/>
  <c r="O384" i="2"/>
  <c r="N384" i="2"/>
  <c r="M384" i="2"/>
  <c r="Q384" i="2" s="1"/>
  <c r="I384" i="2"/>
  <c r="V383" i="2"/>
  <c r="U383" i="2"/>
  <c r="T383" i="2"/>
  <c r="S383" i="2" s="1"/>
  <c r="P383" i="2"/>
  <c r="O383" i="2"/>
  <c r="N383" i="2"/>
  <c r="M383" i="2"/>
  <c r="I383" i="2"/>
  <c r="V382" i="2"/>
  <c r="U382" i="2"/>
  <c r="T382" i="2"/>
  <c r="S382" i="2" s="1"/>
  <c r="P382" i="2"/>
  <c r="O382" i="2"/>
  <c r="N382" i="2"/>
  <c r="M382" i="2"/>
  <c r="I382" i="2"/>
  <c r="V381" i="2"/>
  <c r="U381" i="2"/>
  <c r="T381" i="2"/>
  <c r="S381" i="2" s="1"/>
  <c r="P381" i="2"/>
  <c r="O381" i="2"/>
  <c r="N381" i="2"/>
  <c r="M381" i="2"/>
  <c r="I381" i="2"/>
  <c r="V380" i="2"/>
  <c r="U380" i="2"/>
  <c r="T380" i="2"/>
  <c r="S380" i="2" s="1"/>
  <c r="P380" i="2"/>
  <c r="O380" i="2"/>
  <c r="N380" i="2"/>
  <c r="M380" i="2"/>
  <c r="I380" i="2"/>
  <c r="V379" i="2"/>
  <c r="U379" i="2"/>
  <c r="T379" i="2"/>
  <c r="S379" i="2" s="1"/>
  <c r="P379" i="2"/>
  <c r="O379" i="2"/>
  <c r="N379" i="2"/>
  <c r="M379" i="2"/>
  <c r="Q379" i="2" s="1"/>
  <c r="I379" i="2"/>
  <c r="V378" i="2"/>
  <c r="U378" i="2"/>
  <c r="T378" i="2"/>
  <c r="S378" i="2" s="1"/>
  <c r="P378" i="2"/>
  <c r="O378" i="2"/>
  <c r="N378" i="2"/>
  <c r="M378" i="2"/>
  <c r="I378" i="2"/>
  <c r="V377" i="2"/>
  <c r="U377" i="2"/>
  <c r="T377" i="2"/>
  <c r="S377" i="2" s="1"/>
  <c r="P377" i="2"/>
  <c r="O377" i="2"/>
  <c r="N377" i="2"/>
  <c r="M377" i="2"/>
  <c r="I377" i="2"/>
  <c r="V376" i="2"/>
  <c r="U376" i="2"/>
  <c r="T376" i="2"/>
  <c r="S376" i="2" s="1"/>
  <c r="P376" i="2"/>
  <c r="O376" i="2"/>
  <c r="N376" i="2"/>
  <c r="M376" i="2"/>
  <c r="I376" i="2"/>
  <c r="V375" i="2"/>
  <c r="U375" i="2"/>
  <c r="T375" i="2"/>
  <c r="S375" i="2" s="1"/>
  <c r="P375" i="2"/>
  <c r="O375" i="2"/>
  <c r="N375" i="2"/>
  <c r="M375" i="2"/>
  <c r="I375" i="2"/>
  <c r="V374" i="2"/>
  <c r="U374" i="2"/>
  <c r="T374" i="2"/>
  <c r="S374" i="2" s="1"/>
  <c r="P374" i="2"/>
  <c r="O374" i="2"/>
  <c r="N374" i="2"/>
  <c r="M374" i="2"/>
  <c r="Q374" i="2" s="1"/>
  <c r="I374" i="2"/>
  <c r="V373" i="2"/>
  <c r="U373" i="2"/>
  <c r="T373" i="2"/>
  <c r="S373" i="2" s="1"/>
  <c r="P373" i="2"/>
  <c r="O373" i="2"/>
  <c r="N373" i="2"/>
  <c r="M373" i="2"/>
  <c r="I373" i="2"/>
  <c r="V372" i="2"/>
  <c r="U372" i="2"/>
  <c r="T372" i="2"/>
  <c r="S372" i="2" s="1"/>
  <c r="P372" i="2"/>
  <c r="O372" i="2"/>
  <c r="N372" i="2"/>
  <c r="M372" i="2"/>
  <c r="I372" i="2"/>
  <c r="V371" i="2"/>
  <c r="U371" i="2"/>
  <c r="T371" i="2"/>
  <c r="S371" i="2" s="1"/>
  <c r="P371" i="2"/>
  <c r="O371" i="2"/>
  <c r="N371" i="2"/>
  <c r="M371" i="2"/>
  <c r="I371" i="2"/>
  <c r="V370" i="2"/>
  <c r="U370" i="2"/>
  <c r="T370" i="2"/>
  <c r="S370" i="2" s="1"/>
  <c r="P370" i="2"/>
  <c r="O370" i="2"/>
  <c r="N370" i="2"/>
  <c r="M370" i="2"/>
  <c r="I370" i="2"/>
  <c r="V369" i="2"/>
  <c r="U369" i="2"/>
  <c r="T369" i="2"/>
  <c r="S369" i="2" s="1"/>
  <c r="P369" i="2"/>
  <c r="O369" i="2"/>
  <c r="N369" i="2"/>
  <c r="M369" i="2"/>
  <c r="Q369" i="2" s="1"/>
  <c r="I369" i="2"/>
  <c r="V368" i="2"/>
  <c r="U368" i="2"/>
  <c r="T368" i="2"/>
  <c r="S368" i="2" s="1"/>
  <c r="P368" i="2"/>
  <c r="O368" i="2"/>
  <c r="N368" i="2"/>
  <c r="M368" i="2"/>
  <c r="I368" i="2"/>
  <c r="V367" i="2"/>
  <c r="U367" i="2"/>
  <c r="T367" i="2"/>
  <c r="S367" i="2" s="1"/>
  <c r="P367" i="2"/>
  <c r="O367" i="2"/>
  <c r="N367" i="2"/>
  <c r="M367" i="2"/>
  <c r="I367" i="2"/>
  <c r="V366" i="2"/>
  <c r="U366" i="2"/>
  <c r="T366" i="2"/>
  <c r="S366" i="2" s="1"/>
  <c r="P366" i="2"/>
  <c r="O366" i="2"/>
  <c r="N366" i="2"/>
  <c r="M366" i="2"/>
  <c r="I366" i="2"/>
  <c r="V365" i="2"/>
  <c r="U365" i="2"/>
  <c r="T365" i="2"/>
  <c r="S365" i="2" s="1"/>
  <c r="P365" i="2"/>
  <c r="O365" i="2"/>
  <c r="N365" i="2"/>
  <c r="M365" i="2"/>
  <c r="Q365" i="2" s="1"/>
  <c r="I365" i="2"/>
  <c r="V364" i="2"/>
  <c r="U364" i="2"/>
  <c r="T364" i="2"/>
  <c r="S364" i="2" s="1"/>
  <c r="P364" i="2"/>
  <c r="O364" i="2"/>
  <c r="N364" i="2"/>
  <c r="M364" i="2"/>
  <c r="I364" i="2"/>
  <c r="V363" i="2"/>
  <c r="U363" i="2"/>
  <c r="T363" i="2"/>
  <c r="S363" i="2" s="1"/>
  <c r="P363" i="2"/>
  <c r="O363" i="2"/>
  <c r="N363" i="2"/>
  <c r="M363" i="2"/>
  <c r="I363" i="2"/>
  <c r="V362" i="2"/>
  <c r="U362" i="2"/>
  <c r="T362" i="2"/>
  <c r="S362" i="2" s="1"/>
  <c r="P362" i="2"/>
  <c r="O362" i="2"/>
  <c r="N362" i="2"/>
  <c r="M362" i="2"/>
  <c r="Q362" i="2" s="1"/>
  <c r="I362" i="2"/>
  <c r="V361" i="2"/>
  <c r="U361" i="2"/>
  <c r="T361" i="2"/>
  <c r="S361" i="2" s="1"/>
  <c r="P361" i="2"/>
  <c r="O361" i="2"/>
  <c r="N361" i="2"/>
  <c r="M361" i="2"/>
  <c r="I361" i="2"/>
  <c r="V360" i="2"/>
  <c r="U360" i="2"/>
  <c r="T360" i="2"/>
  <c r="S360" i="2" s="1"/>
  <c r="P360" i="2"/>
  <c r="O360" i="2"/>
  <c r="N360" i="2"/>
  <c r="M360" i="2"/>
  <c r="I360" i="2"/>
  <c r="V359" i="2"/>
  <c r="U359" i="2"/>
  <c r="T359" i="2"/>
  <c r="S359" i="2" s="1"/>
  <c r="P359" i="2"/>
  <c r="O359" i="2"/>
  <c r="N359" i="2"/>
  <c r="M359" i="2"/>
  <c r="Q359" i="2" s="1"/>
  <c r="I359" i="2"/>
  <c r="V358" i="2"/>
  <c r="U358" i="2"/>
  <c r="T358" i="2"/>
  <c r="S358" i="2" s="1"/>
  <c r="P358" i="2"/>
  <c r="O358" i="2"/>
  <c r="N358" i="2"/>
  <c r="M358" i="2"/>
  <c r="Q358" i="2" s="1"/>
  <c r="I358" i="2"/>
  <c r="V357" i="2"/>
  <c r="U357" i="2"/>
  <c r="T357" i="2"/>
  <c r="S357" i="2" s="1"/>
  <c r="P357" i="2"/>
  <c r="O357" i="2"/>
  <c r="N357" i="2"/>
  <c r="M357" i="2"/>
  <c r="Q357" i="2" s="1"/>
  <c r="I357" i="2"/>
  <c r="V356" i="2"/>
  <c r="U356" i="2"/>
  <c r="T356" i="2"/>
  <c r="S356" i="2" s="1"/>
  <c r="P356" i="2"/>
  <c r="O356" i="2"/>
  <c r="N356" i="2"/>
  <c r="M356" i="2"/>
  <c r="I356" i="2"/>
  <c r="V355" i="2"/>
  <c r="U355" i="2"/>
  <c r="T355" i="2"/>
  <c r="S355" i="2" s="1"/>
  <c r="P355" i="2"/>
  <c r="O355" i="2"/>
  <c r="N355" i="2"/>
  <c r="M355" i="2"/>
  <c r="I355" i="2"/>
  <c r="V354" i="2"/>
  <c r="U354" i="2"/>
  <c r="T354" i="2"/>
  <c r="S354" i="2" s="1"/>
  <c r="P354" i="2"/>
  <c r="O354" i="2"/>
  <c r="N354" i="2"/>
  <c r="M354" i="2"/>
  <c r="Q354" i="2" s="1"/>
  <c r="I354" i="2"/>
  <c r="V353" i="2"/>
  <c r="U353" i="2"/>
  <c r="T353" i="2"/>
  <c r="S353" i="2" s="1"/>
  <c r="P353" i="2"/>
  <c r="O353" i="2"/>
  <c r="N353" i="2"/>
  <c r="M353" i="2"/>
  <c r="Q353" i="2" s="1"/>
  <c r="I353" i="2"/>
  <c r="V352" i="2"/>
  <c r="U352" i="2"/>
  <c r="T352" i="2"/>
  <c r="S352" i="2" s="1"/>
  <c r="P352" i="2"/>
  <c r="O352" i="2"/>
  <c r="N352" i="2"/>
  <c r="M352" i="2"/>
  <c r="Q352" i="2" s="1"/>
  <c r="I352" i="2"/>
  <c r="V351" i="2"/>
  <c r="U351" i="2"/>
  <c r="T351" i="2"/>
  <c r="S351" i="2" s="1"/>
  <c r="P351" i="2"/>
  <c r="O351" i="2"/>
  <c r="N351" i="2"/>
  <c r="M351" i="2"/>
  <c r="I351" i="2"/>
  <c r="V350" i="2"/>
  <c r="U350" i="2"/>
  <c r="T350" i="2"/>
  <c r="S350" i="2" s="1"/>
  <c r="P350" i="2"/>
  <c r="O350" i="2"/>
  <c r="N350" i="2"/>
  <c r="M350" i="2"/>
  <c r="I350" i="2"/>
  <c r="V349" i="2"/>
  <c r="U349" i="2"/>
  <c r="T349" i="2"/>
  <c r="S349" i="2" s="1"/>
  <c r="P349" i="2"/>
  <c r="O349" i="2"/>
  <c r="N349" i="2"/>
  <c r="M349" i="2"/>
  <c r="Q349" i="2" s="1"/>
  <c r="I349" i="2"/>
  <c r="V348" i="2"/>
  <c r="U348" i="2"/>
  <c r="T348" i="2"/>
  <c r="S348" i="2" s="1"/>
  <c r="P348" i="2"/>
  <c r="O348" i="2"/>
  <c r="N348" i="2"/>
  <c r="M348" i="2"/>
  <c r="Q348" i="2" s="1"/>
  <c r="I348" i="2"/>
  <c r="V347" i="2"/>
  <c r="U347" i="2"/>
  <c r="T347" i="2"/>
  <c r="S347" i="2" s="1"/>
  <c r="P347" i="2"/>
  <c r="O347" i="2"/>
  <c r="N347" i="2"/>
  <c r="M347" i="2"/>
  <c r="Q347" i="2" s="1"/>
  <c r="I347" i="2"/>
  <c r="V346" i="2"/>
  <c r="U346" i="2"/>
  <c r="T346" i="2"/>
  <c r="S346" i="2" s="1"/>
  <c r="P346" i="2"/>
  <c r="O346" i="2"/>
  <c r="N346" i="2"/>
  <c r="M346" i="2"/>
  <c r="I346" i="2"/>
  <c r="V345" i="2"/>
  <c r="U345" i="2"/>
  <c r="T345" i="2"/>
  <c r="S345" i="2" s="1"/>
  <c r="P345" i="2"/>
  <c r="O345" i="2"/>
  <c r="N345" i="2"/>
  <c r="M345" i="2"/>
  <c r="I345" i="2"/>
  <c r="V344" i="2"/>
  <c r="U344" i="2"/>
  <c r="T344" i="2"/>
  <c r="S344" i="2" s="1"/>
  <c r="P344" i="2"/>
  <c r="O344" i="2"/>
  <c r="N344" i="2"/>
  <c r="M344" i="2"/>
  <c r="Q344" i="2" s="1"/>
  <c r="I344" i="2"/>
  <c r="V343" i="2"/>
  <c r="U343" i="2"/>
  <c r="T343" i="2"/>
  <c r="S343" i="2" s="1"/>
  <c r="P343" i="2"/>
  <c r="O343" i="2"/>
  <c r="N343" i="2"/>
  <c r="M343" i="2"/>
  <c r="Q343" i="2" s="1"/>
  <c r="I343" i="2"/>
  <c r="V342" i="2"/>
  <c r="U342" i="2"/>
  <c r="T342" i="2"/>
  <c r="S342" i="2" s="1"/>
  <c r="P342" i="2"/>
  <c r="O342" i="2"/>
  <c r="N342" i="2"/>
  <c r="M342" i="2"/>
  <c r="Q342" i="2" s="1"/>
  <c r="I342" i="2"/>
  <c r="V341" i="2"/>
  <c r="U341" i="2"/>
  <c r="T341" i="2"/>
  <c r="S341" i="2" s="1"/>
  <c r="P341" i="2"/>
  <c r="O341" i="2"/>
  <c r="N341" i="2"/>
  <c r="M341" i="2"/>
  <c r="I341" i="2"/>
  <c r="V340" i="2"/>
  <c r="U340" i="2"/>
  <c r="T340" i="2"/>
  <c r="S340" i="2" s="1"/>
  <c r="P340" i="2"/>
  <c r="O340" i="2"/>
  <c r="N340" i="2"/>
  <c r="M340" i="2"/>
  <c r="I340" i="2"/>
  <c r="V339" i="2"/>
  <c r="U339" i="2"/>
  <c r="T339" i="2"/>
  <c r="S339" i="2" s="1"/>
  <c r="P339" i="2"/>
  <c r="O339" i="2"/>
  <c r="N339" i="2"/>
  <c r="M339" i="2"/>
  <c r="Q339" i="2" s="1"/>
  <c r="I339" i="2"/>
  <c r="V338" i="2"/>
  <c r="U338" i="2"/>
  <c r="T338" i="2"/>
  <c r="S338" i="2" s="1"/>
  <c r="P338" i="2"/>
  <c r="O338" i="2"/>
  <c r="N338" i="2"/>
  <c r="M338" i="2"/>
  <c r="Q338" i="2" s="1"/>
  <c r="I338" i="2"/>
  <c r="V337" i="2"/>
  <c r="U337" i="2"/>
  <c r="T337" i="2"/>
  <c r="S337" i="2" s="1"/>
  <c r="P337" i="2"/>
  <c r="O337" i="2"/>
  <c r="N337" i="2"/>
  <c r="M337" i="2"/>
  <c r="Q337" i="2" s="1"/>
  <c r="I337" i="2"/>
  <c r="V336" i="2"/>
  <c r="U336" i="2"/>
  <c r="T336" i="2"/>
  <c r="S336" i="2" s="1"/>
  <c r="P336" i="2"/>
  <c r="O336" i="2"/>
  <c r="N336" i="2"/>
  <c r="M336" i="2"/>
  <c r="I336" i="2"/>
  <c r="V335" i="2"/>
  <c r="U335" i="2"/>
  <c r="T335" i="2"/>
  <c r="S335" i="2" s="1"/>
  <c r="P335" i="2"/>
  <c r="O335" i="2"/>
  <c r="N335" i="2"/>
  <c r="M335" i="2"/>
  <c r="I335" i="2"/>
  <c r="V334" i="2"/>
  <c r="U334" i="2"/>
  <c r="T334" i="2"/>
  <c r="S334" i="2" s="1"/>
  <c r="P334" i="2"/>
  <c r="O334" i="2"/>
  <c r="N334" i="2"/>
  <c r="M334" i="2"/>
  <c r="Q334" i="2" s="1"/>
  <c r="I334" i="2"/>
  <c r="V333" i="2"/>
  <c r="U333" i="2"/>
  <c r="T333" i="2"/>
  <c r="S333" i="2" s="1"/>
  <c r="P333" i="2"/>
  <c r="O333" i="2"/>
  <c r="N333" i="2"/>
  <c r="M333" i="2"/>
  <c r="Q333" i="2" s="1"/>
  <c r="I333" i="2"/>
  <c r="V332" i="2"/>
  <c r="U332" i="2"/>
  <c r="T332" i="2"/>
  <c r="S332" i="2" s="1"/>
  <c r="P332" i="2"/>
  <c r="O332" i="2"/>
  <c r="N332" i="2"/>
  <c r="M332" i="2"/>
  <c r="Q332" i="2" s="1"/>
  <c r="I332" i="2"/>
  <c r="V331" i="2"/>
  <c r="U331" i="2"/>
  <c r="T331" i="2"/>
  <c r="S331" i="2" s="1"/>
  <c r="P331" i="2"/>
  <c r="O331" i="2"/>
  <c r="N331" i="2"/>
  <c r="M331" i="2"/>
  <c r="I331" i="2"/>
  <c r="V330" i="2"/>
  <c r="U330" i="2"/>
  <c r="T330" i="2"/>
  <c r="S330" i="2" s="1"/>
  <c r="P330" i="2"/>
  <c r="O330" i="2"/>
  <c r="N330" i="2"/>
  <c r="M330" i="2"/>
  <c r="I330" i="2"/>
  <c r="V329" i="2"/>
  <c r="U329" i="2"/>
  <c r="T329" i="2"/>
  <c r="S329" i="2" s="1"/>
  <c r="P329" i="2"/>
  <c r="O329" i="2"/>
  <c r="N329" i="2"/>
  <c r="M329" i="2"/>
  <c r="Q329" i="2" s="1"/>
  <c r="I329" i="2"/>
  <c r="V328" i="2"/>
  <c r="U328" i="2"/>
  <c r="T328" i="2"/>
  <c r="S328" i="2" s="1"/>
  <c r="P328" i="2"/>
  <c r="O328" i="2"/>
  <c r="N328" i="2"/>
  <c r="M328" i="2"/>
  <c r="Q328" i="2" s="1"/>
  <c r="I328" i="2"/>
  <c r="V327" i="2"/>
  <c r="U327" i="2"/>
  <c r="T327" i="2"/>
  <c r="S327" i="2" s="1"/>
  <c r="P327" i="2"/>
  <c r="O327" i="2"/>
  <c r="N327" i="2"/>
  <c r="M327" i="2"/>
  <c r="Q327" i="2" s="1"/>
  <c r="I327" i="2"/>
  <c r="V326" i="2"/>
  <c r="U326" i="2"/>
  <c r="T326" i="2"/>
  <c r="S326" i="2" s="1"/>
  <c r="P326" i="2"/>
  <c r="O326" i="2"/>
  <c r="N326" i="2"/>
  <c r="M326" i="2"/>
  <c r="I326" i="2"/>
  <c r="V325" i="2"/>
  <c r="U325" i="2"/>
  <c r="T325" i="2"/>
  <c r="S325" i="2" s="1"/>
  <c r="P325" i="2"/>
  <c r="O325" i="2"/>
  <c r="N325" i="2"/>
  <c r="M325" i="2"/>
  <c r="I325" i="2"/>
  <c r="V324" i="2"/>
  <c r="U324" i="2"/>
  <c r="T324" i="2"/>
  <c r="S324" i="2" s="1"/>
  <c r="P324" i="2"/>
  <c r="O324" i="2"/>
  <c r="N324" i="2"/>
  <c r="M324" i="2"/>
  <c r="Q324" i="2" s="1"/>
  <c r="I324" i="2"/>
  <c r="V323" i="2"/>
  <c r="U323" i="2"/>
  <c r="T323" i="2"/>
  <c r="S323" i="2" s="1"/>
  <c r="P323" i="2"/>
  <c r="O323" i="2"/>
  <c r="N323" i="2"/>
  <c r="M323" i="2"/>
  <c r="Q323" i="2" s="1"/>
  <c r="I323" i="2"/>
  <c r="V322" i="2"/>
  <c r="U322" i="2"/>
  <c r="T322" i="2"/>
  <c r="S322" i="2" s="1"/>
  <c r="P322" i="2"/>
  <c r="O322" i="2"/>
  <c r="N322" i="2"/>
  <c r="M322" i="2"/>
  <c r="Q322" i="2" s="1"/>
  <c r="I322" i="2"/>
  <c r="V321" i="2"/>
  <c r="U321" i="2"/>
  <c r="T321" i="2"/>
  <c r="S321" i="2" s="1"/>
  <c r="P321" i="2"/>
  <c r="O321" i="2"/>
  <c r="N321" i="2"/>
  <c r="M321" i="2"/>
  <c r="I321" i="2"/>
  <c r="V320" i="2"/>
  <c r="U320" i="2"/>
  <c r="T320" i="2"/>
  <c r="S320" i="2" s="1"/>
  <c r="P320" i="2"/>
  <c r="O320" i="2"/>
  <c r="N320" i="2"/>
  <c r="M320" i="2"/>
  <c r="I320" i="2"/>
  <c r="V319" i="2"/>
  <c r="U319" i="2"/>
  <c r="T319" i="2"/>
  <c r="S319" i="2" s="1"/>
  <c r="P319" i="2"/>
  <c r="O319" i="2"/>
  <c r="N319" i="2"/>
  <c r="M319" i="2"/>
  <c r="Q319" i="2" s="1"/>
  <c r="I319" i="2"/>
  <c r="V318" i="2"/>
  <c r="U318" i="2"/>
  <c r="T318" i="2"/>
  <c r="S318" i="2" s="1"/>
  <c r="P318" i="2"/>
  <c r="O318" i="2"/>
  <c r="N318" i="2"/>
  <c r="M318" i="2"/>
  <c r="Q318" i="2" s="1"/>
  <c r="I318" i="2"/>
  <c r="V317" i="2"/>
  <c r="U317" i="2"/>
  <c r="T317" i="2"/>
  <c r="S317" i="2" s="1"/>
  <c r="P317" i="2"/>
  <c r="O317" i="2"/>
  <c r="N317" i="2"/>
  <c r="M317" i="2"/>
  <c r="Q317" i="2" s="1"/>
  <c r="I317" i="2"/>
  <c r="V316" i="2"/>
  <c r="U316" i="2"/>
  <c r="T316" i="2"/>
  <c r="S316" i="2" s="1"/>
  <c r="P316" i="2"/>
  <c r="O316" i="2"/>
  <c r="N316" i="2"/>
  <c r="M316" i="2"/>
  <c r="I316" i="2"/>
  <c r="V315" i="2"/>
  <c r="U315" i="2"/>
  <c r="T315" i="2"/>
  <c r="S315" i="2" s="1"/>
  <c r="P315" i="2"/>
  <c r="O315" i="2"/>
  <c r="N315" i="2"/>
  <c r="M315" i="2"/>
  <c r="I315" i="2"/>
  <c r="V314" i="2"/>
  <c r="U314" i="2"/>
  <c r="T314" i="2"/>
  <c r="S314" i="2" s="1"/>
  <c r="P314" i="2"/>
  <c r="O314" i="2"/>
  <c r="N314" i="2"/>
  <c r="M314" i="2"/>
  <c r="Q314" i="2" s="1"/>
  <c r="I314" i="2"/>
  <c r="V313" i="2"/>
  <c r="U313" i="2"/>
  <c r="T313" i="2"/>
  <c r="S313" i="2" s="1"/>
  <c r="P313" i="2"/>
  <c r="O313" i="2"/>
  <c r="N313" i="2"/>
  <c r="M313" i="2"/>
  <c r="Q313" i="2" s="1"/>
  <c r="I313" i="2"/>
  <c r="V312" i="2"/>
  <c r="U312" i="2"/>
  <c r="T312" i="2"/>
  <c r="S312" i="2" s="1"/>
  <c r="P312" i="2"/>
  <c r="O312" i="2"/>
  <c r="N312" i="2"/>
  <c r="M312" i="2"/>
  <c r="Q312" i="2" s="1"/>
  <c r="I312" i="2"/>
  <c r="V311" i="2"/>
  <c r="U311" i="2"/>
  <c r="T311" i="2"/>
  <c r="S311" i="2" s="1"/>
  <c r="P311" i="2"/>
  <c r="O311" i="2"/>
  <c r="N311" i="2"/>
  <c r="M311" i="2"/>
  <c r="I311" i="2"/>
  <c r="V310" i="2"/>
  <c r="U310" i="2"/>
  <c r="T310" i="2"/>
  <c r="S310" i="2" s="1"/>
  <c r="P310" i="2"/>
  <c r="O310" i="2"/>
  <c r="N310" i="2"/>
  <c r="M310" i="2"/>
  <c r="I310" i="2"/>
  <c r="V309" i="2"/>
  <c r="U309" i="2"/>
  <c r="T309" i="2"/>
  <c r="S309" i="2" s="1"/>
  <c r="P309" i="2"/>
  <c r="O309" i="2"/>
  <c r="N309" i="2"/>
  <c r="M309" i="2"/>
  <c r="Q309" i="2" s="1"/>
  <c r="I309" i="2"/>
  <c r="V308" i="2"/>
  <c r="U308" i="2"/>
  <c r="T308" i="2"/>
  <c r="S308" i="2" s="1"/>
  <c r="P308" i="2"/>
  <c r="O308" i="2"/>
  <c r="N308" i="2"/>
  <c r="M308" i="2"/>
  <c r="Q308" i="2" s="1"/>
  <c r="I308" i="2"/>
  <c r="V307" i="2"/>
  <c r="U307" i="2"/>
  <c r="T307" i="2"/>
  <c r="S307" i="2" s="1"/>
  <c r="P307" i="2"/>
  <c r="O307" i="2"/>
  <c r="N307" i="2"/>
  <c r="M307" i="2"/>
  <c r="Q307" i="2" s="1"/>
  <c r="I307" i="2"/>
  <c r="V306" i="2"/>
  <c r="U306" i="2"/>
  <c r="T306" i="2"/>
  <c r="S306" i="2" s="1"/>
  <c r="P306" i="2"/>
  <c r="O306" i="2"/>
  <c r="N306" i="2"/>
  <c r="M306" i="2"/>
  <c r="I306" i="2"/>
  <c r="V305" i="2"/>
  <c r="U305" i="2"/>
  <c r="T305" i="2"/>
  <c r="S305" i="2" s="1"/>
  <c r="P305" i="2"/>
  <c r="O305" i="2"/>
  <c r="N305" i="2"/>
  <c r="M305" i="2"/>
  <c r="I305" i="2"/>
  <c r="V304" i="2"/>
  <c r="U304" i="2"/>
  <c r="T304" i="2"/>
  <c r="S304" i="2" s="1"/>
  <c r="P304" i="2"/>
  <c r="O304" i="2"/>
  <c r="N304" i="2"/>
  <c r="M304" i="2"/>
  <c r="Q304" i="2" s="1"/>
  <c r="I304" i="2"/>
  <c r="V303" i="2"/>
  <c r="U303" i="2"/>
  <c r="T303" i="2"/>
  <c r="S303" i="2" s="1"/>
  <c r="P303" i="2"/>
  <c r="O303" i="2"/>
  <c r="N303" i="2"/>
  <c r="M303" i="2"/>
  <c r="Q303" i="2" s="1"/>
  <c r="I303" i="2"/>
  <c r="V302" i="2"/>
  <c r="U302" i="2"/>
  <c r="T302" i="2"/>
  <c r="S302" i="2" s="1"/>
  <c r="P302" i="2"/>
  <c r="O302" i="2"/>
  <c r="N302" i="2"/>
  <c r="M302" i="2"/>
  <c r="Q302" i="2" s="1"/>
  <c r="I302" i="2"/>
  <c r="V301" i="2"/>
  <c r="U301" i="2"/>
  <c r="T301" i="2"/>
  <c r="S301" i="2" s="1"/>
  <c r="P301" i="2"/>
  <c r="O301" i="2"/>
  <c r="N301" i="2"/>
  <c r="M301" i="2"/>
  <c r="I301" i="2"/>
  <c r="V300" i="2"/>
  <c r="U300" i="2"/>
  <c r="T300" i="2"/>
  <c r="S300" i="2" s="1"/>
  <c r="P300" i="2"/>
  <c r="O300" i="2"/>
  <c r="N300" i="2"/>
  <c r="M300" i="2"/>
  <c r="I300" i="2"/>
  <c r="V299" i="2"/>
  <c r="U299" i="2"/>
  <c r="T299" i="2"/>
  <c r="S299" i="2" s="1"/>
  <c r="P299" i="2"/>
  <c r="O299" i="2"/>
  <c r="N299" i="2"/>
  <c r="M299" i="2"/>
  <c r="Q299" i="2" s="1"/>
  <c r="I299" i="2"/>
  <c r="V298" i="2"/>
  <c r="U298" i="2"/>
  <c r="T298" i="2"/>
  <c r="S298" i="2" s="1"/>
  <c r="P298" i="2"/>
  <c r="O298" i="2"/>
  <c r="N298" i="2"/>
  <c r="M298" i="2"/>
  <c r="Q298" i="2" s="1"/>
  <c r="I298" i="2"/>
  <c r="V297" i="2"/>
  <c r="U297" i="2"/>
  <c r="T297" i="2"/>
  <c r="S297" i="2" s="1"/>
  <c r="P297" i="2"/>
  <c r="O297" i="2"/>
  <c r="N297" i="2"/>
  <c r="M297" i="2"/>
  <c r="Q297" i="2" s="1"/>
  <c r="I297" i="2"/>
  <c r="V296" i="2"/>
  <c r="U296" i="2"/>
  <c r="T296" i="2"/>
  <c r="S296" i="2" s="1"/>
  <c r="P296" i="2"/>
  <c r="O296" i="2"/>
  <c r="N296" i="2"/>
  <c r="M296" i="2"/>
  <c r="I296" i="2"/>
  <c r="V295" i="2"/>
  <c r="U295" i="2"/>
  <c r="T295" i="2"/>
  <c r="S295" i="2" s="1"/>
  <c r="P295" i="2"/>
  <c r="O295" i="2"/>
  <c r="N295" i="2"/>
  <c r="M295" i="2"/>
  <c r="I295" i="2"/>
  <c r="V294" i="2"/>
  <c r="U294" i="2"/>
  <c r="T294" i="2"/>
  <c r="S294" i="2" s="1"/>
  <c r="P294" i="2"/>
  <c r="O294" i="2"/>
  <c r="N294" i="2"/>
  <c r="M294" i="2"/>
  <c r="Q294" i="2" s="1"/>
  <c r="I294" i="2"/>
  <c r="V293" i="2"/>
  <c r="U293" i="2"/>
  <c r="T293" i="2"/>
  <c r="S293" i="2" s="1"/>
  <c r="P293" i="2"/>
  <c r="O293" i="2"/>
  <c r="N293" i="2"/>
  <c r="M293" i="2"/>
  <c r="Q293" i="2" s="1"/>
  <c r="I293" i="2"/>
  <c r="V292" i="2"/>
  <c r="U292" i="2"/>
  <c r="T292" i="2"/>
  <c r="S292" i="2" s="1"/>
  <c r="P292" i="2"/>
  <c r="O292" i="2"/>
  <c r="N292" i="2"/>
  <c r="M292" i="2"/>
  <c r="Q292" i="2" s="1"/>
  <c r="I292" i="2"/>
  <c r="V291" i="2"/>
  <c r="U291" i="2"/>
  <c r="T291" i="2"/>
  <c r="S291" i="2" s="1"/>
  <c r="P291" i="2"/>
  <c r="O291" i="2"/>
  <c r="N291" i="2"/>
  <c r="M291" i="2"/>
  <c r="I291" i="2"/>
  <c r="V290" i="2"/>
  <c r="U290" i="2"/>
  <c r="T290" i="2"/>
  <c r="S290" i="2" s="1"/>
  <c r="P290" i="2"/>
  <c r="O290" i="2"/>
  <c r="N290" i="2"/>
  <c r="M290" i="2"/>
  <c r="I290" i="2"/>
  <c r="V289" i="2"/>
  <c r="U289" i="2"/>
  <c r="T289" i="2"/>
  <c r="S289" i="2" s="1"/>
  <c r="P289" i="2"/>
  <c r="O289" i="2"/>
  <c r="N289" i="2"/>
  <c r="M289" i="2"/>
  <c r="Q289" i="2" s="1"/>
  <c r="I289" i="2"/>
  <c r="V288" i="2"/>
  <c r="U288" i="2"/>
  <c r="T288" i="2"/>
  <c r="S288" i="2" s="1"/>
  <c r="P288" i="2"/>
  <c r="O288" i="2"/>
  <c r="N288" i="2"/>
  <c r="M288" i="2"/>
  <c r="Q288" i="2" s="1"/>
  <c r="I288" i="2"/>
  <c r="V287" i="2"/>
  <c r="U287" i="2"/>
  <c r="T287" i="2"/>
  <c r="S287" i="2" s="1"/>
  <c r="P287" i="2"/>
  <c r="O287" i="2"/>
  <c r="N287" i="2"/>
  <c r="M287" i="2"/>
  <c r="Q287" i="2" s="1"/>
  <c r="I287" i="2"/>
  <c r="V286" i="2"/>
  <c r="U286" i="2"/>
  <c r="T286" i="2"/>
  <c r="S286" i="2" s="1"/>
  <c r="P286" i="2"/>
  <c r="O286" i="2"/>
  <c r="N286" i="2"/>
  <c r="M286" i="2"/>
  <c r="I286" i="2"/>
  <c r="V285" i="2"/>
  <c r="U285" i="2"/>
  <c r="T285" i="2"/>
  <c r="S285" i="2" s="1"/>
  <c r="P285" i="2"/>
  <c r="O285" i="2"/>
  <c r="N285" i="2"/>
  <c r="M285" i="2"/>
  <c r="I285" i="2"/>
  <c r="V284" i="2"/>
  <c r="U284" i="2"/>
  <c r="T284" i="2"/>
  <c r="S284" i="2" s="1"/>
  <c r="P284" i="2"/>
  <c r="O284" i="2"/>
  <c r="N284" i="2"/>
  <c r="M284" i="2"/>
  <c r="Q284" i="2" s="1"/>
  <c r="I284" i="2"/>
  <c r="V283" i="2"/>
  <c r="U283" i="2"/>
  <c r="T283" i="2"/>
  <c r="S283" i="2" s="1"/>
  <c r="P283" i="2"/>
  <c r="O283" i="2"/>
  <c r="N283" i="2"/>
  <c r="M283" i="2"/>
  <c r="Q283" i="2" s="1"/>
  <c r="I283" i="2"/>
  <c r="V282" i="2"/>
  <c r="U282" i="2"/>
  <c r="T282" i="2"/>
  <c r="S282" i="2" s="1"/>
  <c r="P282" i="2"/>
  <c r="O282" i="2"/>
  <c r="N282" i="2"/>
  <c r="M282" i="2"/>
  <c r="Q282" i="2" s="1"/>
  <c r="I282" i="2"/>
  <c r="V281" i="2"/>
  <c r="U281" i="2"/>
  <c r="T281" i="2"/>
  <c r="S281" i="2" s="1"/>
  <c r="P281" i="2"/>
  <c r="O281" i="2"/>
  <c r="N281" i="2"/>
  <c r="M281" i="2"/>
  <c r="Q281" i="2" s="1"/>
  <c r="I281" i="2"/>
  <c r="V280" i="2"/>
  <c r="U280" i="2"/>
  <c r="T280" i="2"/>
  <c r="S280" i="2" s="1"/>
  <c r="P280" i="2"/>
  <c r="O280" i="2"/>
  <c r="N280" i="2"/>
  <c r="M280" i="2"/>
  <c r="I280" i="2"/>
  <c r="V279" i="2"/>
  <c r="U279" i="2"/>
  <c r="T279" i="2"/>
  <c r="S279" i="2" s="1"/>
  <c r="P279" i="2"/>
  <c r="O279" i="2"/>
  <c r="N279" i="2"/>
  <c r="M279" i="2"/>
  <c r="Q279" i="2" s="1"/>
  <c r="I279" i="2"/>
  <c r="V278" i="2"/>
  <c r="U278" i="2"/>
  <c r="T278" i="2"/>
  <c r="S278" i="2" s="1"/>
  <c r="P278" i="2"/>
  <c r="O278" i="2"/>
  <c r="N278" i="2"/>
  <c r="M278" i="2"/>
  <c r="Q278" i="2" s="1"/>
  <c r="I278" i="2"/>
  <c r="V277" i="2"/>
  <c r="U277" i="2"/>
  <c r="T277" i="2"/>
  <c r="S277" i="2" s="1"/>
  <c r="P277" i="2"/>
  <c r="O277" i="2"/>
  <c r="N277" i="2"/>
  <c r="M277" i="2"/>
  <c r="Q277" i="2" s="1"/>
  <c r="I277" i="2"/>
  <c r="V276" i="2"/>
  <c r="U276" i="2"/>
  <c r="T276" i="2"/>
  <c r="S276" i="2" s="1"/>
  <c r="P276" i="2"/>
  <c r="O276" i="2"/>
  <c r="N276" i="2"/>
  <c r="M276" i="2"/>
  <c r="Q276" i="2" s="1"/>
  <c r="I276" i="2"/>
  <c r="V275" i="2"/>
  <c r="U275" i="2"/>
  <c r="T275" i="2"/>
  <c r="S275" i="2" s="1"/>
  <c r="P275" i="2"/>
  <c r="O275" i="2"/>
  <c r="N275" i="2"/>
  <c r="M275" i="2"/>
  <c r="I275" i="2"/>
  <c r="V274" i="2"/>
  <c r="U274" i="2"/>
  <c r="T274" i="2"/>
  <c r="S274" i="2" s="1"/>
  <c r="P274" i="2"/>
  <c r="O274" i="2"/>
  <c r="N274" i="2"/>
  <c r="M274" i="2"/>
  <c r="Q274" i="2" s="1"/>
  <c r="I274" i="2"/>
  <c r="V273" i="2"/>
  <c r="U273" i="2"/>
  <c r="T273" i="2"/>
  <c r="S273" i="2" s="1"/>
  <c r="P273" i="2"/>
  <c r="O273" i="2"/>
  <c r="N273" i="2"/>
  <c r="M273" i="2"/>
  <c r="Q273" i="2" s="1"/>
  <c r="I273" i="2"/>
  <c r="V272" i="2"/>
  <c r="U272" i="2"/>
  <c r="T272" i="2"/>
  <c r="S272" i="2" s="1"/>
  <c r="P272" i="2"/>
  <c r="O272" i="2"/>
  <c r="N272" i="2"/>
  <c r="M272" i="2"/>
  <c r="Q272" i="2" s="1"/>
  <c r="I272" i="2"/>
  <c r="V271" i="2"/>
  <c r="U271" i="2"/>
  <c r="T271" i="2"/>
  <c r="S271" i="2" s="1"/>
  <c r="P271" i="2"/>
  <c r="O271" i="2"/>
  <c r="N271" i="2"/>
  <c r="M271" i="2"/>
  <c r="Q271" i="2" s="1"/>
  <c r="I271" i="2"/>
  <c r="V270" i="2"/>
  <c r="U270" i="2"/>
  <c r="T270" i="2"/>
  <c r="S270" i="2" s="1"/>
  <c r="P270" i="2"/>
  <c r="O270" i="2"/>
  <c r="N270" i="2"/>
  <c r="M270" i="2"/>
  <c r="I270" i="2"/>
  <c r="V269" i="2"/>
  <c r="U269" i="2"/>
  <c r="T269" i="2"/>
  <c r="S269" i="2" s="1"/>
  <c r="P269" i="2"/>
  <c r="O269" i="2"/>
  <c r="N269" i="2"/>
  <c r="M269" i="2"/>
  <c r="Q269" i="2" s="1"/>
  <c r="I269" i="2"/>
  <c r="V268" i="2"/>
  <c r="U268" i="2"/>
  <c r="T268" i="2"/>
  <c r="S268" i="2" s="1"/>
  <c r="P268" i="2"/>
  <c r="O268" i="2"/>
  <c r="N268" i="2"/>
  <c r="M268" i="2"/>
  <c r="Q268" i="2" s="1"/>
  <c r="I268" i="2"/>
  <c r="V267" i="2"/>
  <c r="U267" i="2"/>
  <c r="T267" i="2"/>
  <c r="S267" i="2" s="1"/>
  <c r="P267" i="2"/>
  <c r="O267" i="2"/>
  <c r="N267" i="2"/>
  <c r="M267" i="2"/>
  <c r="Q267" i="2" s="1"/>
  <c r="I267" i="2"/>
  <c r="V266" i="2"/>
  <c r="U266" i="2"/>
  <c r="T266" i="2"/>
  <c r="S266" i="2" s="1"/>
  <c r="P266" i="2"/>
  <c r="O266" i="2"/>
  <c r="N266" i="2"/>
  <c r="M266" i="2"/>
  <c r="Q266" i="2" s="1"/>
  <c r="I266" i="2"/>
  <c r="V265" i="2"/>
  <c r="U265" i="2"/>
  <c r="T265" i="2"/>
  <c r="S265" i="2" s="1"/>
  <c r="P265" i="2"/>
  <c r="O265" i="2"/>
  <c r="N265" i="2"/>
  <c r="M265" i="2"/>
  <c r="I265" i="2"/>
  <c r="V264" i="2"/>
  <c r="U264" i="2"/>
  <c r="T264" i="2"/>
  <c r="S264" i="2" s="1"/>
  <c r="P264" i="2"/>
  <c r="O264" i="2"/>
  <c r="N264" i="2"/>
  <c r="M264" i="2"/>
  <c r="Q264" i="2" s="1"/>
  <c r="I264" i="2"/>
  <c r="V263" i="2"/>
  <c r="U263" i="2"/>
  <c r="T263" i="2"/>
  <c r="S263" i="2" s="1"/>
  <c r="P263" i="2"/>
  <c r="O263" i="2"/>
  <c r="N263" i="2"/>
  <c r="M263" i="2"/>
  <c r="Q263" i="2" s="1"/>
  <c r="I263" i="2"/>
  <c r="V262" i="2"/>
  <c r="U262" i="2"/>
  <c r="T262" i="2"/>
  <c r="S262" i="2" s="1"/>
  <c r="P262" i="2"/>
  <c r="O262" i="2"/>
  <c r="N262" i="2"/>
  <c r="M262" i="2"/>
  <c r="Q262" i="2" s="1"/>
  <c r="I262" i="2"/>
  <c r="V261" i="2"/>
  <c r="U261" i="2"/>
  <c r="T261" i="2"/>
  <c r="S261" i="2" s="1"/>
  <c r="P261" i="2"/>
  <c r="O261" i="2"/>
  <c r="N261" i="2"/>
  <c r="M261" i="2"/>
  <c r="Q261" i="2" s="1"/>
  <c r="I261" i="2"/>
  <c r="V260" i="2"/>
  <c r="U260" i="2"/>
  <c r="T260" i="2"/>
  <c r="S260" i="2" s="1"/>
  <c r="P260" i="2"/>
  <c r="O260" i="2"/>
  <c r="N260" i="2"/>
  <c r="M260" i="2"/>
  <c r="I260" i="2"/>
  <c r="V259" i="2"/>
  <c r="U259" i="2"/>
  <c r="T259" i="2"/>
  <c r="S259" i="2" s="1"/>
  <c r="P259" i="2"/>
  <c r="O259" i="2"/>
  <c r="N259" i="2"/>
  <c r="M259" i="2"/>
  <c r="Q259" i="2" s="1"/>
  <c r="I259" i="2"/>
  <c r="V258" i="2"/>
  <c r="U258" i="2"/>
  <c r="T258" i="2"/>
  <c r="S258" i="2" s="1"/>
  <c r="P258" i="2"/>
  <c r="O258" i="2"/>
  <c r="N258" i="2"/>
  <c r="M258" i="2"/>
  <c r="Q258" i="2" s="1"/>
  <c r="I258" i="2"/>
  <c r="V257" i="2"/>
  <c r="U257" i="2"/>
  <c r="T257" i="2"/>
  <c r="S257" i="2" s="1"/>
  <c r="P257" i="2"/>
  <c r="O257" i="2"/>
  <c r="N257" i="2"/>
  <c r="M257" i="2"/>
  <c r="Q257" i="2" s="1"/>
  <c r="I257" i="2"/>
  <c r="V256" i="2"/>
  <c r="U256" i="2"/>
  <c r="T256" i="2"/>
  <c r="S256" i="2" s="1"/>
  <c r="P256" i="2"/>
  <c r="O256" i="2"/>
  <c r="N256" i="2"/>
  <c r="M256" i="2"/>
  <c r="Q256" i="2" s="1"/>
  <c r="I256" i="2"/>
  <c r="V255" i="2"/>
  <c r="U255" i="2"/>
  <c r="T255" i="2"/>
  <c r="S255" i="2" s="1"/>
  <c r="P255" i="2"/>
  <c r="O255" i="2"/>
  <c r="N255" i="2"/>
  <c r="M255" i="2"/>
  <c r="I255" i="2"/>
  <c r="V254" i="2"/>
  <c r="U254" i="2"/>
  <c r="T254" i="2"/>
  <c r="S254" i="2" s="1"/>
  <c r="P254" i="2"/>
  <c r="O254" i="2"/>
  <c r="N254" i="2"/>
  <c r="M254" i="2"/>
  <c r="Q254" i="2" s="1"/>
  <c r="I254" i="2"/>
  <c r="V253" i="2"/>
  <c r="U253" i="2"/>
  <c r="T253" i="2"/>
  <c r="S253" i="2" s="1"/>
  <c r="P253" i="2"/>
  <c r="O253" i="2"/>
  <c r="N253" i="2"/>
  <c r="M253" i="2"/>
  <c r="Q253" i="2" s="1"/>
  <c r="I253" i="2"/>
  <c r="V252" i="2"/>
  <c r="U252" i="2"/>
  <c r="T252" i="2"/>
  <c r="S252" i="2" s="1"/>
  <c r="P252" i="2"/>
  <c r="O252" i="2"/>
  <c r="N252" i="2"/>
  <c r="M252" i="2"/>
  <c r="Q252" i="2" s="1"/>
  <c r="I252" i="2"/>
  <c r="V251" i="2"/>
  <c r="U251" i="2"/>
  <c r="T251" i="2"/>
  <c r="S251" i="2" s="1"/>
  <c r="P251" i="2"/>
  <c r="O251" i="2"/>
  <c r="N251" i="2"/>
  <c r="M251" i="2"/>
  <c r="I251" i="2"/>
  <c r="V250" i="2"/>
  <c r="U250" i="2"/>
  <c r="T250" i="2"/>
  <c r="S250" i="2"/>
  <c r="P250" i="2"/>
  <c r="O250" i="2"/>
  <c r="N250" i="2"/>
  <c r="M250" i="2"/>
  <c r="I250" i="2"/>
  <c r="V249" i="2"/>
  <c r="U249" i="2"/>
  <c r="T249" i="2"/>
  <c r="S249" i="2"/>
  <c r="P249" i="2"/>
  <c r="O249" i="2"/>
  <c r="N249" i="2"/>
  <c r="M249" i="2"/>
  <c r="I249" i="2"/>
  <c r="V248" i="2"/>
  <c r="U248" i="2"/>
  <c r="T248" i="2"/>
  <c r="S248" i="2" s="1"/>
  <c r="P248" i="2"/>
  <c r="O248" i="2"/>
  <c r="N248" i="2"/>
  <c r="M248" i="2"/>
  <c r="I248" i="2"/>
  <c r="V247" i="2"/>
  <c r="U247" i="2"/>
  <c r="T247" i="2"/>
  <c r="S247" i="2"/>
  <c r="P247" i="2"/>
  <c r="O247" i="2"/>
  <c r="N247" i="2"/>
  <c r="M247" i="2"/>
  <c r="I247" i="2"/>
  <c r="V246" i="2"/>
  <c r="U246" i="2"/>
  <c r="T246" i="2"/>
  <c r="S246" i="2" s="1"/>
  <c r="P246" i="2"/>
  <c r="O246" i="2"/>
  <c r="N246" i="2"/>
  <c r="M246" i="2"/>
  <c r="Q246" i="2" s="1"/>
  <c r="I246" i="2"/>
  <c r="V245" i="2"/>
  <c r="U245" i="2"/>
  <c r="T245" i="2"/>
  <c r="S245" i="2"/>
  <c r="P245" i="2"/>
  <c r="O245" i="2"/>
  <c r="N245" i="2"/>
  <c r="M245" i="2"/>
  <c r="Q245" i="2" s="1"/>
  <c r="I245" i="2"/>
  <c r="V244" i="2"/>
  <c r="U244" i="2"/>
  <c r="T244" i="2"/>
  <c r="S244" i="2" s="1"/>
  <c r="P244" i="2"/>
  <c r="O244" i="2"/>
  <c r="N244" i="2"/>
  <c r="M244" i="2"/>
  <c r="I244" i="2"/>
  <c r="V243" i="2"/>
  <c r="U243" i="2"/>
  <c r="T243" i="2"/>
  <c r="S243" i="2" s="1"/>
  <c r="P243" i="2"/>
  <c r="O243" i="2"/>
  <c r="N243" i="2"/>
  <c r="M243" i="2"/>
  <c r="Q243" i="2" s="1"/>
  <c r="I243" i="2"/>
  <c r="V242" i="2"/>
  <c r="U242" i="2"/>
  <c r="T242" i="2"/>
  <c r="S242" i="2" s="1"/>
  <c r="P242" i="2"/>
  <c r="O242" i="2"/>
  <c r="N242" i="2"/>
  <c r="M242" i="2"/>
  <c r="I242" i="2"/>
  <c r="V241" i="2"/>
  <c r="U241" i="2"/>
  <c r="T241" i="2"/>
  <c r="S241" i="2" s="1"/>
  <c r="P241" i="2"/>
  <c r="O241" i="2"/>
  <c r="N241" i="2"/>
  <c r="M241" i="2"/>
  <c r="I241" i="2"/>
  <c r="V240" i="2"/>
  <c r="U240" i="2"/>
  <c r="T240" i="2"/>
  <c r="S240" i="2" s="1"/>
  <c r="P240" i="2"/>
  <c r="O240" i="2"/>
  <c r="N240" i="2"/>
  <c r="M240" i="2"/>
  <c r="I240" i="2"/>
  <c r="V239" i="2"/>
  <c r="U239" i="2"/>
  <c r="T239" i="2"/>
  <c r="S239" i="2"/>
  <c r="P239" i="2"/>
  <c r="O239" i="2"/>
  <c r="N239" i="2"/>
  <c r="M239" i="2"/>
  <c r="I239" i="2"/>
  <c r="V238" i="2"/>
  <c r="U238" i="2"/>
  <c r="T238" i="2"/>
  <c r="S238" i="2"/>
  <c r="P238" i="2"/>
  <c r="O238" i="2"/>
  <c r="N238" i="2"/>
  <c r="M238" i="2"/>
  <c r="Q238" i="2" s="1"/>
  <c r="I238" i="2"/>
  <c r="V237" i="2"/>
  <c r="U237" i="2"/>
  <c r="T237" i="2"/>
  <c r="S237" i="2" s="1"/>
  <c r="P237" i="2"/>
  <c r="O237" i="2"/>
  <c r="N237" i="2"/>
  <c r="M237" i="2"/>
  <c r="I237" i="2"/>
  <c r="V236" i="2"/>
  <c r="U236" i="2"/>
  <c r="T236" i="2"/>
  <c r="S236" i="2"/>
  <c r="P236" i="2"/>
  <c r="O236" i="2"/>
  <c r="N236" i="2"/>
  <c r="M236" i="2"/>
  <c r="I236" i="2"/>
  <c r="V235" i="2"/>
  <c r="U235" i="2"/>
  <c r="T235" i="2"/>
  <c r="S235" i="2"/>
  <c r="P235" i="2"/>
  <c r="O235" i="2"/>
  <c r="N235" i="2"/>
  <c r="M235" i="2"/>
  <c r="Q235" i="2" s="1"/>
  <c r="I235" i="2"/>
  <c r="V234" i="2"/>
  <c r="U234" i="2"/>
  <c r="T234" i="2"/>
  <c r="S234" i="2" s="1"/>
  <c r="P234" i="2"/>
  <c r="O234" i="2"/>
  <c r="N234" i="2"/>
  <c r="M234" i="2"/>
  <c r="Q234" i="2" s="1"/>
  <c r="I234" i="2"/>
  <c r="V233" i="2"/>
  <c r="U233" i="2"/>
  <c r="T233" i="2"/>
  <c r="S233" i="2" s="1"/>
  <c r="P233" i="2"/>
  <c r="O233" i="2"/>
  <c r="N233" i="2"/>
  <c r="M233" i="2"/>
  <c r="I233" i="2"/>
  <c r="V232" i="2"/>
  <c r="U232" i="2"/>
  <c r="T232" i="2"/>
  <c r="S232" i="2"/>
  <c r="P232" i="2"/>
  <c r="O232" i="2"/>
  <c r="N232" i="2"/>
  <c r="M232" i="2"/>
  <c r="I232" i="2"/>
  <c r="V231" i="2"/>
  <c r="U231" i="2"/>
  <c r="T231" i="2"/>
  <c r="S231" i="2"/>
  <c r="P231" i="2"/>
  <c r="O231" i="2"/>
  <c r="N231" i="2"/>
  <c r="M231" i="2"/>
  <c r="Q231" i="2" s="1"/>
  <c r="I231" i="2"/>
  <c r="V230" i="2"/>
  <c r="U230" i="2"/>
  <c r="T230" i="2"/>
  <c r="S230" i="2"/>
  <c r="P230" i="2"/>
  <c r="O230" i="2"/>
  <c r="N230" i="2"/>
  <c r="M230" i="2"/>
  <c r="I230" i="2"/>
  <c r="V229" i="2"/>
  <c r="U229" i="2"/>
  <c r="T229" i="2"/>
  <c r="S229" i="2"/>
  <c r="P229" i="2"/>
  <c r="O229" i="2"/>
  <c r="N229" i="2"/>
  <c r="M229" i="2"/>
  <c r="I229" i="2"/>
  <c r="V228" i="2"/>
  <c r="U228" i="2"/>
  <c r="T228" i="2"/>
  <c r="S228" i="2" s="1"/>
  <c r="P228" i="2"/>
  <c r="O228" i="2"/>
  <c r="N228" i="2"/>
  <c r="M228" i="2"/>
  <c r="I228" i="2"/>
  <c r="V227" i="2"/>
  <c r="U227" i="2"/>
  <c r="T227" i="2"/>
  <c r="S227" i="2"/>
  <c r="P227" i="2"/>
  <c r="O227" i="2"/>
  <c r="N227" i="2"/>
  <c r="M227" i="2"/>
  <c r="I227" i="2"/>
  <c r="V226" i="2"/>
  <c r="U226" i="2"/>
  <c r="T226" i="2"/>
  <c r="S226" i="2" s="1"/>
  <c r="P226" i="2"/>
  <c r="O226" i="2"/>
  <c r="N226" i="2"/>
  <c r="M226" i="2"/>
  <c r="Q226" i="2" s="1"/>
  <c r="I226" i="2"/>
  <c r="V225" i="2"/>
  <c r="U225" i="2"/>
  <c r="T225" i="2"/>
  <c r="S225" i="2"/>
  <c r="P225" i="2"/>
  <c r="O225" i="2"/>
  <c r="N225" i="2"/>
  <c r="M225" i="2"/>
  <c r="Q225" i="2" s="1"/>
  <c r="I225" i="2"/>
  <c r="V224" i="2"/>
  <c r="U224" i="2"/>
  <c r="T224" i="2"/>
  <c r="S224" i="2" s="1"/>
  <c r="P224" i="2"/>
  <c r="O224" i="2"/>
  <c r="N224" i="2"/>
  <c r="M224" i="2"/>
  <c r="I224" i="2"/>
  <c r="V223" i="2"/>
  <c r="U223" i="2"/>
  <c r="T223" i="2"/>
  <c r="S223" i="2" s="1"/>
  <c r="P223" i="2"/>
  <c r="O223" i="2"/>
  <c r="N223" i="2"/>
  <c r="M223" i="2"/>
  <c r="Q223" i="2" s="1"/>
  <c r="I223" i="2"/>
  <c r="V222" i="2"/>
  <c r="U222" i="2"/>
  <c r="T222" i="2"/>
  <c r="S222" i="2" s="1"/>
  <c r="P222" i="2"/>
  <c r="O222" i="2"/>
  <c r="N222" i="2"/>
  <c r="M222" i="2"/>
  <c r="I222" i="2"/>
  <c r="V221" i="2"/>
  <c r="U221" i="2"/>
  <c r="T221" i="2"/>
  <c r="S221" i="2" s="1"/>
  <c r="P221" i="2"/>
  <c r="O221" i="2"/>
  <c r="N221" i="2"/>
  <c r="M221" i="2"/>
  <c r="I221" i="2"/>
  <c r="V220" i="2"/>
  <c r="U220" i="2"/>
  <c r="T220" i="2"/>
  <c r="S220" i="2" s="1"/>
  <c r="P220" i="2"/>
  <c r="O220" i="2"/>
  <c r="N220" i="2"/>
  <c r="M220" i="2"/>
  <c r="I220" i="2"/>
  <c r="V219" i="2"/>
  <c r="U219" i="2"/>
  <c r="T219" i="2"/>
  <c r="S219" i="2"/>
  <c r="P219" i="2"/>
  <c r="O219" i="2"/>
  <c r="N219" i="2"/>
  <c r="M219" i="2"/>
  <c r="I219" i="2"/>
  <c r="V218" i="2"/>
  <c r="U218" i="2"/>
  <c r="T218" i="2"/>
  <c r="S218" i="2"/>
  <c r="P218" i="2"/>
  <c r="O218" i="2"/>
  <c r="N218" i="2"/>
  <c r="M218" i="2"/>
  <c r="I218" i="2"/>
  <c r="V217" i="2"/>
  <c r="U217" i="2"/>
  <c r="T217" i="2"/>
  <c r="S217" i="2" s="1"/>
  <c r="P217" i="2"/>
  <c r="O217" i="2"/>
  <c r="N217" i="2"/>
  <c r="M217" i="2"/>
  <c r="I217" i="2"/>
  <c r="V216" i="2"/>
  <c r="U216" i="2"/>
  <c r="T216" i="2"/>
  <c r="S216" i="2"/>
  <c r="P216" i="2"/>
  <c r="O216" i="2"/>
  <c r="N216" i="2"/>
  <c r="M216" i="2"/>
  <c r="I216" i="2"/>
  <c r="V215" i="2"/>
  <c r="U215" i="2"/>
  <c r="T215" i="2"/>
  <c r="S215" i="2"/>
  <c r="P215" i="2"/>
  <c r="O215" i="2"/>
  <c r="N215" i="2"/>
  <c r="M215" i="2"/>
  <c r="Q215" i="2" s="1"/>
  <c r="I215" i="2"/>
  <c r="V214" i="2"/>
  <c r="U214" i="2"/>
  <c r="T214" i="2"/>
  <c r="S214" i="2" s="1"/>
  <c r="P214" i="2"/>
  <c r="O214" i="2"/>
  <c r="N214" i="2"/>
  <c r="M214" i="2"/>
  <c r="Q214" i="2" s="1"/>
  <c r="I214" i="2"/>
  <c r="V213" i="2"/>
  <c r="U213" i="2"/>
  <c r="T213" i="2"/>
  <c r="S213" i="2" s="1"/>
  <c r="P213" i="2"/>
  <c r="O213" i="2"/>
  <c r="N213" i="2"/>
  <c r="M213" i="2"/>
  <c r="I213" i="2"/>
  <c r="V212" i="2"/>
  <c r="U212" i="2"/>
  <c r="T212" i="2"/>
  <c r="S212" i="2"/>
  <c r="P212" i="2"/>
  <c r="O212" i="2"/>
  <c r="N212" i="2"/>
  <c r="M212" i="2"/>
  <c r="I212" i="2"/>
  <c r="V211" i="2"/>
  <c r="U211" i="2"/>
  <c r="T211" i="2"/>
  <c r="S211" i="2"/>
  <c r="P211" i="2"/>
  <c r="O211" i="2"/>
  <c r="N211" i="2"/>
  <c r="M211" i="2"/>
  <c r="I211" i="2"/>
  <c r="V210" i="2"/>
  <c r="U210" i="2"/>
  <c r="T210" i="2"/>
  <c r="S210" i="2"/>
  <c r="P210" i="2"/>
  <c r="O210" i="2"/>
  <c r="N210" i="2"/>
  <c r="M210" i="2"/>
  <c r="I210" i="2"/>
  <c r="V209" i="2"/>
  <c r="U209" i="2"/>
  <c r="T209" i="2"/>
  <c r="S209" i="2"/>
  <c r="P209" i="2"/>
  <c r="O209" i="2"/>
  <c r="N209" i="2"/>
  <c r="M209" i="2"/>
  <c r="I209" i="2"/>
  <c r="V208" i="2"/>
  <c r="U208" i="2"/>
  <c r="T208" i="2"/>
  <c r="S208" i="2" s="1"/>
  <c r="P208" i="2"/>
  <c r="O208" i="2"/>
  <c r="N208" i="2"/>
  <c r="M208" i="2"/>
  <c r="Q208" i="2" s="1"/>
  <c r="I208" i="2"/>
  <c r="V207" i="2"/>
  <c r="U207" i="2"/>
  <c r="T207" i="2"/>
  <c r="S207" i="2"/>
  <c r="P207" i="2"/>
  <c r="O207" i="2"/>
  <c r="N207" i="2"/>
  <c r="M207" i="2"/>
  <c r="I207" i="2"/>
  <c r="V206" i="2"/>
  <c r="U206" i="2"/>
  <c r="T206" i="2"/>
  <c r="S206" i="2" s="1"/>
  <c r="P206" i="2"/>
  <c r="O206" i="2"/>
  <c r="N206" i="2"/>
  <c r="M206" i="2"/>
  <c r="Q206" i="2" s="1"/>
  <c r="I206" i="2"/>
  <c r="V205" i="2"/>
  <c r="U205" i="2"/>
  <c r="T205" i="2"/>
  <c r="S205" i="2"/>
  <c r="P205" i="2"/>
  <c r="O205" i="2"/>
  <c r="N205" i="2"/>
  <c r="M205" i="2"/>
  <c r="I205" i="2"/>
  <c r="V204" i="2"/>
  <c r="U204" i="2"/>
  <c r="T204" i="2"/>
  <c r="S204" i="2" s="1"/>
  <c r="P204" i="2"/>
  <c r="O204" i="2"/>
  <c r="N204" i="2"/>
  <c r="M204" i="2"/>
  <c r="I204" i="2"/>
  <c r="V203" i="2"/>
  <c r="U203" i="2"/>
  <c r="T203" i="2"/>
  <c r="S203" i="2" s="1"/>
  <c r="P203" i="2"/>
  <c r="O203" i="2"/>
  <c r="N203" i="2"/>
  <c r="M203" i="2"/>
  <c r="Q203" i="2" s="1"/>
  <c r="I203" i="2"/>
  <c r="V202" i="2"/>
  <c r="U202" i="2"/>
  <c r="T202" i="2"/>
  <c r="S202" i="2"/>
  <c r="P202" i="2"/>
  <c r="O202" i="2"/>
  <c r="N202" i="2"/>
  <c r="M202" i="2"/>
  <c r="I202" i="2"/>
  <c r="V201" i="2"/>
  <c r="U201" i="2"/>
  <c r="T201" i="2"/>
  <c r="S201" i="2" s="1"/>
  <c r="P201" i="2"/>
  <c r="O201" i="2"/>
  <c r="N201" i="2"/>
  <c r="M201" i="2"/>
  <c r="I201" i="2"/>
  <c r="V200" i="2"/>
  <c r="U200" i="2"/>
  <c r="T200" i="2"/>
  <c r="S200" i="2" s="1"/>
  <c r="P200" i="2"/>
  <c r="O200" i="2"/>
  <c r="N200" i="2"/>
  <c r="M200" i="2"/>
  <c r="I200" i="2"/>
  <c r="V199" i="2"/>
  <c r="U199" i="2"/>
  <c r="T199" i="2"/>
  <c r="S199" i="2"/>
  <c r="P199" i="2"/>
  <c r="O199" i="2"/>
  <c r="N199" i="2"/>
  <c r="M199" i="2"/>
  <c r="I199" i="2"/>
  <c r="V198" i="2"/>
  <c r="U198" i="2"/>
  <c r="T198" i="2"/>
  <c r="S198" i="2"/>
  <c r="P198" i="2"/>
  <c r="O198" i="2"/>
  <c r="N198" i="2"/>
  <c r="M198" i="2"/>
  <c r="I198" i="2"/>
  <c r="V197" i="2"/>
  <c r="U197" i="2"/>
  <c r="T197" i="2"/>
  <c r="S197" i="2" s="1"/>
  <c r="P197" i="2"/>
  <c r="O197" i="2"/>
  <c r="N197" i="2"/>
  <c r="M197" i="2"/>
  <c r="I197" i="2"/>
  <c r="V196" i="2"/>
  <c r="U196" i="2"/>
  <c r="T196" i="2"/>
  <c r="S196" i="2"/>
  <c r="P196" i="2"/>
  <c r="O196" i="2"/>
  <c r="N196" i="2"/>
  <c r="M196" i="2"/>
  <c r="I196" i="2"/>
  <c r="V195" i="2"/>
  <c r="U195" i="2"/>
  <c r="T195" i="2"/>
  <c r="S195" i="2"/>
  <c r="P195" i="2"/>
  <c r="O195" i="2"/>
  <c r="N195" i="2"/>
  <c r="M195" i="2"/>
  <c r="Q195" i="2" s="1"/>
  <c r="I195" i="2"/>
  <c r="V194" i="2"/>
  <c r="U194" i="2"/>
  <c r="T194" i="2"/>
  <c r="S194" i="2" s="1"/>
  <c r="P194" i="2"/>
  <c r="O194" i="2"/>
  <c r="N194" i="2"/>
  <c r="M194" i="2"/>
  <c r="Q194" i="2" s="1"/>
  <c r="I194" i="2"/>
  <c r="V193" i="2"/>
  <c r="U193" i="2"/>
  <c r="T193" i="2"/>
  <c r="S193" i="2" s="1"/>
  <c r="P193" i="2"/>
  <c r="O193" i="2"/>
  <c r="N193" i="2"/>
  <c r="M193" i="2"/>
  <c r="I193" i="2"/>
  <c r="V192" i="2"/>
  <c r="U192" i="2"/>
  <c r="T192" i="2"/>
  <c r="S192" i="2"/>
  <c r="P192" i="2"/>
  <c r="O192" i="2"/>
  <c r="N192" i="2"/>
  <c r="M192" i="2"/>
  <c r="I192" i="2"/>
  <c r="V191" i="2"/>
  <c r="U191" i="2"/>
  <c r="T191" i="2"/>
  <c r="S191" i="2"/>
  <c r="P191" i="2"/>
  <c r="O191" i="2"/>
  <c r="N191" i="2"/>
  <c r="M191" i="2"/>
  <c r="I191" i="2"/>
  <c r="V190" i="2"/>
  <c r="U190" i="2"/>
  <c r="T190" i="2"/>
  <c r="S190" i="2"/>
  <c r="P190" i="2"/>
  <c r="O190" i="2"/>
  <c r="N190" i="2"/>
  <c r="M190" i="2"/>
  <c r="I190" i="2"/>
  <c r="V189" i="2"/>
  <c r="U189" i="2"/>
  <c r="T189" i="2"/>
  <c r="S189" i="2"/>
  <c r="P189" i="2"/>
  <c r="O189" i="2"/>
  <c r="N189" i="2"/>
  <c r="M189" i="2"/>
  <c r="I189" i="2"/>
  <c r="V188" i="2"/>
  <c r="U188" i="2"/>
  <c r="T188" i="2"/>
  <c r="S188" i="2" s="1"/>
  <c r="P188" i="2"/>
  <c r="O188" i="2"/>
  <c r="N188" i="2"/>
  <c r="M188" i="2"/>
  <c r="Q188" i="2" s="1"/>
  <c r="I188" i="2"/>
  <c r="V187" i="2"/>
  <c r="U187" i="2"/>
  <c r="T187" i="2"/>
  <c r="S187" i="2"/>
  <c r="P187" i="2"/>
  <c r="O187" i="2"/>
  <c r="N187" i="2"/>
  <c r="M187" i="2"/>
  <c r="I187" i="2"/>
  <c r="V186" i="2"/>
  <c r="U186" i="2"/>
  <c r="T186" i="2"/>
  <c r="S186" i="2" s="1"/>
  <c r="P186" i="2"/>
  <c r="O186" i="2"/>
  <c r="N186" i="2"/>
  <c r="M186" i="2"/>
  <c r="Q186" i="2" s="1"/>
  <c r="I186" i="2"/>
  <c r="V185" i="2"/>
  <c r="U185" i="2"/>
  <c r="T185" i="2"/>
  <c r="S185" i="2"/>
  <c r="P185" i="2"/>
  <c r="O185" i="2"/>
  <c r="N185" i="2"/>
  <c r="M185" i="2"/>
  <c r="I185" i="2"/>
  <c r="V184" i="2"/>
  <c r="U184" i="2"/>
  <c r="T184" i="2"/>
  <c r="S184" i="2" s="1"/>
  <c r="P184" i="2"/>
  <c r="O184" i="2"/>
  <c r="N184" i="2"/>
  <c r="M184" i="2"/>
  <c r="I184" i="2"/>
  <c r="V183" i="2"/>
  <c r="U183" i="2"/>
  <c r="T183" i="2"/>
  <c r="S183" i="2" s="1"/>
  <c r="P183" i="2"/>
  <c r="O183" i="2"/>
  <c r="N183" i="2"/>
  <c r="M183" i="2"/>
  <c r="Q183" i="2" s="1"/>
  <c r="I183" i="2"/>
  <c r="V182" i="2"/>
  <c r="U182" i="2"/>
  <c r="T182" i="2"/>
  <c r="S182" i="2" s="1"/>
  <c r="P182" i="2"/>
  <c r="O182" i="2"/>
  <c r="N182" i="2"/>
  <c r="M182" i="2"/>
  <c r="I182" i="2"/>
  <c r="V181" i="2"/>
  <c r="U181" i="2"/>
  <c r="T181" i="2"/>
  <c r="S181" i="2" s="1"/>
  <c r="P181" i="2"/>
  <c r="O181" i="2"/>
  <c r="N181" i="2"/>
  <c r="M181" i="2"/>
  <c r="I181" i="2"/>
  <c r="V180" i="2"/>
  <c r="U180" i="2"/>
  <c r="T180" i="2"/>
  <c r="S180" i="2" s="1"/>
  <c r="P180" i="2"/>
  <c r="O180" i="2"/>
  <c r="N180" i="2"/>
  <c r="M180" i="2"/>
  <c r="I180" i="2"/>
  <c r="V179" i="2"/>
  <c r="U179" i="2"/>
  <c r="T179" i="2"/>
  <c r="S179" i="2"/>
  <c r="P179" i="2"/>
  <c r="O179" i="2"/>
  <c r="N179" i="2"/>
  <c r="M179" i="2"/>
  <c r="I179" i="2"/>
  <c r="V178" i="2"/>
  <c r="U178" i="2"/>
  <c r="T178" i="2"/>
  <c r="S178" i="2"/>
  <c r="P178" i="2"/>
  <c r="O178" i="2"/>
  <c r="N178" i="2"/>
  <c r="M178" i="2"/>
  <c r="I178" i="2"/>
  <c r="V177" i="2"/>
  <c r="U177" i="2"/>
  <c r="T177" i="2"/>
  <c r="S177" i="2" s="1"/>
  <c r="P177" i="2"/>
  <c r="O177" i="2"/>
  <c r="N177" i="2"/>
  <c r="M177" i="2"/>
  <c r="I177" i="2"/>
  <c r="V176" i="2"/>
  <c r="U176" i="2"/>
  <c r="T176" i="2"/>
  <c r="S176" i="2"/>
  <c r="P176" i="2"/>
  <c r="O176" i="2"/>
  <c r="N176" i="2"/>
  <c r="M176" i="2"/>
  <c r="I176" i="2"/>
  <c r="V175" i="2"/>
  <c r="U175" i="2"/>
  <c r="T175" i="2"/>
  <c r="S175" i="2"/>
  <c r="P175" i="2"/>
  <c r="O175" i="2"/>
  <c r="N175" i="2"/>
  <c r="M175" i="2"/>
  <c r="I175" i="2"/>
  <c r="V174" i="2"/>
  <c r="U174" i="2"/>
  <c r="T174" i="2"/>
  <c r="S174" i="2" s="1"/>
  <c r="P174" i="2"/>
  <c r="O174" i="2"/>
  <c r="N174" i="2"/>
  <c r="M174" i="2"/>
  <c r="Q174" i="2" s="1"/>
  <c r="I174" i="2"/>
  <c r="V173" i="2"/>
  <c r="U173" i="2"/>
  <c r="T173" i="2"/>
  <c r="S173" i="2" s="1"/>
  <c r="P173" i="2"/>
  <c r="O173" i="2"/>
  <c r="N173" i="2"/>
  <c r="M173" i="2"/>
  <c r="I173" i="2"/>
  <c r="V172" i="2"/>
  <c r="U172" i="2"/>
  <c r="T172" i="2"/>
  <c r="S172" i="2"/>
  <c r="P172" i="2"/>
  <c r="O172" i="2"/>
  <c r="N172" i="2"/>
  <c r="M172" i="2"/>
  <c r="I172" i="2"/>
  <c r="V171" i="2"/>
  <c r="U171" i="2"/>
  <c r="T171" i="2"/>
  <c r="S171" i="2"/>
  <c r="P171" i="2"/>
  <c r="O171" i="2"/>
  <c r="N171" i="2"/>
  <c r="M171" i="2"/>
  <c r="I171" i="2"/>
  <c r="V170" i="2"/>
  <c r="U170" i="2"/>
  <c r="T170" i="2"/>
  <c r="S170" i="2"/>
  <c r="P170" i="2"/>
  <c r="O170" i="2"/>
  <c r="N170" i="2"/>
  <c r="M170" i="2"/>
  <c r="I170" i="2"/>
  <c r="V169" i="2"/>
  <c r="U169" i="2"/>
  <c r="T169" i="2"/>
  <c r="S169" i="2"/>
  <c r="P169" i="2"/>
  <c r="O169" i="2"/>
  <c r="N169" i="2"/>
  <c r="M169" i="2"/>
  <c r="I169" i="2"/>
  <c r="V168" i="2"/>
  <c r="U168" i="2"/>
  <c r="T168" i="2"/>
  <c r="S168" i="2" s="1"/>
  <c r="P168" i="2"/>
  <c r="O168" i="2"/>
  <c r="N168" i="2"/>
  <c r="M168" i="2"/>
  <c r="Q168" i="2" s="1"/>
  <c r="I168" i="2"/>
  <c r="V167" i="2"/>
  <c r="U167" i="2"/>
  <c r="T167" i="2"/>
  <c r="S167" i="2"/>
  <c r="P167" i="2"/>
  <c r="O167" i="2"/>
  <c r="N167" i="2"/>
  <c r="M167" i="2"/>
  <c r="Q167" i="2" s="1"/>
  <c r="I167" i="2"/>
  <c r="V166" i="2"/>
  <c r="U166" i="2"/>
  <c r="T166" i="2"/>
  <c r="S166" i="2" s="1"/>
  <c r="P166" i="2"/>
  <c r="O166" i="2"/>
  <c r="N166" i="2"/>
  <c r="M166" i="2"/>
  <c r="Q166" i="2" s="1"/>
  <c r="I166" i="2"/>
  <c r="V165" i="2"/>
  <c r="U165" i="2"/>
  <c r="T165" i="2"/>
  <c r="S165" i="2"/>
  <c r="P165" i="2"/>
  <c r="O165" i="2"/>
  <c r="N165" i="2"/>
  <c r="M165" i="2"/>
  <c r="Q165" i="2" s="1"/>
  <c r="I165" i="2"/>
  <c r="V164" i="2"/>
  <c r="U164" i="2"/>
  <c r="T164" i="2"/>
  <c r="S164" i="2" s="1"/>
  <c r="P164" i="2"/>
  <c r="O164" i="2"/>
  <c r="N164" i="2"/>
  <c r="M164" i="2"/>
  <c r="I164" i="2"/>
  <c r="V163" i="2"/>
  <c r="U163" i="2"/>
  <c r="T163" i="2"/>
  <c r="S163" i="2" s="1"/>
  <c r="P163" i="2"/>
  <c r="O163" i="2"/>
  <c r="N163" i="2"/>
  <c r="M163" i="2"/>
  <c r="Q163" i="2" s="1"/>
  <c r="I163" i="2"/>
  <c r="V162" i="2"/>
  <c r="U162" i="2"/>
  <c r="T162" i="2"/>
  <c r="S162" i="2" s="1"/>
  <c r="P162" i="2"/>
  <c r="O162" i="2"/>
  <c r="N162" i="2"/>
  <c r="M162" i="2"/>
  <c r="I162" i="2"/>
  <c r="V161" i="2"/>
  <c r="U161" i="2"/>
  <c r="T161" i="2"/>
  <c r="S161" i="2" s="1"/>
  <c r="P161" i="2"/>
  <c r="O161" i="2"/>
  <c r="N161" i="2"/>
  <c r="M161" i="2"/>
  <c r="I161" i="2"/>
  <c r="V160" i="2"/>
  <c r="U160" i="2"/>
  <c r="T160" i="2"/>
  <c r="S160" i="2" s="1"/>
  <c r="P160" i="2"/>
  <c r="O160" i="2"/>
  <c r="N160" i="2"/>
  <c r="M160" i="2"/>
  <c r="I160" i="2"/>
  <c r="V159" i="2"/>
  <c r="U159" i="2"/>
  <c r="T159" i="2"/>
  <c r="S159" i="2"/>
  <c r="P159" i="2"/>
  <c r="O159" i="2"/>
  <c r="N159" i="2"/>
  <c r="M159" i="2"/>
  <c r="I159" i="2"/>
  <c r="V158" i="2"/>
  <c r="U158" i="2"/>
  <c r="T158" i="2"/>
  <c r="S158" i="2"/>
  <c r="P158" i="2"/>
  <c r="O158" i="2"/>
  <c r="N158" i="2"/>
  <c r="M158" i="2"/>
  <c r="I158" i="2"/>
  <c r="V157" i="2"/>
  <c r="U157" i="2"/>
  <c r="T157" i="2"/>
  <c r="S157" i="2" s="1"/>
  <c r="P157" i="2"/>
  <c r="O157" i="2"/>
  <c r="N157" i="2"/>
  <c r="M157" i="2"/>
  <c r="I157" i="2"/>
  <c r="V156" i="2"/>
  <c r="U156" i="2"/>
  <c r="T156" i="2"/>
  <c r="S156" i="2"/>
  <c r="P156" i="2"/>
  <c r="O156" i="2"/>
  <c r="N156" i="2"/>
  <c r="M156" i="2"/>
  <c r="I156" i="2"/>
  <c r="V155" i="2"/>
  <c r="U155" i="2"/>
  <c r="T155" i="2"/>
  <c r="S155" i="2"/>
  <c r="P155" i="2"/>
  <c r="O155" i="2"/>
  <c r="N155" i="2"/>
  <c r="M155" i="2"/>
  <c r="Q155" i="2" s="1"/>
  <c r="I155" i="2"/>
  <c r="V154" i="2"/>
  <c r="U154" i="2"/>
  <c r="T154" i="2"/>
  <c r="S154" i="2" s="1"/>
  <c r="P154" i="2"/>
  <c r="O154" i="2"/>
  <c r="N154" i="2"/>
  <c r="M154" i="2"/>
  <c r="Q154" i="2" s="1"/>
  <c r="I154" i="2"/>
  <c r="V153" i="2"/>
  <c r="U153" i="2"/>
  <c r="T153" i="2"/>
  <c r="S153" i="2" s="1"/>
  <c r="P153" i="2"/>
  <c r="O153" i="2"/>
  <c r="N153" i="2"/>
  <c r="M153" i="2"/>
  <c r="I153" i="2"/>
  <c r="V152" i="2"/>
  <c r="U152" i="2"/>
  <c r="T152" i="2"/>
  <c r="S152" i="2"/>
  <c r="P152" i="2"/>
  <c r="O152" i="2"/>
  <c r="N152" i="2"/>
  <c r="M152" i="2"/>
  <c r="I152" i="2"/>
  <c r="V151" i="2"/>
  <c r="U151" i="2"/>
  <c r="T151" i="2"/>
  <c r="S151" i="2"/>
  <c r="P151" i="2"/>
  <c r="O151" i="2"/>
  <c r="N151" i="2"/>
  <c r="M151" i="2"/>
  <c r="I151" i="2"/>
  <c r="V150" i="2"/>
  <c r="U150" i="2"/>
  <c r="T150" i="2"/>
  <c r="S150" i="2"/>
  <c r="P150" i="2"/>
  <c r="O150" i="2"/>
  <c r="N150" i="2"/>
  <c r="M150" i="2"/>
  <c r="I150" i="2"/>
  <c r="V149" i="2"/>
  <c r="U149" i="2"/>
  <c r="T149" i="2"/>
  <c r="S149" i="2"/>
  <c r="P149" i="2"/>
  <c r="O149" i="2"/>
  <c r="N149" i="2"/>
  <c r="M149" i="2"/>
  <c r="I149" i="2"/>
  <c r="V148" i="2"/>
  <c r="U148" i="2"/>
  <c r="T148" i="2"/>
  <c r="S148" i="2" s="1"/>
  <c r="P148" i="2"/>
  <c r="O148" i="2"/>
  <c r="N148" i="2"/>
  <c r="M148" i="2"/>
  <c r="I148" i="2"/>
  <c r="V147" i="2"/>
  <c r="U147" i="2"/>
  <c r="T147" i="2"/>
  <c r="S147" i="2"/>
  <c r="P147" i="2"/>
  <c r="O147" i="2"/>
  <c r="N147" i="2"/>
  <c r="M147" i="2"/>
  <c r="Q147" i="2" s="1"/>
  <c r="I147" i="2"/>
  <c r="V146" i="2"/>
  <c r="U146" i="2"/>
  <c r="T146" i="2"/>
  <c r="S146" i="2" s="1"/>
  <c r="P146" i="2"/>
  <c r="O146" i="2"/>
  <c r="N146" i="2"/>
  <c r="M146" i="2"/>
  <c r="Q146" i="2" s="1"/>
  <c r="I146" i="2"/>
  <c r="V145" i="2"/>
  <c r="U145" i="2"/>
  <c r="T145" i="2"/>
  <c r="S145" i="2"/>
  <c r="P145" i="2"/>
  <c r="O145" i="2"/>
  <c r="N145" i="2"/>
  <c r="M145" i="2"/>
  <c r="I145" i="2"/>
  <c r="V144" i="2"/>
  <c r="U144" i="2"/>
  <c r="T144" i="2"/>
  <c r="S144" i="2" s="1"/>
  <c r="P144" i="2"/>
  <c r="O144" i="2"/>
  <c r="N144" i="2"/>
  <c r="M144" i="2"/>
  <c r="I144" i="2"/>
  <c r="V143" i="2"/>
  <c r="U143" i="2"/>
  <c r="T143" i="2"/>
  <c r="S143" i="2" s="1"/>
  <c r="P143" i="2"/>
  <c r="O143" i="2"/>
  <c r="N143" i="2"/>
  <c r="M143" i="2"/>
  <c r="Q143" i="2" s="1"/>
  <c r="I143" i="2"/>
  <c r="V142" i="2"/>
  <c r="U142" i="2"/>
  <c r="T142" i="2"/>
  <c r="S142" i="2"/>
  <c r="P142" i="2"/>
  <c r="O142" i="2"/>
  <c r="N142" i="2"/>
  <c r="M142" i="2"/>
  <c r="I142" i="2"/>
  <c r="V141" i="2"/>
  <c r="U141" i="2"/>
  <c r="T141" i="2"/>
  <c r="S141" i="2" s="1"/>
  <c r="P141" i="2"/>
  <c r="O141" i="2"/>
  <c r="N141" i="2"/>
  <c r="M141" i="2"/>
  <c r="I141" i="2"/>
  <c r="V140" i="2"/>
  <c r="U140" i="2"/>
  <c r="T140" i="2"/>
  <c r="S140" i="2" s="1"/>
  <c r="P140" i="2"/>
  <c r="O140" i="2"/>
  <c r="N140" i="2"/>
  <c r="M140" i="2"/>
  <c r="I140" i="2"/>
  <c r="V139" i="2"/>
  <c r="U139" i="2"/>
  <c r="T139" i="2"/>
  <c r="S139" i="2"/>
  <c r="P139" i="2"/>
  <c r="O139" i="2"/>
  <c r="N139" i="2"/>
  <c r="M139" i="2"/>
  <c r="I139" i="2"/>
  <c r="V138" i="2"/>
  <c r="U138" i="2"/>
  <c r="T138" i="2"/>
  <c r="S138" i="2"/>
  <c r="P138" i="2"/>
  <c r="O138" i="2"/>
  <c r="N138" i="2"/>
  <c r="M138" i="2"/>
  <c r="I138" i="2"/>
  <c r="V137" i="2"/>
  <c r="U137" i="2"/>
  <c r="T137" i="2"/>
  <c r="S137" i="2" s="1"/>
  <c r="P137" i="2"/>
  <c r="O137" i="2"/>
  <c r="N137" i="2"/>
  <c r="M137" i="2"/>
  <c r="I137" i="2"/>
  <c r="V136" i="2"/>
  <c r="U136" i="2"/>
  <c r="T136" i="2"/>
  <c r="S136" i="2"/>
  <c r="P136" i="2"/>
  <c r="O136" i="2"/>
  <c r="N136" i="2"/>
  <c r="M136" i="2"/>
  <c r="I136" i="2"/>
  <c r="V135" i="2"/>
  <c r="U135" i="2"/>
  <c r="T135" i="2"/>
  <c r="S135" i="2"/>
  <c r="P135" i="2"/>
  <c r="O135" i="2"/>
  <c r="N135" i="2"/>
  <c r="M135" i="2"/>
  <c r="Q135" i="2" s="1"/>
  <c r="I135" i="2"/>
  <c r="V134" i="2"/>
  <c r="U134" i="2"/>
  <c r="T134" i="2"/>
  <c r="S134" i="2" s="1"/>
  <c r="P134" i="2"/>
  <c r="O134" i="2"/>
  <c r="N134" i="2"/>
  <c r="M134" i="2"/>
  <c r="Q134" i="2" s="1"/>
  <c r="I134" i="2"/>
  <c r="V133" i="2"/>
  <c r="U133" i="2"/>
  <c r="T133" i="2"/>
  <c r="S133" i="2" s="1"/>
  <c r="P133" i="2"/>
  <c r="O133" i="2"/>
  <c r="N133" i="2"/>
  <c r="M133" i="2"/>
  <c r="I133" i="2"/>
  <c r="V132" i="2"/>
  <c r="U132" i="2"/>
  <c r="T132" i="2"/>
  <c r="S132" i="2"/>
  <c r="P132" i="2"/>
  <c r="O132" i="2"/>
  <c r="N132" i="2"/>
  <c r="M132" i="2"/>
  <c r="I132" i="2"/>
  <c r="V131" i="2"/>
  <c r="U131" i="2"/>
  <c r="T131" i="2"/>
  <c r="S131" i="2"/>
  <c r="P131" i="2"/>
  <c r="O131" i="2"/>
  <c r="N131" i="2"/>
  <c r="M131" i="2"/>
  <c r="I131" i="2"/>
  <c r="V130" i="2"/>
  <c r="U130" i="2"/>
  <c r="T130" i="2"/>
  <c r="S130" i="2"/>
  <c r="P130" i="2"/>
  <c r="O130" i="2"/>
  <c r="N130" i="2"/>
  <c r="M130" i="2"/>
  <c r="I130" i="2"/>
  <c r="V129" i="2"/>
  <c r="U129" i="2"/>
  <c r="T129" i="2"/>
  <c r="S129" i="2"/>
  <c r="P129" i="2"/>
  <c r="O129" i="2"/>
  <c r="N129" i="2"/>
  <c r="M129" i="2"/>
  <c r="I129" i="2"/>
  <c r="V128" i="2"/>
  <c r="U128" i="2"/>
  <c r="T128" i="2"/>
  <c r="S128" i="2" s="1"/>
  <c r="P128" i="2"/>
  <c r="O128" i="2"/>
  <c r="N128" i="2"/>
  <c r="M128" i="2"/>
  <c r="Q128" i="2" s="1"/>
  <c r="I128" i="2"/>
  <c r="V127" i="2"/>
  <c r="U127" i="2"/>
  <c r="T127" i="2"/>
  <c r="S127" i="2"/>
  <c r="P127" i="2"/>
  <c r="O127" i="2"/>
  <c r="N127" i="2"/>
  <c r="M127" i="2"/>
  <c r="I127" i="2"/>
  <c r="V126" i="2"/>
  <c r="U126" i="2"/>
  <c r="T126" i="2"/>
  <c r="S126" i="2" s="1"/>
  <c r="P126" i="2"/>
  <c r="O126" i="2"/>
  <c r="N126" i="2"/>
  <c r="M126" i="2"/>
  <c r="Q126" i="2" s="1"/>
  <c r="I126" i="2"/>
  <c r="V125" i="2"/>
  <c r="U125" i="2"/>
  <c r="T125" i="2"/>
  <c r="S125" i="2"/>
  <c r="P125" i="2"/>
  <c r="O125" i="2"/>
  <c r="N125" i="2"/>
  <c r="M125" i="2"/>
  <c r="Q125" i="2" s="1"/>
  <c r="I125" i="2"/>
  <c r="V124" i="2"/>
  <c r="U124" i="2"/>
  <c r="T124" i="2"/>
  <c r="S124" i="2" s="1"/>
  <c r="P124" i="2"/>
  <c r="O124" i="2"/>
  <c r="N124" i="2"/>
  <c r="M124" i="2"/>
  <c r="I124" i="2"/>
  <c r="V123" i="2"/>
  <c r="U123" i="2"/>
  <c r="T123" i="2"/>
  <c r="S123" i="2" s="1"/>
  <c r="P123" i="2"/>
  <c r="O123" i="2"/>
  <c r="N123" i="2"/>
  <c r="M123" i="2"/>
  <c r="Q123" i="2" s="1"/>
  <c r="I123" i="2"/>
  <c r="V122" i="2"/>
  <c r="U122" i="2"/>
  <c r="T122" i="2"/>
  <c r="S122" i="2"/>
  <c r="P122" i="2"/>
  <c r="O122" i="2"/>
  <c r="N122" i="2"/>
  <c r="M122" i="2"/>
  <c r="I122" i="2"/>
  <c r="V121" i="2"/>
  <c r="U121" i="2"/>
  <c r="T121" i="2"/>
  <c r="S121" i="2" s="1"/>
  <c r="P121" i="2"/>
  <c r="O121" i="2"/>
  <c r="N121" i="2"/>
  <c r="M121" i="2"/>
  <c r="I121" i="2"/>
  <c r="V120" i="2"/>
  <c r="U120" i="2"/>
  <c r="T120" i="2"/>
  <c r="S120" i="2" s="1"/>
  <c r="P120" i="2"/>
  <c r="O120" i="2"/>
  <c r="N120" i="2"/>
  <c r="M120" i="2"/>
  <c r="I120" i="2"/>
  <c r="V119" i="2"/>
  <c r="U119" i="2"/>
  <c r="T119" i="2"/>
  <c r="S119" i="2"/>
  <c r="P119" i="2"/>
  <c r="O119" i="2"/>
  <c r="N119" i="2"/>
  <c r="M119" i="2"/>
  <c r="I119" i="2"/>
  <c r="V118" i="2"/>
  <c r="U118" i="2"/>
  <c r="T118" i="2"/>
  <c r="S118" i="2" s="1"/>
  <c r="P118" i="2"/>
  <c r="O118" i="2"/>
  <c r="N118" i="2"/>
  <c r="M118" i="2"/>
  <c r="I118" i="2"/>
  <c r="V117" i="2"/>
  <c r="U117" i="2"/>
  <c r="T117" i="2"/>
  <c r="S117" i="2" s="1"/>
  <c r="P117" i="2"/>
  <c r="O117" i="2"/>
  <c r="N117" i="2"/>
  <c r="M117" i="2"/>
  <c r="I117" i="2"/>
  <c r="V116" i="2"/>
  <c r="U116" i="2"/>
  <c r="T116" i="2"/>
  <c r="S116" i="2"/>
  <c r="P116" i="2"/>
  <c r="O116" i="2"/>
  <c r="N116" i="2"/>
  <c r="M116" i="2"/>
  <c r="I116" i="2"/>
  <c r="V115" i="2"/>
  <c r="U115" i="2"/>
  <c r="T115" i="2"/>
  <c r="S115" i="2"/>
  <c r="P115" i="2"/>
  <c r="O115" i="2"/>
  <c r="N115" i="2"/>
  <c r="M115" i="2"/>
  <c r="Q115" i="2" s="1"/>
  <c r="I115" i="2"/>
  <c r="V114" i="2"/>
  <c r="U114" i="2"/>
  <c r="T114" i="2"/>
  <c r="S114" i="2" s="1"/>
  <c r="P114" i="2"/>
  <c r="O114" i="2"/>
  <c r="N114" i="2"/>
  <c r="M114" i="2"/>
  <c r="Q114" i="2" s="1"/>
  <c r="I114" i="2"/>
  <c r="V113" i="2"/>
  <c r="U113" i="2"/>
  <c r="T113" i="2"/>
  <c r="S113" i="2" s="1"/>
  <c r="P113" i="2"/>
  <c r="O113" i="2"/>
  <c r="N113" i="2"/>
  <c r="M113" i="2"/>
  <c r="I113" i="2"/>
  <c r="V112" i="2"/>
  <c r="U112" i="2"/>
  <c r="T112" i="2"/>
  <c r="S112" i="2"/>
  <c r="P112" i="2"/>
  <c r="O112" i="2"/>
  <c r="N112" i="2"/>
  <c r="M112" i="2"/>
  <c r="I112" i="2"/>
  <c r="V111" i="2"/>
  <c r="U111" i="2"/>
  <c r="T111" i="2"/>
  <c r="S111" i="2"/>
  <c r="P111" i="2"/>
  <c r="O111" i="2"/>
  <c r="N111" i="2"/>
  <c r="M111" i="2"/>
  <c r="Q111" i="2" s="1"/>
  <c r="I111" i="2"/>
  <c r="V110" i="2"/>
  <c r="U110" i="2"/>
  <c r="T110" i="2"/>
  <c r="S110" i="2"/>
  <c r="P110" i="2"/>
  <c r="O110" i="2"/>
  <c r="N110" i="2"/>
  <c r="M110" i="2"/>
  <c r="I110" i="2"/>
  <c r="V109" i="2"/>
  <c r="U109" i="2"/>
  <c r="T109" i="2"/>
  <c r="S109" i="2"/>
  <c r="P109" i="2"/>
  <c r="O109" i="2"/>
  <c r="N109" i="2"/>
  <c r="M109" i="2"/>
  <c r="I109" i="2"/>
  <c r="V108" i="2"/>
  <c r="U108" i="2"/>
  <c r="T108" i="2"/>
  <c r="S108" i="2" s="1"/>
  <c r="P108" i="2"/>
  <c r="O108" i="2"/>
  <c r="N108" i="2"/>
  <c r="M108" i="2"/>
  <c r="Q108" i="2" s="1"/>
  <c r="I108" i="2"/>
  <c r="V107" i="2"/>
  <c r="U107" i="2"/>
  <c r="T107" i="2"/>
  <c r="S107" i="2"/>
  <c r="P107" i="2"/>
  <c r="O107" i="2"/>
  <c r="N107" i="2"/>
  <c r="M107" i="2"/>
  <c r="Q107" i="2" s="1"/>
  <c r="I107" i="2"/>
  <c r="V106" i="2"/>
  <c r="U106" i="2"/>
  <c r="T106" i="2"/>
  <c r="S106" i="2" s="1"/>
  <c r="P106" i="2"/>
  <c r="O106" i="2"/>
  <c r="N106" i="2"/>
  <c r="M106" i="2"/>
  <c r="Q106" i="2" s="1"/>
  <c r="I106" i="2"/>
  <c r="V105" i="2"/>
  <c r="U105" i="2"/>
  <c r="T105" i="2"/>
  <c r="S105" i="2"/>
  <c r="P105" i="2"/>
  <c r="O105" i="2"/>
  <c r="N105" i="2"/>
  <c r="M105" i="2"/>
  <c r="Q105" i="2" s="1"/>
  <c r="I105" i="2"/>
  <c r="V104" i="2"/>
  <c r="U104" i="2"/>
  <c r="T104" i="2"/>
  <c r="S104" i="2" s="1"/>
  <c r="P104" i="2"/>
  <c r="O104" i="2"/>
  <c r="N104" i="2"/>
  <c r="M104" i="2"/>
  <c r="I104" i="2"/>
  <c r="V103" i="2"/>
  <c r="U103" i="2"/>
  <c r="T103" i="2"/>
  <c r="S103" i="2" s="1"/>
  <c r="P103" i="2"/>
  <c r="O103" i="2"/>
  <c r="N103" i="2"/>
  <c r="M103" i="2"/>
  <c r="Q103" i="2" s="1"/>
  <c r="I103" i="2"/>
  <c r="V102" i="2"/>
  <c r="U102" i="2"/>
  <c r="T102" i="2"/>
  <c r="S102" i="2"/>
  <c r="P102" i="2"/>
  <c r="O102" i="2"/>
  <c r="N102" i="2"/>
  <c r="M102" i="2"/>
  <c r="I102" i="2"/>
  <c r="V101" i="2"/>
  <c r="U101" i="2"/>
  <c r="T101" i="2"/>
  <c r="S101" i="2" s="1"/>
  <c r="P101" i="2"/>
  <c r="O101" i="2"/>
  <c r="N101" i="2"/>
  <c r="M101" i="2"/>
  <c r="I101" i="2"/>
  <c r="V100" i="2"/>
  <c r="U100" i="2"/>
  <c r="T100" i="2"/>
  <c r="S100" i="2" s="1"/>
  <c r="P100" i="2"/>
  <c r="O100" i="2"/>
  <c r="N100" i="2"/>
  <c r="M100" i="2"/>
  <c r="I100" i="2"/>
  <c r="V99" i="2"/>
  <c r="U99" i="2"/>
  <c r="T99" i="2"/>
  <c r="S99" i="2"/>
  <c r="P99" i="2"/>
  <c r="O99" i="2"/>
  <c r="N99" i="2"/>
  <c r="M99" i="2"/>
  <c r="I99" i="2"/>
  <c r="V98" i="2"/>
  <c r="U98" i="2"/>
  <c r="T98" i="2"/>
  <c r="S98" i="2" s="1"/>
  <c r="P98" i="2"/>
  <c r="O98" i="2"/>
  <c r="N98" i="2"/>
  <c r="M98" i="2"/>
  <c r="I98" i="2"/>
  <c r="V97" i="2"/>
  <c r="U97" i="2"/>
  <c r="T97" i="2"/>
  <c r="S97" i="2" s="1"/>
  <c r="P97" i="2"/>
  <c r="O97" i="2"/>
  <c r="N97" i="2"/>
  <c r="M97" i="2"/>
  <c r="I97" i="2"/>
  <c r="V96" i="2"/>
  <c r="U96" i="2"/>
  <c r="T96" i="2"/>
  <c r="S96" i="2"/>
  <c r="P96" i="2"/>
  <c r="O96" i="2"/>
  <c r="N96" i="2"/>
  <c r="M96" i="2"/>
  <c r="I96" i="2"/>
  <c r="V95" i="2"/>
  <c r="U95" i="2"/>
  <c r="T95" i="2"/>
  <c r="S95" i="2"/>
  <c r="P95" i="2"/>
  <c r="O95" i="2"/>
  <c r="N95" i="2"/>
  <c r="M95" i="2"/>
  <c r="Q95" i="2" s="1"/>
  <c r="I95" i="2"/>
  <c r="V94" i="2"/>
  <c r="U94" i="2"/>
  <c r="T94" i="2"/>
  <c r="S94" i="2" s="1"/>
  <c r="P94" i="2"/>
  <c r="O94" i="2"/>
  <c r="N94" i="2"/>
  <c r="M94" i="2"/>
  <c r="Q94" i="2" s="1"/>
  <c r="I94" i="2"/>
  <c r="V93" i="2"/>
  <c r="U93" i="2"/>
  <c r="T93" i="2"/>
  <c r="S93" i="2" s="1"/>
  <c r="P93" i="2"/>
  <c r="O93" i="2"/>
  <c r="N93" i="2"/>
  <c r="M93" i="2"/>
  <c r="I93" i="2"/>
  <c r="V92" i="2"/>
  <c r="U92" i="2"/>
  <c r="T92" i="2"/>
  <c r="S92" i="2"/>
  <c r="P92" i="2"/>
  <c r="O92" i="2"/>
  <c r="N92" i="2"/>
  <c r="M92" i="2"/>
  <c r="I92" i="2"/>
  <c r="V91" i="2"/>
  <c r="U91" i="2"/>
  <c r="T91" i="2"/>
  <c r="S91" i="2"/>
  <c r="P91" i="2"/>
  <c r="O91" i="2"/>
  <c r="N91" i="2"/>
  <c r="M91" i="2"/>
  <c r="I91" i="2"/>
  <c r="V90" i="2"/>
  <c r="U90" i="2"/>
  <c r="T90" i="2"/>
  <c r="S90" i="2"/>
  <c r="P90" i="2"/>
  <c r="O90" i="2"/>
  <c r="N90" i="2"/>
  <c r="M90" i="2"/>
  <c r="I90" i="2"/>
  <c r="V89" i="2"/>
  <c r="U89" i="2"/>
  <c r="T89" i="2"/>
  <c r="S89" i="2"/>
  <c r="P89" i="2"/>
  <c r="O89" i="2"/>
  <c r="N89" i="2"/>
  <c r="M89" i="2"/>
  <c r="I89" i="2"/>
  <c r="V88" i="2"/>
  <c r="U88" i="2"/>
  <c r="T88" i="2"/>
  <c r="S88" i="2" s="1"/>
  <c r="P88" i="2"/>
  <c r="O88" i="2"/>
  <c r="N88" i="2"/>
  <c r="M88" i="2"/>
  <c r="I88" i="2"/>
  <c r="V87" i="2"/>
  <c r="U87" i="2"/>
  <c r="T87" i="2"/>
  <c r="S87" i="2"/>
  <c r="P87" i="2"/>
  <c r="O87" i="2"/>
  <c r="N87" i="2"/>
  <c r="M87" i="2"/>
  <c r="I87" i="2"/>
  <c r="V86" i="2"/>
  <c r="U86" i="2"/>
  <c r="T86" i="2"/>
  <c r="S86" i="2" s="1"/>
  <c r="P86" i="2"/>
  <c r="O86" i="2"/>
  <c r="N86" i="2"/>
  <c r="M86" i="2"/>
  <c r="Q86" i="2" s="1"/>
  <c r="I86" i="2"/>
  <c r="V85" i="2"/>
  <c r="U85" i="2"/>
  <c r="T85" i="2"/>
  <c r="S85" i="2"/>
  <c r="P85" i="2"/>
  <c r="O85" i="2"/>
  <c r="N85" i="2"/>
  <c r="M85" i="2"/>
  <c r="Q85" i="2" s="1"/>
  <c r="I85" i="2"/>
  <c r="V84" i="2"/>
  <c r="U84" i="2"/>
  <c r="T84" i="2"/>
  <c r="S84" i="2" s="1"/>
  <c r="P84" i="2"/>
  <c r="O84" i="2"/>
  <c r="N84" i="2"/>
  <c r="M84" i="2"/>
  <c r="I84" i="2"/>
  <c r="V83" i="2"/>
  <c r="U83" i="2"/>
  <c r="T83" i="2"/>
  <c r="S83" i="2" s="1"/>
  <c r="P83" i="2"/>
  <c r="O83" i="2"/>
  <c r="N83" i="2"/>
  <c r="M83" i="2"/>
  <c r="Q83" i="2" s="1"/>
  <c r="I83" i="2"/>
  <c r="V82" i="2"/>
  <c r="U82" i="2"/>
  <c r="T82" i="2"/>
  <c r="S82" i="2" s="1"/>
  <c r="P82" i="2"/>
  <c r="O82" i="2"/>
  <c r="N82" i="2"/>
  <c r="M82" i="2"/>
  <c r="I82" i="2"/>
  <c r="V81" i="2"/>
  <c r="U81" i="2"/>
  <c r="T81" i="2"/>
  <c r="S81" i="2" s="1"/>
  <c r="P81" i="2"/>
  <c r="O81" i="2"/>
  <c r="N81" i="2"/>
  <c r="M81" i="2"/>
  <c r="I81" i="2"/>
  <c r="V80" i="2"/>
  <c r="U80" i="2"/>
  <c r="T80" i="2"/>
  <c r="S80" i="2" s="1"/>
  <c r="P80" i="2"/>
  <c r="O80" i="2"/>
  <c r="N80" i="2"/>
  <c r="M80" i="2"/>
  <c r="I80" i="2"/>
  <c r="V79" i="2"/>
  <c r="U79" i="2"/>
  <c r="T79" i="2"/>
  <c r="S79" i="2"/>
  <c r="P79" i="2"/>
  <c r="O79" i="2"/>
  <c r="N79" i="2"/>
  <c r="M79" i="2"/>
  <c r="I79" i="2"/>
  <c r="V78" i="2"/>
  <c r="U78" i="2"/>
  <c r="T78" i="2"/>
  <c r="S78" i="2"/>
  <c r="P78" i="2"/>
  <c r="O78" i="2"/>
  <c r="N78" i="2"/>
  <c r="M78" i="2"/>
  <c r="Q78" i="2" s="1"/>
  <c r="I78" i="2"/>
  <c r="V77" i="2"/>
  <c r="U77" i="2"/>
  <c r="T77" i="2"/>
  <c r="S77" i="2" s="1"/>
  <c r="P77" i="2"/>
  <c r="O77" i="2"/>
  <c r="N77" i="2"/>
  <c r="M77" i="2"/>
  <c r="I77" i="2"/>
  <c r="V76" i="2"/>
  <c r="U76" i="2"/>
  <c r="T76" i="2"/>
  <c r="S76" i="2"/>
  <c r="P76" i="2"/>
  <c r="O76" i="2"/>
  <c r="N76" i="2"/>
  <c r="M76" i="2"/>
  <c r="I76" i="2"/>
  <c r="V75" i="2"/>
  <c r="U75" i="2"/>
  <c r="T75" i="2"/>
  <c r="S75" i="2"/>
  <c r="P75" i="2"/>
  <c r="O75" i="2"/>
  <c r="N75" i="2"/>
  <c r="M75" i="2"/>
  <c r="I75" i="2"/>
  <c r="V74" i="2"/>
  <c r="U74" i="2"/>
  <c r="T74" i="2"/>
  <c r="S74" i="2" s="1"/>
  <c r="P74" i="2"/>
  <c r="O74" i="2"/>
  <c r="N74" i="2"/>
  <c r="M74" i="2"/>
  <c r="I74" i="2"/>
  <c r="V73" i="2"/>
  <c r="U73" i="2"/>
  <c r="T73" i="2"/>
  <c r="S73" i="2"/>
  <c r="P73" i="2"/>
  <c r="O73" i="2"/>
  <c r="N73" i="2"/>
  <c r="M73" i="2"/>
  <c r="I73" i="2"/>
  <c r="V72" i="2"/>
  <c r="U72" i="2"/>
  <c r="T72" i="2"/>
  <c r="S72" i="2"/>
  <c r="P72" i="2"/>
  <c r="O72" i="2"/>
  <c r="N72" i="2"/>
  <c r="M72" i="2"/>
  <c r="I72" i="2"/>
  <c r="V71" i="2"/>
  <c r="U71" i="2"/>
  <c r="T71" i="2"/>
  <c r="S71" i="2"/>
  <c r="P71" i="2"/>
  <c r="O71" i="2"/>
  <c r="N71" i="2"/>
  <c r="M71" i="2"/>
  <c r="Q71" i="2" s="1"/>
  <c r="I71" i="2"/>
  <c r="V70" i="2"/>
  <c r="U70" i="2"/>
  <c r="T70" i="2"/>
  <c r="S70" i="2"/>
  <c r="P70" i="2"/>
  <c r="O70" i="2"/>
  <c r="N70" i="2"/>
  <c r="M70" i="2"/>
  <c r="I70" i="2"/>
  <c r="V69" i="2"/>
  <c r="U69" i="2"/>
  <c r="T69" i="2"/>
  <c r="S69" i="2"/>
  <c r="P69" i="2"/>
  <c r="O69" i="2"/>
  <c r="N69" i="2"/>
  <c r="M69" i="2"/>
  <c r="Q69" i="2" s="1"/>
  <c r="I69" i="2"/>
  <c r="V68" i="2"/>
  <c r="U68" i="2"/>
  <c r="T68" i="2"/>
  <c r="S68" i="2" s="1"/>
  <c r="P68" i="2"/>
  <c r="O68" i="2"/>
  <c r="N68" i="2"/>
  <c r="M68" i="2"/>
  <c r="I68" i="2"/>
  <c r="V67" i="2"/>
  <c r="U67" i="2"/>
  <c r="T67" i="2"/>
  <c r="S67" i="2"/>
  <c r="P67" i="2"/>
  <c r="O67" i="2"/>
  <c r="N67" i="2"/>
  <c r="M67" i="2"/>
  <c r="I67" i="2"/>
  <c r="V66" i="2"/>
  <c r="U66" i="2"/>
  <c r="T66" i="2"/>
  <c r="S66" i="2" s="1"/>
  <c r="P66" i="2"/>
  <c r="O66" i="2"/>
  <c r="N66" i="2"/>
  <c r="M66" i="2"/>
  <c r="I66" i="2"/>
  <c r="V65" i="2"/>
  <c r="U65" i="2"/>
  <c r="T65" i="2"/>
  <c r="S65" i="2"/>
  <c r="P65" i="2"/>
  <c r="O65" i="2"/>
  <c r="N65" i="2"/>
  <c r="M65" i="2"/>
  <c r="Q65" i="2" s="1"/>
  <c r="I65" i="2"/>
  <c r="V64" i="2"/>
  <c r="U64" i="2"/>
  <c r="T64" i="2"/>
  <c r="S64" i="2" s="1"/>
  <c r="P64" i="2"/>
  <c r="O64" i="2"/>
  <c r="N64" i="2"/>
  <c r="M64" i="2"/>
  <c r="I64" i="2"/>
  <c r="V63" i="2"/>
  <c r="U63" i="2"/>
  <c r="T63" i="2"/>
  <c r="S63" i="2" s="1"/>
  <c r="P63" i="2"/>
  <c r="O63" i="2"/>
  <c r="N63" i="2"/>
  <c r="M63" i="2"/>
  <c r="Q63" i="2" s="1"/>
  <c r="I63" i="2"/>
  <c r="V62" i="2"/>
  <c r="U62" i="2"/>
  <c r="T62" i="2"/>
  <c r="S62" i="2" s="1"/>
  <c r="P62" i="2"/>
  <c r="O62" i="2"/>
  <c r="N62" i="2"/>
  <c r="M62" i="2"/>
  <c r="I62" i="2"/>
  <c r="V61" i="2"/>
  <c r="U61" i="2"/>
  <c r="T61" i="2"/>
  <c r="S61" i="2" s="1"/>
  <c r="P61" i="2"/>
  <c r="O61" i="2"/>
  <c r="N61" i="2"/>
  <c r="M61" i="2"/>
  <c r="I61" i="2"/>
  <c r="V60" i="2"/>
  <c r="U60" i="2"/>
  <c r="T60" i="2"/>
  <c r="S60" i="2" s="1"/>
  <c r="P60" i="2"/>
  <c r="O60" i="2"/>
  <c r="N60" i="2"/>
  <c r="M60" i="2"/>
  <c r="I60" i="2"/>
  <c r="V59" i="2"/>
  <c r="U59" i="2"/>
  <c r="T59" i="2"/>
  <c r="S59" i="2"/>
  <c r="P59" i="2"/>
  <c r="O59" i="2"/>
  <c r="N59" i="2"/>
  <c r="M59" i="2"/>
  <c r="I59" i="2"/>
  <c r="V58" i="2"/>
  <c r="U58" i="2"/>
  <c r="T58" i="2"/>
  <c r="S58" i="2"/>
  <c r="P58" i="2"/>
  <c r="O58" i="2"/>
  <c r="N58" i="2"/>
  <c r="M58" i="2"/>
  <c r="Q58" i="2" s="1"/>
  <c r="I58" i="2"/>
  <c r="V57" i="2"/>
  <c r="U57" i="2"/>
  <c r="T57" i="2"/>
  <c r="S57" i="2" s="1"/>
  <c r="P57" i="2"/>
  <c r="O57" i="2"/>
  <c r="N57" i="2"/>
  <c r="M57" i="2"/>
  <c r="I57" i="2"/>
  <c r="V56" i="2"/>
  <c r="U56" i="2"/>
  <c r="T56" i="2"/>
  <c r="S56" i="2"/>
  <c r="P56" i="2"/>
  <c r="O56" i="2"/>
  <c r="N56" i="2"/>
  <c r="M56" i="2"/>
  <c r="I56" i="2"/>
  <c r="V55" i="2"/>
  <c r="U55" i="2"/>
  <c r="T55" i="2"/>
  <c r="S55" i="2"/>
  <c r="P55" i="2"/>
  <c r="O55" i="2"/>
  <c r="N55" i="2"/>
  <c r="M55" i="2"/>
  <c r="I55" i="2"/>
  <c r="V54" i="2"/>
  <c r="U54" i="2"/>
  <c r="T54" i="2"/>
  <c r="S54" i="2" s="1"/>
  <c r="P54" i="2"/>
  <c r="O54" i="2"/>
  <c r="N54" i="2"/>
  <c r="M54" i="2"/>
  <c r="Q54" i="2" s="1"/>
  <c r="I54" i="2"/>
  <c r="V53" i="2"/>
  <c r="U53" i="2"/>
  <c r="T53" i="2"/>
  <c r="S53" i="2"/>
  <c r="P53" i="2"/>
  <c r="O53" i="2"/>
  <c r="N53" i="2"/>
  <c r="M53" i="2"/>
  <c r="I53" i="2"/>
  <c r="V52" i="2"/>
  <c r="U52" i="2"/>
  <c r="T52" i="2"/>
  <c r="S52" i="2"/>
  <c r="P52" i="2"/>
  <c r="O52" i="2"/>
  <c r="N52" i="2"/>
  <c r="M52" i="2"/>
  <c r="I52" i="2"/>
  <c r="V51" i="2"/>
  <c r="U51" i="2"/>
  <c r="T51" i="2"/>
  <c r="S51" i="2"/>
  <c r="P51" i="2"/>
  <c r="O51" i="2"/>
  <c r="N51" i="2"/>
  <c r="M51" i="2"/>
  <c r="Q51" i="2" s="1"/>
  <c r="I51" i="2"/>
  <c r="V50" i="2"/>
  <c r="U50" i="2"/>
  <c r="T50" i="2"/>
  <c r="S50" i="2"/>
  <c r="P50" i="2"/>
  <c r="O50" i="2"/>
  <c r="N50" i="2"/>
  <c r="M50" i="2"/>
  <c r="I50" i="2"/>
  <c r="V49" i="2"/>
  <c r="U49" i="2"/>
  <c r="T49" i="2"/>
  <c r="S49" i="2" s="1"/>
  <c r="P49" i="2"/>
  <c r="O49" i="2"/>
  <c r="N49" i="2"/>
  <c r="M49" i="2"/>
  <c r="Q49" i="2" s="1"/>
  <c r="I49" i="2"/>
  <c r="V48" i="2"/>
  <c r="U48" i="2"/>
  <c r="T48" i="2"/>
  <c r="S48" i="2" s="1"/>
  <c r="P48" i="2"/>
  <c r="O48" i="2"/>
  <c r="N48" i="2"/>
  <c r="M48" i="2"/>
  <c r="Q48" i="2" s="1"/>
  <c r="I48" i="2"/>
  <c r="V47" i="2"/>
  <c r="U47" i="2"/>
  <c r="T47" i="2"/>
  <c r="S47" i="2"/>
  <c r="P47" i="2"/>
  <c r="O47" i="2"/>
  <c r="N47" i="2"/>
  <c r="M47" i="2"/>
  <c r="I47" i="2"/>
  <c r="V46" i="2"/>
  <c r="U46" i="2"/>
  <c r="T46" i="2"/>
  <c r="S46" i="2" s="1"/>
  <c r="P46" i="2"/>
  <c r="O46" i="2"/>
  <c r="N46" i="2"/>
  <c r="M46" i="2"/>
  <c r="Q46" i="2" s="1"/>
  <c r="I46" i="2"/>
  <c r="V45" i="2"/>
  <c r="U45" i="2"/>
  <c r="T45" i="2"/>
  <c r="S45" i="2"/>
  <c r="P45" i="2"/>
  <c r="O45" i="2"/>
  <c r="N45" i="2"/>
  <c r="M45" i="2"/>
  <c r="I45" i="2"/>
  <c r="V44" i="2"/>
  <c r="U44" i="2"/>
  <c r="T44" i="2"/>
  <c r="S44" i="2" s="1"/>
  <c r="P44" i="2"/>
  <c r="O44" i="2"/>
  <c r="N44" i="2"/>
  <c r="M44" i="2"/>
  <c r="I44" i="2"/>
  <c r="V43" i="2"/>
  <c r="U43" i="2"/>
  <c r="T43" i="2"/>
  <c r="S43" i="2" s="1"/>
  <c r="P43" i="2"/>
  <c r="O43" i="2"/>
  <c r="N43" i="2"/>
  <c r="M43" i="2"/>
  <c r="Q43" i="2" s="1"/>
  <c r="I43" i="2"/>
  <c r="V42" i="2"/>
  <c r="U42" i="2"/>
  <c r="T42" i="2"/>
  <c r="S42" i="2" s="1"/>
  <c r="P42" i="2"/>
  <c r="O42" i="2"/>
  <c r="N42" i="2"/>
  <c r="M42" i="2"/>
  <c r="I42" i="2"/>
  <c r="V41" i="2"/>
  <c r="U41" i="2"/>
  <c r="T41" i="2"/>
  <c r="S41" i="2" s="1"/>
  <c r="P41" i="2"/>
  <c r="O41" i="2"/>
  <c r="N41" i="2"/>
  <c r="M41" i="2"/>
  <c r="I41" i="2"/>
  <c r="V40" i="2"/>
  <c r="U40" i="2"/>
  <c r="T40" i="2"/>
  <c r="S40" i="2" s="1"/>
  <c r="P40" i="2"/>
  <c r="O40" i="2"/>
  <c r="N40" i="2"/>
  <c r="M40" i="2"/>
  <c r="I40" i="2"/>
  <c r="V39" i="2"/>
  <c r="U39" i="2"/>
  <c r="T39" i="2"/>
  <c r="S39" i="2"/>
  <c r="P39" i="2"/>
  <c r="O39" i="2"/>
  <c r="N39" i="2"/>
  <c r="M39" i="2"/>
  <c r="I39" i="2"/>
  <c r="V38" i="2"/>
  <c r="U38" i="2"/>
  <c r="T38" i="2"/>
  <c r="S38" i="2"/>
  <c r="P38" i="2"/>
  <c r="O38" i="2"/>
  <c r="N38" i="2"/>
  <c r="M38" i="2"/>
  <c r="I38" i="2"/>
  <c r="V37" i="2"/>
  <c r="U37" i="2"/>
  <c r="T37" i="2"/>
  <c r="S37" i="2" s="1"/>
  <c r="P37" i="2"/>
  <c r="O37" i="2"/>
  <c r="N37" i="2"/>
  <c r="M37" i="2"/>
  <c r="I37" i="2"/>
  <c r="V36" i="2"/>
  <c r="U36" i="2"/>
  <c r="T36" i="2"/>
  <c r="S36" i="2" s="1"/>
  <c r="P36" i="2"/>
  <c r="O36" i="2"/>
  <c r="N36" i="2"/>
  <c r="M36" i="2"/>
  <c r="I36" i="2"/>
  <c r="V35" i="2"/>
  <c r="U35" i="2"/>
  <c r="T35" i="2"/>
  <c r="S35" i="2"/>
  <c r="P35" i="2"/>
  <c r="O35" i="2"/>
  <c r="N35" i="2"/>
  <c r="M35" i="2"/>
  <c r="I35" i="2"/>
  <c r="V34" i="2"/>
  <c r="U34" i="2"/>
  <c r="T34" i="2"/>
  <c r="S34" i="2" s="1"/>
  <c r="P34" i="2"/>
  <c r="O34" i="2"/>
  <c r="N34" i="2"/>
  <c r="M34" i="2"/>
  <c r="I34" i="2"/>
  <c r="V33" i="2"/>
  <c r="U33" i="2"/>
  <c r="T33" i="2"/>
  <c r="S33" i="2"/>
  <c r="P33" i="2"/>
  <c r="O33" i="2"/>
  <c r="N33" i="2"/>
  <c r="M33" i="2"/>
  <c r="I33" i="2"/>
  <c r="V32" i="2"/>
  <c r="U32" i="2"/>
  <c r="T32" i="2"/>
  <c r="S32" i="2"/>
  <c r="P32" i="2"/>
  <c r="O32" i="2"/>
  <c r="N32" i="2"/>
  <c r="M32" i="2"/>
  <c r="I32" i="2"/>
  <c r="V31" i="2"/>
  <c r="U31" i="2"/>
  <c r="T31" i="2"/>
  <c r="S31" i="2"/>
  <c r="P31" i="2"/>
  <c r="O31" i="2"/>
  <c r="N31" i="2"/>
  <c r="M31" i="2"/>
  <c r="I31" i="2"/>
  <c r="V30" i="2"/>
  <c r="U30" i="2"/>
  <c r="T30" i="2"/>
  <c r="S30" i="2"/>
  <c r="P30" i="2"/>
  <c r="O30" i="2"/>
  <c r="N30" i="2"/>
  <c r="M30" i="2"/>
  <c r="I30" i="2"/>
  <c r="V29" i="2"/>
  <c r="U29" i="2"/>
  <c r="T29" i="2"/>
  <c r="S29" i="2"/>
  <c r="P29" i="2"/>
  <c r="O29" i="2"/>
  <c r="N29" i="2"/>
  <c r="M29" i="2"/>
  <c r="I29" i="2"/>
  <c r="V28" i="2"/>
  <c r="U28" i="2"/>
  <c r="T28" i="2"/>
  <c r="S28" i="2"/>
  <c r="P28" i="2"/>
  <c r="O28" i="2"/>
  <c r="N28" i="2"/>
  <c r="M28" i="2"/>
  <c r="Q28" i="2" s="1"/>
  <c r="I28" i="2"/>
  <c r="V27" i="2"/>
  <c r="U27" i="2"/>
  <c r="T27" i="2"/>
  <c r="S27" i="2"/>
  <c r="P27" i="2"/>
  <c r="O27" i="2"/>
  <c r="N27" i="2"/>
  <c r="M27" i="2"/>
  <c r="Q27" i="2" s="1"/>
  <c r="I27" i="2"/>
  <c r="V26" i="2"/>
  <c r="U26" i="2"/>
  <c r="T26" i="2"/>
  <c r="S26" i="2"/>
  <c r="P26" i="2"/>
  <c r="O26" i="2"/>
  <c r="N26" i="2"/>
  <c r="M26" i="2"/>
  <c r="Q26" i="2" s="1"/>
  <c r="I26" i="2"/>
  <c r="V25" i="2"/>
  <c r="U25" i="2"/>
  <c r="T25" i="2"/>
  <c r="S25" i="2"/>
  <c r="P25" i="2"/>
  <c r="O25" i="2"/>
  <c r="N25" i="2"/>
  <c r="M25" i="2"/>
  <c r="Q25" i="2" s="1"/>
  <c r="I25" i="2"/>
  <c r="V24" i="2"/>
  <c r="U24" i="2"/>
  <c r="T24" i="2"/>
  <c r="S24" i="2" s="1"/>
  <c r="P24" i="2"/>
  <c r="O24" i="2"/>
  <c r="N24" i="2"/>
  <c r="M24" i="2"/>
  <c r="I24" i="2"/>
  <c r="V23" i="2"/>
  <c r="U23" i="2"/>
  <c r="T23" i="2"/>
  <c r="S23" i="2"/>
  <c r="P23" i="2"/>
  <c r="O23" i="2"/>
  <c r="N23" i="2"/>
  <c r="M23" i="2"/>
  <c r="Q23" i="2" s="1"/>
  <c r="I23" i="2"/>
  <c r="V22" i="2"/>
  <c r="U22" i="2"/>
  <c r="T22" i="2"/>
  <c r="S22" i="2"/>
  <c r="P22" i="2"/>
  <c r="O22" i="2"/>
  <c r="N22" i="2"/>
  <c r="M22" i="2"/>
  <c r="I22" i="2"/>
  <c r="V21" i="2"/>
  <c r="U21" i="2"/>
  <c r="T21" i="2"/>
  <c r="S21" i="2" s="1"/>
  <c r="P21" i="2"/>
  <c r="O21" i="2"/>
  <c r="N21" i="2"/>
  <c r="M21" i="2"/>
  <c r="I21" i="2"/>
  <c r="V20" i="2"/>
  <c r="U20" i="2"/>
  <c r="T20" i="2"/>
  <c r="S20" i="2" s="1"/>
  <c r="P20" i="2"/>
  <c r="O20" i="2"/>
  <c r="N20" i="2"/>
  <c r="M20" i="2"/>
  <c r="I20" i="2"/>
  <c r="V19" i="2"/>
  <c r="U19" i="2"/>
  <c r="T19" i="2"/>
  <c r="S19" i="2"/>
  <c r="P19" i="2"/>
  <c r="O19" i="2"/>
  <c r="N19" i="2"/>
  <c r="M19" i="2"/>
  <c r="I19" i="2"/>
  <c r="V18" i="2"/>
  <c r="U18" i="2"/>
  <c r="T18" i="2"/>
  <c r="S18" i="2"/>
  <c r="P18" i="2"/>
  <c r="O18" i="2"/>
  <c r="N18" i="2"/>
  <c r="M18" i="2"/>
  <c r="Q18" i="2" s="1"/>
  <c r="I18" i="2"/>
  <c r="V17" i="2"/>
  <c r="U17" i="2"/>
  <c r="T17" i="2"/>
  <c r="S17" i="2" s="1"/>
  <c r="P17" i="2"/>
  <c r="O17" i="2"/>
  <c r="N17" i="2"/>
  <c r="M17" i="2"/>
  <c r="I17" i="2"/>
  <c r="V16" i="2"/>
  <c r="U16" i="2"/>
  <c r="T16" i="2"/>
  <c r="S16" i="2" s="1"/>
  <c r="P16" i="2"/>
  <c r="O16" i="2"/>
  <c r="N16" i="2"/>
  <c r="M16" i="2"/>
  <c r="I16" i="2"/>
  <c r="V15" i="2"/>
  <c r="U15" i="2"/>
  <c r="T15" i="2"/>
  <c r="S15" i="2"/>
  <c r="P15" i="2"/>
  <c r="O15" i="2"/>
  <c r="N15" i="2"/>
  <c r="M15" i="2"/>
  <c r="I15" i="2"/>
  <c r="V14" i="2"/>
  <c r="U14" i="2"/>
  <c r="T14" i="2"/>
  <c r="S14" i="2" s="1"/>
  <c r="P14" i="2"/>
  <c r="O14" i="2"/>
  <c r="N14" i="2"/>
  <c r="M14" i="2"/>
  <c r="Q14" i="2" s="1"/>
  <c r="I14" i="2"/>
  <c r="V13" i="2"/>
  <c r="U13" i="2"/>
  <c r="T13" i="2"/>
  <c r="S13" i="2"/>
  <c r="P13" i="2"/>
  <c r="O13" i="2"/>
  <c r="N13" i="2"/>
  <c r="M13" i="2"/>
  <c r="I13" i="2"/>
  <c r="V12" i="2"/>
  <c r="U12" i="2"/>
  <c r="T12" i="2"/>
  <c r="S12" i="2"/>
  <c r="P12" i="2"/>
  <c r="O12" i="2"/>
  <c r="N12" i="2"/>
  <c r="M12" i="2"/>
  <c r="I12" i="2"/>
  <c r="V11" i="2"/>
  <c r="U11" i="2"/>
  <c r="T11" i="2"/>
  <c r="S11" i="2"/>
  <c r="P11" i="2"/>
  <c r="O11" i="2"/>
  <c r="N11" i="2"/>
  <c r="M11" i="2"/>
  <c r="Q11" i="2" s="1"/>
  <c r="I11" i="2"/>
  <c r="V10" i="2"/>
  <c r="U10" i="2"/>
  <c r="T10" i="2"/>
  <c r="S10" i="2"/>
  <c r="P10" i="2"/>
  <c r="O10" i="2"/>
  <c r="N10" i="2"/>
  <c r="M10" i="2"/>
  <c r="I10" i="2"/>
  <c r="V9" i="2"/>
  <c r="U9" i="2"/>
  <c r="T9" i="2"/>
  <c r="S9" i="2"/>
  <c r="P9" i="2"/>
  <c r="O9" i="2"/>
  <c r="N9" i="2"/>
  <c r="M9" i="2"/>
  <c r="Q9" i="2" s="1"/>
  <c r="I9" i="2"/>
  <c r="V8" i="2"/>
  <c r="U8" i="2"/>
  <c r="T8" i="2"/>
  <c r="S8" i="2"/>
  <c r="P8" i="2"/>
  <c r="O8" i="2"/>
  <c r="N8" i="2"/>
  <c r="M8" i="2"/>
  <c r="I8" i="2"/>
  <c r="V7" i="2"/>
  <c r="U7" i="2"/>
  <c r="T7" i="2"/>
  <c r="S7" i="2"/>
  <c r="P7" i="2"/>
  <c r="O7" i="2"/>
  <c r="N7" i="2"/>
  <c r="M7" i="2"/>
  <c r="I7" i="2"/>
  <c r="V6" i="2"/>
  <c r="U6" i="2"/>
  <c r="T6" i="2"/>
  <c r="S6" i="2"/>
  <c r="P6" i="2"/>
  <c r="O6" i="2"/>
  <c r="N6" i="2"/>
  <c r="M6" i="2"/>
  <c r="Q6" i="2" s="1"/>
  <c r="I6" i="2"/>
  <c r="V5" i="2"/>
  <c r="U5" i="2"/>
  <c r="T5" i="2"/>
  <c r="S5" i="2"/>
  <c r="P5" i="2"/>
  <c r="O5" i="2"/>
  <c r="N5" i="2"/>
  <c r="M5" i="2"/>
  <c r="Q5" i="2" s="1"/>
  <c r="I5" i="2"/>
  <c r="V4" i="2"/>
  <c r="U4" i="2"/>
  <c r="T4" i="2"/>
  <c r="S4" i="2" s="1"/>
  <c r="P4" i="2"/>
  <c r="O4" i="2"/>
  <c r="N4" i="2"/>
  <c r="M4" i="2"/>
  <c r="I4" i="2"/>
  <c r="Q87" i="2" l="1"/>
  <c r="Q29" i="2"/>
  <c r="Q211" i="2"/>
  <c r="Q218" i="2"/>
  <c r="Q127" i="2"/>
  <c r="Q148" i="2"/>
  <c r="Q451" i="2"/>
  <c r="Q34" i="2"/>
  <c r="Q118" i="2"/>
  <c r="Q207" i="2"/>
  <c r="Q228" i="2"/>
  <c r="Q39" i="2"/>
  <c r="Q67" i="2"/>
  <c r="Q151" i="2"/>
  <c r="Q158" i="2"/>
  <c r="Q247" i="2"/>
  <c r="Q7" i="2"/>
  <c r="Q88" i="2"/>
  <c r="Q205" i="2"/>
  <c r="Q74" i="2"/>
  <c r="Q191" i="2"/>
  <c r="Q198" i="2"/>
  <c r="Q98" i="2"/>
  <c r="Q187" i="2"/>
  <c r="Q19" i="2"/>
  <c r="Q47" i="2"/>
  <c r="Q91" i="2"/>
  <c r="Q145" i="2"/>
  <c r="Q68" i="2"/>
  <c r="Q131" i="2"/>
  <c r="Q138" i="2"/>
  <c r="Q227" i="2"/>
  <c r="Q248" i="2"/>
  <c r="Q469" i="2"/>
  <c r="Q8" i="2"/>
  <c r="Q185" i="2"/>
  <c r="Q22" i="2"/>
  <c r="Q31" i="2"/>
  <c r="Q38" i="2"/>
  <c r="Q45" i="2"/>
  <c r="Q171" i="2"/>
  <c r="Q178" i="2"/>
  <c r="Q665" i="2"/>
  <c r="Q690" i="2"/>
  <c r="Q710" i="2"/>
  <c r="Q730" i="2"/>
  <c r="Q750" i="2"/>
  <c r="Q786" i="2"/>
  <c r="Q804" i="2"/>
  <c r="Q813" i="2"/>
  <c r="Q822" i="2"/>
  <c r="Q878" i="2"/>
  <c r="Q885" i="2"/>
  <c r="Q890" i="2"/>
  <c r="Q897" i="2"/>
  <c r="Q506" i="2"/>
  <c r="Q597" i="2"/>
  <c r="Q602" i="2"/>
  <c r="Q619" i="2"/>
  <c r="Q624" i="2"/>
  <c r="Q672" i="2"/>
  <c r="Q699" i="2"/>
  <c r="Q840" i="2"/>
  <c r="Q55" i="2"/>
  <c r="Q175" i="2"/>
  <c r="Q24" i="2"/>
  <c r="Q44" i="2"/>
  <c r="Q64" i="2"/>
  <c r="Q84" i="2"/>
  <c r="Q104" i="2"/>
  <c r="Q124" i="2"/>
  <c r="Q144" i="2"/>
  <c r="Q164" i="2"/>
  <c r="Q184" i="2"/>
  <c r="Q204" i="2"/>
  <c r="Q224" i="2"/>
  <c r="Q244" i="2"/>
  <c r="Q363" i="2"/>
  <c r="Q368" i="2"/>
  <c r="Q455" i="2"/>
  <c r="Q475" i="2"/>
  <c r="Q495" i="2"/>
  <c r="Q515" i="2"/>
  <c r="Q535" i="2"/>
  <c r="Q555" i="2"/>
  <c r="Q575" i="2"/>
  <c r="Q634" i="2"/>
  <c r="Q643" i="2"/>
  <c r="Q663" i="2"/>
  <c r="Q688" i="2"/>
  <c r="Q708" i="2"/>
  <c r="Q728" i="2"/>
  <c r="Q748" i="2"/>
  <c r="Q802" i="2"/>
  <c r="Q811" i="2"/>
  <c r="Q820" i="2"/>
  <c r="Q867" i="2"/>
  <c r="Q876" i="2"/>
  <c r="Q895" i="2"/>
  <c r="Q15" i="2"/>
  <c r="Q35" i="2"/>
  <c r="Q75" i="2"/>
  <c r="Q4" i="2"/>
  <c r="Q13" i="2"/>
  <c r="Q33" i="2"/>
  <c r="Q53" i="2"/>
  <c r="Q73" i="2"/>
  <c r="Q93" i="2"/>
  <c r="Q113" i="2"/>
  <c r="Q133" i="2"/>
  <c r="Q153" i="2"/>
  <c r="Q173" i="2"/>
  <c r="Q193" i="2"/>
  <c r="Q213" i="2"/>
  <c r="Q233" i="2"/>
  <c r="Q373" i="2"/>
  <c r="Q378" i="2"/>
  <c r="Q383" i="2"/>
  <c r="Q388" i="2"/>
  <c r="Q393" i="2"/>
  <c r="Q398" i="2"/>
  <c r="Q403" i="2"/>
  <c r="Q408" i="2"/>
  <c r="Q464" i="2"/>
  <c r="Q484" i="2"/>
  <c r="Q504" i="2"/>
  <c r="Q524" i="2"/>
  <c r="Q544" i="2"/>
  <c r="Q564" i="2"/>
  <c r="Q612" i="2"/>
  <c r="Q652" i="2"/>
  <c r="Q677" i="2"/>
  <c r="Q697" i="2"/>
  <c r="Q717" i="2"/>
  <c r="Q757" i="2"/>
  <c r="Q791" i="2"/>
  <c r="Q829" i="2"/>
  <c r="Q838" i="2"/>
  <c r="Q42" i="2"/>
  <c r="Q62" i="2"/>
  <c r="Q82" i="2"/>
  <c r="Q102" i="2"/>
  <c r="Q122" i="2"/>
  <c r="Q142" i="2"/>
  <c r="Q162" i="2"/>
  <c r="Q182" i="2"/>
  <c r="Q202" i="2"/>
  <c r="Q222" i="2"/>
  <c r="Q242" i="2"/>
  <c r="Q413" i="2"/>
  <c r="Q418" i="2"/>
  <c r="Q423" i="2"/>
  <c r="Q428" i="2"/>
  <c r="Q433" i="2"/>
  <c r="Q438" i="2"/>
  <c r="Q443" i="2"/>
  <c r="Q473" i="2"/>
  <c r="Q493" i="2"/>
  <c r="Q513" i="2"/>
  <c r="Q533" i="2"/>
  <c r="Q641" i="2"/>
  <c r="Q661" i="2"/>
  <c r="Q686" i="2"/>
  <c r="Q706" i="2"/>
  <c r="Q726" i="2"/>
  <c r="Q746" i="2"/>
  <c r="Q766" i="2"/>
  <c r="Q784" i="2"/>
  <c r="Q800" i="2"/>
  <c r="Q809" i="2"/>
  <c r="Q818" i="2"/>
  <c r="Q847" i="2"/>
  <c r="Q865" i="2"/>
  <c r="Q874" i="2"/>
  <c r="Q883" i="2"/>
  <c r="Q888" i="2"/>
  <c r="Q893" i="2"/>
  <c r="Q286" i="2"/>
  <c r="Q291" i="2"/>
  <c r="Q296" i="2"/>
  <c r="Q301" i="2"/>
  <c r="Q306" i="2"/>
  <c r="Q311" i="2"/>
  <c r="Q316" i="2"/>
  <c r="Q321" i="2"/>
  <c r="Q326" i="2"/>
  <c r="Q331" i="2"/>
  <c r="Q336" i="2"/>
  <c r="Q341" i="2"/>
  <c r="Q346" i="2"/>
  <c r="Q351" i="2"/>
  <c r="Q356" i="2"/>
  <c r="Q361" i="2"/>
  <c r="Q448" i="2"/>
  <c r="Q600" i="2"/>
  <c r="Q617" i="2"/>
  <c r="Q622" i="2"/>
  <c r="Q650" i="2"/>
  <c r="Q670" i="2"/>
  <c r="Q695" i="2"/>
  <c r="Q715" i="2"/>
  <c r="Q735" i="2"/>
  <c r="Q755" i="2"/>
  <c r="Q773" i="2"/>
  <c r="Q789" i="2"/>
  <c r="Q827" i="2"/>
  <c r="Q836" i="2"/>
  <c r="Q854" i="2"/>
  <c r="Q902" i="2"/>
  <c r="Q462" i="2"/>
  <c r="Q482" i="2"/>
  <c r="Q502" i="2"/>
  <c r="Q522" i="2"/>
  <c r="Q20" i="2"/>
  <c r="Q40" i="2"/>
  <c r="Q60" i="2"/>
  <c r="Q80" i="2"/>
  <c r="Q100" i="2"/>
  <c r="Q120" i="2"/>
  <c r="Q140" i="2"/>
  <c r="Q160" i="2"/>
  <c r="Q180" i="2"/>
  <c r="Q200" i="2"/>
  <c r="Q220" i="2"/>
  <c r="Q240" i="2"/>
  <c r="Q366" i="2"/>
  <c r="Q453" i="2"/>
  <c r="Q471" i="2"/>
  <c r="Q491" i="2"/>
  <c r="Q511" i="2"/>
  <c r="Q531" i="2"/>
  <c r="Q551" i="2"/>
  <c r="Q571" i="2"/>
  <c r="Q605" i="2"/>
  <c r="Q627" i="2"/>
  <c r="Q632" i="2"/>
  <c r="Q639" i="2"/>
  <c r="Q659" i="2"/>
  <c r="Q675" i="2"/>
  <c r="Q684" i="2"/>
  <c r="Q704" i="2"/>
  <c r="Q724" i="2"/>
  <c r="Q744" i="2"/>
  <c r="Q764" i="2"/>
  <c r="Q782" i="2"/>
  <c r="Q798" i="2"/>
  <c r="Q807" i="2"/>
  <c r="Q845" i="2"/>
  <c r="Q863" i="2"/>
  <c r="Q872" i="2"/>
  <c r="Q881" i="2"/>
  <c r="Q89" i="2"/>
  <c r="Q109" i="2"/>
  <c r="Q129" i="2"/>
  <c r="Q149" i="2"/>
  <c r="Q169" i="2"/>
  <c r="Q189" i="2"/>
  <c r="Q209" i="2"/>
  <c r="Q229" i="2"/>
  <c r="Q249" i="2"/>
  <c r="Q251" i="2"/>
  <c r="Q371" i="2"/>
  <c r="Q376" i="2"/>
  <c r="Q381" i="2"/>
  <c r="Q386" i="2"/>
  <c r="Q391" i="2"/>
  <c r="Q396" i="2"/>
  <c r="Q401" i="2"/>
  <c r="Q406" i="2"/>
  <c r="Q460" i="2"/>
  <c r="Q480" i="2"/>
  <c r="Q500" i="2"/>
  <c r="Q520" i="2"/>
  <c r="Q540" i="2"/>
  <c r="Q560" i="2"/>
  <c r="Q610" i="2"/>
  <c r="Q615" i="2"/>
  <c r="Q648" i="2"/>
  <c r="Q668" i="2"/>
  <c r="Q693" i="2"/>
  <c r="Q713" i="2"/>
  <c r="Q733" i="2"/>
  <c r="Q753" i="2"/>
  <c r="Q771" i="2"/>
  <c r="Q816" i="2"/>
  <c r="Q825" i="2"/>
  <c r="Q834" i="2"/>
  <c r="Q900" i="2"/>
  <c r="Q529" i="2"/>
  <c r="Q549" i="2"/>
  <c r="Q569" i="2"/>
  <c r="Q578" i="2"/>
  <c r="Q637" i="2"/>
  <c r="Q891" i="2"/>
  <c r="Q646" i="2"/>
  <c r="Q666" i="2"/>
  <c r="Q673" i="2"/>
  <c r="Q691" i="2"/>
  <c r="Q711" i="2"/>
  <c r="Q731" i="2"/>
  <c r="Q751" i="2"/>
  <c r="Q805" i="2"/>
  <c r="Q814" i="2"/>
  <c r="Q823" i="2"/>
  <c r="Q879" i="2"/>
  <c r="Q498" i="2"/>
  <c r="Q518" i="2"/>
  <c r="Q538" i="2"/>
  <c r="Q558" i="2"/>
  <c r="Q16" i="2"/>
  <c r="Q36" i="2"/>
  <c r="Q56" i="2"/>
  <c r="Q76" i="2"/>
  <c r="Q96" i="2"/>
  <c r="Q116" i="2"/>
  <c r="Q136" i="2"/>
  <c r="Q156" i="2"/>
  <c r="Q176" i="2"/>
  <c r="Q196" i="2"/>
  <c r="Q216" i="2"/>
  <c r="Q236" i="2"/>
  <c r="Q364" i="2"/>
  <c r="Q467" i="2"/>
  <c r="Q487" i="2"/>
  <c r="Q507" i="2"/>
  <c r="Q527" i="2"/>
  <c r="Q547" i="2"/>
  <c r="Q567" i="2"/>
  <c r="Q630" i="2"/>
  <c r="Q635" i="2"/>
  <c r="Q655" i="2"/>
  <c r="Q680" i="2"/>
  <c r="Q700" i="2"/>
  <c r="Q720" i="2"/>
  <c r="Q740" i="2"/>
  <c r="Q760" i="2"/>
  <c r="Q769" i="2"/>
  <c r="Q778" i="2"/>
  <c r="Q794" i="2"/>
  <c r="Q832" i="2"/>
  <c r="Q841" i="2"/>
  <c r="Q850" i="2"/>
  <c r="Q859" i="2"/>
  <c r="Q456" i="2"/>
  <c r="Q476" i="2"/>
  <c r="Q496" i="2"/>
  <c r="Q516" i="2"/>
  <c r="Q536" i="2"/>
  <c r="Q556" i="2"/>
  <c r="Q576" i="2"/>
  <c r="Q608" i="2"/>
  <c r="Q613" i="2"/>
  <c r="Q644" i="2"/>
  <c r="Q664" i="2"/>
  <c r="Q689" i="2"/>
  <c r="Q709" i="2"/>
  <c r="Q729" i="2"/>
  <c r="Q749" i="2"/>
  <c r="Q803" i="2"/>
  <c r="Q877" i="2"/>
  <c r="Q896" i="2"/>
  <c r="Q653" i="2"/>
  <c r="Q678" i="2"/>
  <c r="Q698" i="2"/>
  <c r="Q718" i="2"/>
  <c r="Q738" i="2"/>
  <c r="Q758" i="2"/>
  <c r="Q776" i="2"/>
  <c r="Q785" i="2"/>
  <c r="Q792" i="2"/>
  <c r="Q830" i="2"/>
  <c r="Q839" i="2"/>
  <c r="Q857" i="2"/>
  <c r="Q884" i="2"/>
  <c r="Q889" i="2"/>
  <c r="Q894" i="2"/>
  <c r="Q903" i="2"/>
  <c r="Q12" i="2"/>
  <c r="Q32" i="2"/>
  <c r="Q52" i="2"/>
  <c r="Q72" i="2"/>
  <c r="Q92" i="2"/>
  <c r="Q112" i="2"/>
  <c r="Q132" i="2"/>
  <c r="Q152" i="2"/>
  <c r="Q172" i="2"/>
  <c r="Q192" i="2"/>
  <c r="Q212" i="2"/>
  <c r="Q232" i="2"/>
  <c r="Q367" i="2"/>
  <c r="Q503" i="2"/>
  <c r="Q523" i="2"/>
  <c r="Q543" i="2"/>
  <c r="Q563" i="2"/>
  <c r="Q606" i="2"/>
  <c r="Q628" i="2"/>
  <c r="Q633" i="2"/>
  <c r="Q651" i="2"/>
  <c r="Q676" i="2"/>
  <c r="Q696" i="2"/>
  <c r="Q716" i="2"/>
  <c r="Q736" i="2"/>
  <c r="Q756" i="2"/>
  <c r="Q774" i="2"/>
  <c r="Q790" i="2"/>
  <c r="Q828" i="2"/>
  <c r="Q837" i="2"/>
  <c r="Q855" i="2"/>
  <c r="Q41" i="2"/>
  <c r="Q61" i="2"/>
  <c r="Q81" i="2"/>
  <c r="Q101" i="2"/>
  <c r="Q121" i="2"/>
  <c r="Q141" i="2"/>
  <c r="Q161" i="2"/>
  <c r="Q181" i="2"/>
  <c r="Q201" i="2"/>
  <c r="Q221" i="2"/>
  <c r="Q241" i="2"/>
  <c r="Q372" i="2"/>
  <c r="Q377" i="2"/>
  <c r="Q382" i="2"/>
  <c r="Q387" i="2"/>
  <c r="Q392" i="2"/>
  <c r="Q397" i="2"/>
  <c r="Q402" i="2"/>
  <c r="Q407" i="2"/>
  <c r="Q472" i="2"/>
  <c r="Q492" i="2"/>
  <c r="Q512" i="2"/>
  <c r="Q532" i="2"/>
  <c r="Q552" i="2"/>
  <c r="Q572" i="2"/>
  <c r="Q611" i="2"/>
  <c r="Q640" i="2"/>
  <c r="Q660" i="2"/>
  <c r="Q705" i="2"/>
  <c r="Q725" i="2"/>
  <c r="Q745" i="2"/>
  <c r="Q765" i="2"/>
  <c r="Q783" i="2"/>
  <c r="Q799" i="2"/>
  <c r="Q808" i="2"/>
  <c r="Q846" i="2"/>
  <c r="Q864" i="2"/>
  <c r="Q873" i="2"/>
  <c r="Q882" i="2"/>
  <c r="Q21" i="2"/>
  <c r="Q10" i="2"/>
  <c r="Q30" i="2"/>
  <c r="Q50" i="2"/>
  <c r="Q70" i="2"/>
  <c r="Q90" i="2"/>
  <c r="Q110" i="2"/>
  <c r="Q130" i="2"/>
  <c r="Q150" i="2"/>
  <c r="Q170" i="2"/>
  <c r="Q190" i="2"/>
  <c r="Q210" i="2"/>
  <c r="Q230" i="2"/>
  <c r="Q250" i="2"/>
  <c r="Q412" i="2"/>
  <c r="Q417" i="2"/>
  <c r="Q422" i="2"/>
  <c r="Q427" i="2"/>
  <c r="Q432" i="2"/>
  <c r="Q437" i="2"/>
  <c r="Q442" i="2"/>
  <c r="Q447" i="2"/>
  <c r="Q461" i="2"/>
  <c r="Q481" i="2"/>
  <c r="Q501" i="2"/>
  <c r="Q521" i="2"/>
  <c r="Q541" i="2"/>
  <c r="Q561" i="2"/>
  <c r="Q579" i="2"/>
  <c r="Q616" i="2"/>
  <c r="Q649" i="2"/>
  <c r="Q669" i="2"/>
  <c r="Q694" i="2"/>
  <c r="Q714" i="2"/>
  <c r="Q734" i="2"/>
  <c r="Q754" i="2"/>
  <c r="Q772" i="2"/>
  <c r="Q788" i="2"/>
  <c r="Q817" i="2"/>
  <c r="Q826" i="2"/>
  <c r="Q835" i="2"/>
  <c r="Q853" i="2"/>
  <c r="Q887" i="2"/>
  <c r="Q892" i="2"/>
  <c r="Q901" i="2"/>
  <c r="Q59" i="2"/>
  <c r="Q79" i="2"/>
  <c r="Q99" i="2"/>
  <c r="Q119" i="2"/>
  <c r="Q139" i="2"/>
  <c r="Q159" i="2"/>
  <c r="Q179" i="2"/>
  <c r="Q199" i="2"/>
  <c r="Q219" i="2"/>
  <c r="Q239" i="2"/>
  <c r="Q255" i="2"/>
  <c r="Q260" i="2"/>
  <c r="Q265" i="2"/>
  <c r="Q270" i="2"/>
  <c r="Q275" i="2"/>
  <c r="Q280" i="2"/>
  <c r="Q285" i="2"/>
  <c r="Q290" i="2"/>
  <c r="Q295" i="2"/>
  <c r="Q300" i="2"/>
  <c r="Q305" i="2"/>
  <c r="Q310" i="2"/>
  <c r="Q315" i="2"/>
  <c r="Q320" i="2"/>
  <c r="Q325" i="2"/>
  <c r="Q330" i="2"/>
  <c r="Q335" i="2"/>
  <c r="Q340" i="2"/>
  <c r="Q345" i="2"/>
  <c r="Q350" i="2"/>
  <c r="Q355" i="2"/>
  <c r="Q360" i="2"/>
  <c r="Q470" i="2"/>
  <c r="Q490" i="2"/>
  <c r="Q510" i="2"/>
  <c r="Q530" i="2"/>
  <c r="Q550" i="2"/>
  <c r="Q570" i="2"/>
  <c r="Q584" i="2"/>
  <c r="Q589" i="2"/>
  <c r="Q594" i="2"/>
  <c r="Q599" i="2"/>
  <c r="Q604" i="2"/>
  <c r="Q621" i="2"/>
  <c r="Q626" i="2"/>
  <c r="Q638" i="2"/>
  <c r="Q658" i="2"/>
  <c r="Q683" i="2"/>
  <c r="Q703" i="2"/>
  <c r="Q723" i="2"/>
  <c r="Q763" i="2"/>
  <c r="Q781" i="2"/>
  <c r="Q797" i="2"/>
  <c r="Q806" i="2"/>
  <c r="Q862" i="2"/>
  <c r="Q871" i="2"/>
  <c r="Q880" i="2"/>
  <c r="Q559" i="2"/>
  <c r="Q631" i="2"/>
  <c r="Q647" i="2"/>
  <c r="Q899" i="2"/>
  <c r="Q452" i="2"/>
  <c r="Q459" i="2"/>
  <c r="Q479" i="2"/>
  <c r="Q499" i="2"/>
  <c r="Q519" i="2"/>
  <c r="Q539" i="2"/>
  <c r="Q17" i="2"/>
  <c r="Q37" i="2"/>
  <c r="Q57" i="2"/>
  <c r="Q77" i="2"/>
  <c r="Q97" i="2"/>
  <c r="Q117" i="2"/>
  <c r="Q137" i="2"/>
  <c r="Q157" i="2"/>
  <c r="Q177" i="2"/>
  <c r="Q197" i="2"/>
  <c r="Q217" i="2"/>
  <c r="Q237" i="2"/>
  <c r="Q370" i="2"/>
  <c r="Q375" i="2"/>
  <c r="Q380" i="2"/>
  <c r="Q385" i="2"/>
  <c r="Q390" i="2"/>
  <c r="Q395" i="2"/>
  <c r="Q400" i="2"/>
  <c r="Q405" i="2"/>
  <c r="Q468" i="2"/>
  <c r="Q488" i="2"/>
  <c r="Q508" i="2"/>
  <c r="Q528" i="2"/>
  <c r="Q548" i="2"/>
  <c r="Q568" i="2"/>
  <c r="Q609" i="2"/>
  <c r="Q614" i="2"/>
  <c r="Q636" i="2"/>
  <c r="Q656" i="2"/>
  <c r="Q681" i="2"/>
  <c r="Q701" i="2"/>
  <c r="Q721" i="2"/>
  <c r="Q741" i="2"/>
  <c r="Q761" i="2"/>
  <c r="Q779" i="2"/>
  <c r="Q795" i="2"/>
  <c r="Q833" i="2"/>
  <c r="Q842" i="2"/>
  <c r="Q851" i="2"/>
  <c r="Q860" i="2"/>
  <c r="Q869" i="2"/>
  <c r="Q66" i="2"/>
  <c r="Q685" i="2"/>
</calcChain>
</file>

<file path=xl/sharedStrings.xml><?xml version="1.0" encoding="utf-8"?>
<sst xmlns="http://schemas.openxmlformats.org/spreadsheetml/2006/main" count="10905" uniqueCount="2109">
  <si>
    <t>範例 7｜客服案件與服務品質資料</t>
  </si>
  <si>
    <t>藍色欄位是原始輸入資料；灰色欄位是系統自動產生的衍生資料，包含查表帶入、時間計算與條件判斷，並不都是數字運算。</t>
  </si>
  <si>
    <t>項目</t>
  </si>
  <si>
    <t>內容</t>
  </si>
  <si>
    <t>資料主題</t>
  </si>
  <si>
    <t>客服案件追蹤與服務品質</t>
  </si>
  <si>
    <t>資料截止時間</t>
  </si>
  <si>
    <t>資料性質</t>
  </si>
  <si>
    <t>所有人名、客戶編號、工單與回饋內容均為模擬資料</t>
  </si>
  <si>
    <t>工作表</t>
  </si>
  <si>
    <t>主要內容</t>
  </si>
  <si>
    <t>資料角色</t>
  </si>
  <si>
    <t>使用提醒</t>
  </si>
  <si>
    <t>客服工單</t>
  </si>
  <si>
    <t>案件、管道、問題類型、狀態與 SLA</t>
  </si>
  <si>
    <t>主要分析明細</t>
  </si>
  <si>
    <t>灰色欄位為公式計算欄位</t>
  </si>
  <si>
    <t>人員與團隊</t>
  </si>
  <si>
    <t>人員、團隊、專長與建議工作量</t>
  </si>
  <si>
    <t>主檔</t>
  </si>
  <si>
    <t>可依人員編號連接客服工單</t>
  </si>
  <si>
    <t>各優先程度的回覆與結案時限</t>
  </si>
  <si>
    <t>規則表</t>
  </si>
  <si>
    <t>客服工單中的 SLA 欄位引用此表</t>
  </si>
  <si>
    <t>滿意度調查</t>
  </si>
  <si>
    <t>結案後的評分與文字回饋</t>
  </si>
  <si>
    <t>調查明細</t>
  </si>
  <si>
    <t>可依工單編號連接客服工單</t>
  </si>
  <si>
    <t>公式判斷未結案案件是否逾期的基準</t>
  </si>
  <si>
    <t>設定值</t>
  </si>
  <si>
    <t>如要延伸練習，可修改 B6</t>
  </si>
  <si>
    <t>欄位類型</t>
  </si>
  <si>
    <t>顯示顏色</t>
  </si>
  <si>
    <t>包含欄位</t>
  </si>
  <si>
    <t>產生方式</t>
  </si>
  <si>
    <t>是否人工輸入</t>
  </si>
  <si>
    <t>原始輸入欄位</t>
  </si>
  <si>
    <t>藍色／白色</t>
  </si>
  <si>
    <t>工單編號、時間、管道、問題、優先程度、人員、狀態等</t>
  </si>
  <si>
    <t>由客服系統或人員記錄</t>
  </si>
  <si>
    <t>保留案件實際發生的內容</t>
  </si>
  <si>
    <t>是</t>
  </si>
  <si>
    <t>查表帶入欄位</t>
  </si>
  <si>
    <t>灰色</t>
  </si>
  <si>
    <t>負責團隊、兩個 SLA 上限、整體滿意度</t>
  </si>
  <si>
    <t>用識別欄位連接其他工作表後帶入</t>
  </si>
  <si>
    <t>避免在每筆工單重複輸入相同資料</t>
  </si>
  <si>
    <t>否</t>
  </si>
  <si>
    <t>時間計算欄位</t>
  </si>
  <si>
    <t>首次回覆分鐘、處理時間小時、目前等待小時</t>
  </si>
  <si>
    <t>由兩個日期時間相減</t>
  </si>
  <si>
    <t>把時間差轉成可比較的分鐘或小時</t>
  </si>
  <si>
    <t>條件判斷／整理欄位</t>
  </si>
  <si>
    <t>SLA狀態、調查回覆、服務月份</t>
  </si>
  <si>
    <t>依其他欄位判斷或轉換格式</t>
  </si>
  <si>
    <t>方便篩選、統計與製作儀表板</t>
  </si>
  <si>
    <t>SLA 判斷步驟</t>
  </si>
  <si>
    <t>使用欄位</t>
  </si>
  <si>
    <t>資料從哪裡來</t>
  </si>
  <si>
    <t>產生結果</t>
  </si>
  <si>
    <t>已結案案件怎麼判斷</t>
  </si>
  <si>
    <t>未結案案件怎麼判斷</t>
  </si>
  <si>
    <t>1. 取得服務標準</t>
  </si>
  <si>
    <t>優先程度</t>
  </si>
  <si>
    <t>客服工單 G 欄連接「SLA標準」</t>
  </si>
  <si>
    <t>首次回覆上限、結案上限</t>
  </si>
  <si>
    <t>套用對應優先程度的標準</t>
  </si>
  <si>
    <t>2. 計算回覆速度</t>
  </si>
  <si>
    <t>建立日期時間、首次回覆時間</t>
  </si>
  <si>
    <t>客服工單 B、K 欄</t>
  </si>
  <si>
    <t>首次回覆分鐘</t>
  </si>
  <si>
    <t>K－B，結果必須小於等於回覆上限</t>
  </si>
  <si>
    <t>3. 計算處理時間</t>
  </si>
  <si>
    <t>建立日期時間、結案時間</t>
  </si>
  <si>
    <t>客服工單 B、L 欄</t>
  </si>
  <si>
    <t>處理時間小時</t>
  </si>
  <si>
    <t>L－B，結果必須小於等於結案上限</t>
  </si>
  <si>
    <t>尚未結案，因此改看目前等待小時</t>
  </si>
  <si>
    <t>4. 計算目前等待</t>
  </si>
  <si>
    <t>資料截止時間、建立日期時間</t>
  </si>
  <si>
    <t>使用說明 B6、客服工單 B 欄</t>
  </si>
  <si>
    <t>目前等待小時</t>
  </si>
  <si>
    <t>已結案，顯示 0</t>
  </si>
  <si>
    <t>資料截止時間－B，必須小於等於結案上限</t>
  </si>
  <si>
    <t>5. 產生 SLA 狀態</t>
  </si>
  <si>
    <t>實際時間、SLA上限、案件狀態</t>
  </si>
  <si>
    <t>客服工單 J、M～Q、V 欄</t>
  </si>
  <si>
    <t>達標／進行中／逾期</t>
  </si>
  <si>
    <t>回覆與結案兩項都未超時才是達標</t>
  </si>
  <si>
    <t>回覆或等待時間任一超時就是逾期，否則是進行中</t>
  </si>
  <si>
    <t>重點</t>
  </si>
  <si>
    <t>SLA同時檢查兩件事</t>
  </si>
  <si>
    <t>是否及時回覆＋是否及時完成</t>
  </si>
  <si>
    <t>服務時效結論</t>
  </si>
  <si>
    <t>不能只看結案時間</t>
  </si>
  <si>
    <t>不能因尚未結案就忽略首次回覆是否超時</t>
  </si>
  <si>
    <t>客服工單欄位</t>
  </si>
  <si>
    <t>資料來源／產生方式</t>
  </si>
  <si>
    <t>與其他欄位的關係</t>
  </si>
  <si>
    <t>判讀重點</t>
  </si>
  <si>
    <t>儀表板用途</t>
  </si>
  <si>
    <t>工單編號</t>
  </si>
  <si>
    <t>原始輸入</t>
  </si>
  <si>
    <t>客服系統</t>
  </si>
  <si>
    <t>連接「滿意度調查」的主要識別欄位</t>
  </si>
  <si>
    <t>每件工單唯一，不可重複</t>
  </si>
  <si>
    <t>案件數、明細追查</t>
  </si>
  <si>
    <t>建立日期時間</t>
  </si>
  <si>
    <t>客服系統建立工單時記錄</t>
  </si>
  <si>
    <t>與首次回覆、結案及資料截止時間相減</t>
  </si>
  <si>
    <t>是所有時間計算的起點</t>
  </si>
  <si>
    <t>日期篩選、案件趨勢</t>
  </si>
  <si>
    <t>客戶編號</t>
  </si>
  <si>
    <t>識別提出問題的客戶</t>
  </si>
  <si>
    <t>本範例未另建客戶主檔</t>
  </si>
  <si>
    <t>客戶來件次數</t>
  </si>
  <si>
    <t>服務管道</t>
  </si>
  <si>
    <t>受理案件時記錄</t>
  </si>
  <si>
    <t>電話、Email、線上客服或社群</t>
  </si>
  <si>
    <t>與回覆速度及重複來件率比較</t>
  </si>
  <si>
    <t>管道篩選</t>
  </si>
  <si>
    <t>問題類型</t>
  </si>
  <si>
    <t>受理案件時分類</t>
  </si>
  <si>
    <t>問題的大分類</t>
  </si>
  <si>
    <t>上層分類，可搭配問題細項</t>
  </si>
  <si>
    <t>問題分布、逾期率</t>
  </si>
  <si>
    <t>問題細項</t>
  </si>
  <si>
    <t>問題類型下的具體原因</t>
  </si>
  <si>
    <t>用於進一步追查</t>
  </si>
  <si>
    <t>問題明細</t>
  </si>
  <si>
    <t>受理案件時判定</t>
  </si>
  <si>
    <t>連接「SLA標準」的查找鍵</t>
  </si>
  <si>
    <t>決定回覆與結案時限</t>
  </si>
  <si>
    <t>優先程度篩選</t>
  </si>
  <si>
    <t>負責人員編號</t>
  </si>
  <si>
    <t>案件分派結果</t>
  </si>
  <si>
    <t>連接「人員與團隊」的查找鍵</t>
  </si>
  <si>
    <t>決定由誰負責</t>
  </si>
  <si>
    <t>人員工作量</t>
  </si>
  <si>
    <t>負責團隊</t>
  </si>
  <si>
    <t>查表帶入</t>
  </si>
  <si>
    <t>依負責人員編號查找「人員與團隊」</t>
  </si>
  <si>
    <t>人員編號 → 人員主檔 → 所屬團隊</t>
  </si>
  <si>
    <t>不是算出來；是避免重複輸入而自動帶入</t>
  </si>
  <si>
    <t>團隊篩選、負荷比較</t>
  </si>
  <si>
    <t>案件狀態</t>
  </si>
  <si>
    <t>案件處理進度</t>
  </si>
  <si>
    <t>決定 SLA 狀態採已結案或未結案邏輯</t>
  </si>
  <si>
    <t>待處理、處理中、等待客戶、已結案</t>
  </si>
  <si>
    <t>未結案案件數</t>
  </si>
  <si>
    <t>首次回覆時間</t>
  </si>
  <si>
    <t>第一次回覆時記錄</t>
  </si>
  <si>
    <t>與建立日期時間相減</t>
  </si>
  <si>
    <t>產生首次回覆分鐘</t>
  </si>
  <si>
    <t>回覆速度</t>
  </si>
  <si>
    <t>結案時間</t>
  </si>
  <si>
    <t>案件完成時記錄</t>
  </si>
  <si>
    <t>未結案案件保持空白</t>
  </si>
  <si>
    <t>結案速度</t>
  </si>
  <si>
    <t>時間計算</t>
  </si>
  <si>
    <t>首次回覆時間－建立日期時間</t>
  </si>
  <si>
    <t>與首次回覆上限比較</t>
  </si>
  <si>
    <t>判斷第一次回覆是否符合 SLA</t>
  </si>
  <si>
    <t>平均回覆時間</t>
  </si>
  <si>
    <t>結案時間－建立日期時間</t>
  </si>
  <si>
    <t>與結案上限比較</t>
  </si>
  <si>
    <t>只有已結案案件才有數值</t>
  </si>
  <si>
    <t>平均處理時間</t>
  </si>
  <si>
    <t>首次回覆上限（分鐘）</t>
  </si>
  <si>
    <t>依優先程度查找「SLA標準」</t>
  </si>
  <si>
    <t>優先程度 → SLA 標準 → 回覆上限</t>
  </si>
  <si>
    <t>不是人工輸入</t>
  </si>
  <si>
    <t>SLA判斷</t>
  </si>
  <si>
    <t>結案上限（小時）</t>
  </si>
  <si>
    <t>優先程度 → SLA 標準 → 結案上限</t>
  </si>
  <si>
    <t>SLA狀態</t>
  </si>
  <si>
    <t>條件判斷</t>
  </si>
  <si>
    <t>比較實際時間與兩個 SLA 上限</t>
  </si>
  <si>
    <t>同時受案件狀態、回覆分鐘、處理／等待時間影響</t>
  </si>
  <si>
    <t>顯示達標、進行中或逾期</t>
  </si>
  <si>
    <t>SLA達成率、逾期清單</t>
  </si>
  <si>
    <t>是否重複來件</t>
  </si>
  <si>
    <t>客服紀錄或系統比對</t>
  </si>
  <si>
    <t>表示相同問題是否再次聯繫</t>
  </si>
  <si>
    <t>可搭配管道與問題類型分析</t>
  </si>
  <si>
    <t>重複來件率</t>
  </si>
  <si>
    <t>調查回覆</t>
  </si>
  <si>
    <t>檢查是否查得到整體滿意度</t>
  </si>
  <si>
    <t>整體滿意度有值＝是；空白＝否</t>
  </si>
  <si>
    <t>不是另一份獨立調查結果</t>
  </si>
  <si>
    <t>調查回收率</t>
  </si>
  <si>
    <t>整體滿意度</t>
  </si>
  <si>
    <t>依工單編號查找「滿意度調查」</t>
  </si>
  <si>
    <t>工單編號 → 滿意度調查 → 整體評分</t>
  </si>
  <si>
    <t>未回覆調查時保持空白</t>
  </si>
  <si>
    <t>平均滿意度</t>
  </si>
  <si>
    <t>服務月份</t>
  </si>
  <si>
    <t>格式整理</t>
  </si>
  <si>
    <t>由建立日期時間轉換</t>
  </si>
  <si>
    <t>例如 2026-04-01 → 2026-04</t>
  </si>
  <si>
    <t>方便按月彙總</t>
  </si>
  <si>
    <t>月份趨勢</t>
  </si>
  <si>
    <t>資料截止時間－建立日期時間</t>
  </si>
  <si>
    <t>只用於尚未結案案件；已結案顯示 0</t>
  </si>
  <si>
    <t>與結案上限比較是否已逾期</t>
  </si>
  <si>
    <t>待辦與逾期追蹤</t>
  </si>
  <si>
    <t>客服工單明細</t>
  </si>
  <si>
    <t>藍色／白色為原始輸入欄位；灰色為系統自動產生欄位，包含查表帶入、時間計算與條件判斷。資料期間：2026-04-01～2026-06-30。</t>
  </si>
  <si>
    <t>TK-2026-0001</t>
  </si>
  <si>
    <t>C0319</t>
  </si>
  <si>
    <t>線上客服</t>
  </si>
  <si>
    <t>登入問題</t>
  </si>
  <si>
    <t>忘記密碼</t>
  </si>
  <si>
    <t>低</t>
  </si>
  <si>
    <t>E008</t>
  </si>
  <si>
    <t>已結案</t>
  </si>
  <si>
    <t>TK-2026-0002</t>
  </si>
  <si>
    <t>C0285</t>
  </si>
  <si>
    <t>Email</t>
  </si>
  <si>
    <t>系統異常</t>
  </si>
  <si>
    <t>功能操作失敗</t>
  </si>
  <si>
    <t>高</t>
  </si>
  <si>
    <t>E006</t>
  </si>
  <si>
    <t>TK-2026-0003</t>
  </si>
  <si>
    <t>C0178</t>
  </si>
  <si>
    <t>電話</t>
  </si>
  <si>
    <t>無法完成登入</t>
  </si>
  <si>
    <t>E002</t>
  </si>
  <si>
    <t>TK-2026-0004</t>
  </si>
  <si>
    <t>C0293</t>
  </si>
  <si>
    <t>退換貨</t>
  </si>
  <si>
    <t>換貨進度查詢</t>
  </si>
  <si>
    <t>E005</t>
  </si>
  <si>
    <t>TK-2026-0005</t>
  </si>
  <si>
    <t>C0266</t>
  </si>
  <si>
    <t>訂單問題</t>
  </si>
  <si>
    <t>優惠未套用</t>
  </si>
  <si>
    <t>E007</t>
  </si>
  <si>
    <t>TK-2026-0006</t>
  </si>
  <si>
    <t>C0251</t>
  </si>
  <si>
    <t>社群</t>
  </si>
  <si>
    <t>無法修改訂單</t>
  </si>
  <si>
    <t>一般</t>
  </si>
  <si>
    <t>E015</t>
  </si>
  <si>
    <t>TK-2026-0007</t>
  </si>
  <si>
    <t>帳務問題</t>
  </si>
  <si>
    <t>退款尚未入帳</t>
  </si>
  <si>
    <t>TK-2026-0008</t>
  </si>
  <si>
    <t>C0185</t>
  </si>
  <si>
    <t>資料未同步</t>
  </si>
  <si>
    <t>E010</t>
  </si>
  <si>
    <t>TK-2026-0009</t>
  </si>
  <si>
    <t>C0035</t>
  </si>
  <si>
    <t>訂單內容錯誤</t>
  </si>
  <si>
    <t>E021</t>
  </si>
  <si>
    <t>TK-2026-0010</t>
  </si>
  <si>
    <t>C0162</t>
  </si>
  <si>
    <t>頁面無法開啟</t>
  </si>
  <si>
    <t>TK-2026-0011</t>
  </si>
  <si>
    <t>C0153</t>
  </si>
  <si>
    <t>TK-2026-0012</t>
  </si>
  <si>
    <t>C0074</t>
  </si>
  <si>
    <t>E011</t>
  </si>
  <si>
    <t>TK-2026-0013</t>
  </si>
  <si>
    <t>C0121</t>
  </si>
  <si>
    <t>配送問題</t>
  </si>
  <si>
    <t>商品尚未到貨</t>
  </si>
  <si>
    <t>E016</t>
  </si>
  <si>
    <t>TK-2026-0014</t>
  </si>
  <si>
    <t>C0300</t>
  </si>
  <si>
    <t>TK-2026-0015</t>
  </si>
  <si>
    <t>C0082</t>
  </si>
  <si>
    <t>退貨運費爭議</t>
  </si>
  <si>
    <t>TK-2026-0016</t>
  </si>
  <si>
    <t>E014</t>
  </si>
  <si>
    <t>等待客戶</t>
  </si>
  <si>
    <t>TK-2026-0017</t>
  </si>
  <si>
    <t>C0114</t>
  </si>
  <si>
    <t>發票資料錯誤</t>
  </si>
  <si>
    <t>E013</t>
  </si>
  <si>
    <t>TK-2026-0018</t>
  </si>
  <si>
    <t>C0253</t>
  </si>
  <si>
    <t>付款失敗</t>
  </si>
  <si>
    <t>TK-2026-0019</t>
  </si>
  <si>
    <t>C0097</t>
  </si>
  <si>
    <t>E024</t>
  </si>
  <si>
    <t>TK-2026-0020</t>
  </si>
  <si>
    <t>C0228</t>
  </si>
  <si>
    <t>TK-2026-0021</t>
  </si>
  <si>
    <t>C0191</t>
  </si>
  <si>
    <t>TK-2026-0022</t>
  </si>
  <si>
    <t>C0179</t>
  </si>
  <si>
    <t>TK-2026-0023</t>
  </si>
  <si>
    <t>C0095</t>
  </si>
  <si>
    <t>TK-2026-0024</t>
  </si>
  <si>
    <t>C0212</t>
  </si>
  <si>
    <t>TK-2026-0025</t>
  </si>
  <si>
    <t>C0068</t>
  </si>
  <si>
    <t>訂單狀態未更新</t>
  </si>
  <si>
    <t>TK-2026-0026</t>
  </si>
  <si>
    <t>C0287</t>
  </si>
  <si>
    <t>物流狀態未更新</t>
  </si>
  <si>
    <t>TK-2026-0027</t>
  </si>
  <si>
    <t>C0140</t>
  </si>
  <si>
    <t>配送時間異常</t>
  </si>
  <si>
    <t>E020</t>
  </si>
  <si>
    <t>TK-2026-0028</t>
  </si>
  <si>
    <t>C0275</t>
  </si>
  <si>
    <t>TK-2026-0029</t>
  </si>
  <si>
    <t>C0026</t>
  </si>
  <si>
    <t>E017</t>
  </si>
  <si>
    <t>TK-2026-0030</t>
  </si>
  <si>
    <t>C0161</t>
  </si>
  <si>
    <t>TK-2026-0031</t>
  </si>
  <si>
    <t>C0238</t>
  </si>
  <si>
    <t>E003</t>
  </si>
  <si>
    <t>TK-2026-0032</t>
  </si>
  <si>
    <t>C0098</t>
  </si>
  <si>
    <t>TK-2026-0033</t>
  </si>
  <si>
    <t>C0289</t>
  </si>
  <si>
    <t>商品瑕疵</t>
  </si>
  <si>
    <t>TK-2026-0034</t>
  </si>
  <si>
    <t>C0180</t>
  </si>
  <si>
    <t>TK-2026-0035</t>
  </si>
  <si>
    <t>C0190</t>
  </si>
  <si>
    <t>E022</t>
  </si>
  <si>
    <t>TK-2026-0036</t>
  </si>
  <si>
    <t>C0102</t>
  </si>
  <si>
    <t>E001</t>
  </si>
  <si>
    <t>TK-2026-0037</t>
  </si>
  <si>
    <t>C0117</t>
  </si>
  <si>
    <t>帳號被鎖定</t>
  </si>
  <si>
    <t>TK-2026-0038</t>
  </si>
  <si>
    <t>C0081</t>
  </si>
  <si>
    <t>驗證碼未收到</t>
  </si>
  <si>
    <t>TK-2026-0039</t>
  </si>
  <si>
    <t>C0099</t>
  </si>
  <si>
    <t>TK-2026-0040</t>
  </si>
  <si>
    <t>C0010</t>
  </si>
  <si>
    <t>申請退貨</t>
  </si>
  <si>
    <t>E004</t>
  </si>
  <si>
    <t>TK-2026-0041</t>
  </si>
  <si>
    <t>C0155</t>
  </si>
  <si>
    <t>TK-2026-0042</t>
  </si>
  <si>
    <t>C0029</t>
  </si>
  <si>
    <t>TK-2026-0043</t>
  </si>
  <si>
    <t>C0263</t>
  </si>
  <si>
    <t>TK-2026-0044</t>
  </si>
  <si>
    <t>TK-2026-0045</t>
  </si>
  <si>
    <t>C0142</t>
  </si>
  <si>
    <t>緊急</t>
  </si>
  <si>
    <t>TK-2026-0046</t>
  </si>
  <si>
    <t>C0214</t>
  </si>
  <si>
    <t>TK-2026-0047</t>
  </si>
  <si>
    <t>C0093</t>
  </si>
  <si>
    <t>TK-2026-0048</t>
  </si>
  <si>
    <t>處理中</t>
  </si>
  <si>
    <t>TK-2026-0049</t>
  </si>
  <si>
    <t>重複扣款</t>
  </si>
  <si>
    <t>TK-2026-0050</t>
  </si>
  <si>
    <t>C0182</t>
  </si>
  <si>
    <t>E009</t>
  </si>
  <si>
    <t>TK-2026-0051</t>
  </si>
  <si>
    <t>TK-2026-0052</t>
  </si>
  <si>
    <t>C0014</t>
  </si>
  <si>
    <t>TK-2026-0053</t>
  </si>
  <si>
    <t>C0248</t>
  </si>
  <si>
    <t>TK-2026-0054</t>
  </si>
  <si>
    <t>C0008</t>
  </si>
  <si>
    <t>TK-2026-0055</t>
  </si>
  <si>
    <t>C0209</t>
  </si>
  <si>
    <t>系統反應緩慢</t>
  </si>
  <si>
    <t>E012</t>
  </si>
  <si>
    <t>TK-2026-0056</t>
  </si>
  <si>
    <t>C0005</t>
  </si>
  <si>
    <t>TK-2026-0057</t>
  </si>
  <si>
    <t>C0002</t>
  </si>
  <si>
    <t>TK-2026-0058</t>
  </si>
  <si>
    <t>C0132</t>
  </si>
  <si>
    <t>TK-2026-0059</t>
  </si>
  <si>
    <t>C0255</t>
  </si>
  <si>
    <t>E019</t>
  </si>
  <si>
    <t>TK-2026-0060</t>
  </si>
  <si>
    <t>C0234</t>
  </si>
  <si>
    <t>E023</t>
  </si>
  <si>
    <t>TK-2026-0061</t>
  </si>
  <si>
    <t>TK-2026-0062</t>
  </si>
  <si>
    <t>C0186</t>
  </si>
  <si>
    <t>TK-2026-0063</t>
  </si>
  <si>
    <t>C0031</t>
  </si>
  <si>
    <t>TK-2026-0064</t>
  </si>
  <si>
    <t>C0079</t>
  </si>
  <si>
    <t>TK-2026-0065</t>
  </si>
  <si>
    <t>TK-2026-0066</t>
  </si>
  <si>
    <t>C0058</t>
  </si>
  <si>
    <t>TK-2026-0067</t>
  </si>
  <si>
    <t>C0147</t>
  </si>
  <si>
    <t>TK-2026-0068</t>
  </si>
  <si>
    <t>C0042</t>
  </si>
  <si>
    <t>TK-2026-0069</t>
  </si>
  <si>
    <t>C0020</t>
  </si>
  <si>
    <t>TK-2026-0070</t>
  </si>
  <si>
    <t>TK-2026-0071</t>
  </si>
  <si>
    <t>C0273</t>
  </si>
  <si>
    <t>TK-2026-0072</t>
  </si>
  <si>
    <t>C0187</t>
  </si>
  <si>
    <t>TK-2026-0073</t>
  </si>
  <si>
    <t>C0250</t>
  </si>
  <si>
    <t>E018</t>
  </si>
  <si>
    <t>TK-2026-0074</t>
  </si>
  <si>
    <t>TK-2026-0075</t>
  </si>
  <si>
    <t>C0108</t>
  </si>
  <si>
    <t>TK-2026-0076</t>
  </si>
  <si>
    <t>C0177</t>
  </si>
  <si>
    <t>TK-2026-0077</t>
  </si>
  <si>
    <t>C0094</t>
  </si>
  <si>
    <t>TK-2026-0078</t>
  </si>
  <si>
    <t>C0057</t>
  </si>
  <si>
    <t>TK-2026-0079</t>
  </si>
  <si>
    <t>TK-2026-0080</t>
  </si>
  <si>
    <t>C0040</t>
  </si>
  <si>
    <t>TK-2026-0081</t>
  </si>
  <si>
    <t>TK-2026-0082</t>
  </si>
  <si>
    <t>C0050</t>
  </si>
  <si>
    <t>TK-2026-0083</t>
  </si>
  <si>
    <t>C0232</t>
  </si>
  <si>
    <t>TK-2026-0084</t>
  </si>
  <si>
    <t>C0019</t>
  </si>
  <si>
    <t>TK-2026-0085</t>
  </si>
  <si>
    <t>C0282</t>
  </si>
  <si>
    <t>TK-2026-0086</t>
  </si>
  <si>
    <t>TK-2026-0087</t>
  </si>
  <si>
    <t>C0146</t>
  </si>
  <si>
    <t>TK-2026-0088</t>
  </si>
  <si>
    <t>C0277</t>
  </si>
  <si>
    <t>TK-2026-0089</t>
  </si>
  <si>
    <t>C0296</t>
  </si>
  <si>
    <t>TK-2026-0090</t>
  </si>
  <si>
    <t>C0256</t>
  </si>
  <si>
    <t>TK-2026-0091</t>
  </si>
  <si>
    <t>TK-2026-0092</t>
  </si>
  <si>
    <t>C0090</t>
  </si>
  <si>
    <t>TK-2026-0093</t>
  </si>
  <si>
    <t>C0025</t>
  </si>
  <si>
    <t>TK-2026-0094</t>
  </si>
  <si>
    <t>C0064</t>
  </si>
  <si>
    <t>TK-2026-0095</t>
  </si>
  <si>
    <t>C0104</t>
  </si>
  <si>
    <t>TK-2026-0096</t>
  </si>
  <si>
    <t>C0200</t>
  </si>
  <si>
    <t>TK-2026-0097</t>
  </si>
  <si>
    <t>TK-2026-0098</t>
  </si>
  <si>
    <t>TK-2026-0099</t>
  </si>
  <si>
    <t>C0307</t>
  </si>
  <si>
    <t>TK-2026-0100</t>
  </si>
  <si>
    <t>TK-2026-0101</t>
  </si>
  <si>
    <t>C0267</t>
  </si>
  <si>
    <t>TK-2026-0102</t>
  </si>
  <si>
    <t>C0038</t>
  </si>
  <si>
    <t>TK-2026-0103</t>
  </si>
  <si>
    <t>C0122</t>
  </si>
  <si>
    <t>TK-2026-0104</t>
  </si>
  <si>
    <t>C0170</t>
  </si>
  <si>
    <t>TK-2026-0105</t>
  </si>
  <si>
    <t>C0239</t>
  </si>
  <si>
    <t>TK-2026-0106</t>
  </si>
  <si>
    <t>TK-2026-0107</t>
  </si>
  <si>
    <t>C0100</t>
  </si>
  <si>
    <t>TK-2026-0108</t>
  </si>
  <si>
    <t>C0189</t>
  </si>
  <si>
    <t>TK-2026-0109</t>
  </si>
  <si>
    <t>C0075</t>
  </si>
  <si>
    <t>TK-2026-0110</t>
  </si>
  <si>
    <t>C0271</t>
  </si>
  <si>
    <t>TK-2026-0111</t>
  </si>
  <si>
    <t>TK-2026-0112</t>
  </si>
  <si>
    <t>C0237</t>
  </si>
  <si>
    <t>TK-2026-0113</t>
  </si>
  <si>
    <t>C0083</t>
  </si>
  <si>
    <t>配送地址錯誤</t>
  </si>
  <si>
    <t>TK-2026-0114</t>
  </si>
  <si>
    <t>C0018</t>
  </si>
  <si>
    <t>TK-2026-0115</t>
  </si>
  <si>
    <t>TK-2026-0116</t>
  </si>
  <si>
    <t>C0223</t>
  </si>
  <si>
    <t>TK-2026-0117</t>
  </si>
  <si>
    <t>TK-2026-0118</t>
  </si>
  <si>
    <t>C0297</t>
  </si>
  <si>
    <t>TK-2026-0119</t>
  </si>
  <si>
    <t>C0254</t>
  </si>
  <si>
    <t>TK-2026-0120</t>
  </si>
  <si>
    <t>C0109</t>
  </si>
  <si>
    <t>TK-2026-0121</t>
  </si>
  <si>
    <t>TK-2026-0122</t>
  </si>
  <si>
    <t>TK-2026-0123</t>
  </si>
  <si>
    <t>C0195</t>
  </si>
  <si>
    <t>TK-2026-0124</t>
  </si>
  <si>
    <t>C0236</t>
  </si>
  <si>
    <t>TK-2026-0125</t>
  </si>
  <si>
    <t>TK-2026-0126</t>
  </si>
  <si>
    <t>C0006</t>
  </si>
  <si>
    <t>TK-2026-0127</t>
  </si>
  <si>
    <t>C0164</t>
  </si>
  <si>
    <t>TK-2026-0128</t>
  </si>
  <si>
    <t>TK-2026-0129</t>
  </si>
  <si>
    <t>TK-2026-0130</t>
  </si>
  <si>
    <t>C0283</t>
  </si>
  <si>
    <t>TK-2026-0131</t>
  </si>
  <si>
    <t>C0085</t>
  </si>
  <si>
    <t>TK-2026-0132</t>
  </si>
  <si>
    <t>C0126</t>
  </si>
  <si>
    <t>TK-2026-0133</t>
  </si>
  <si>
    <t>C0096</t>
  </si>
  <si>
    <t>TK-2026-0134</t>
  </si>
  <si>
    <t>TK-2026-0135</t>
  </si>
  <si>
    <t>C0043</t>
  </si>
  <si>
    <t>TK-2026-0136</t>
  </si>
  <si>
    <t>C0071</t>
  </si>
  <si>
    <t>TK-2026-0137</t>
  </si>
  <si>
    <t>TK-2026-0138</t>
  </si>
  <si>
    <t>TK-2026-0139</t>
  </si>
  <si>
    <t>C0062</t>
  </si>
  <si>
    <t>TK-2026-0140</t>
  </si>
  <si>
    <t>C0276</t>
  </si>
  <si>
    <t>TK-2026-0141</t>
  </si>
  <si>
    <t>TK-2026-0142</t>
  </si>
  <si>
    <t>TK-2026-0143</t>
  </si>
  <si>
    <t>C0264</t>
  </si>
  <si>
    <t>TK-2026-0144</t>
  </si>
  <si>
    <t>C0107</t>
  </si>
  <si>
    <t>TK-2026-0145</t>
  </si>
  <si>
    <t>C0272</t>
  </si>
  <si>
    <t>TK-2026-0146</t>
  </si>
  <si>
    <t>C0158</t>
  </si>
  <si>
    <t>TK-2026-0147</t>
  </si>
  <si>
    <t>C0173</t>
  </si>
  <si>
    <t>TK-2026-0148</t>
  </si>
  <si>
    <t>TK-2026-0149</t>
  </si>
  <si>
    <t>TK-2026-0150</t>
  </si>
  <si>
    <t>C0259</t>
  </si>
  <si>
    <t>TK-2026-0151</t>
  </si>
  <si>
    <t>C0284</t>
  </si>
  <si>
    <t>TK-2026-0152</t>
  </si>
  <si>
    <t>C0054</t>
  </si>
  <si>
    <t>TK-2026-0153</t>
  </si>
  <si>
    <t>TK-2026-0154</t>
  </si>
  <si>
    <t>C0298</t>
  </si>
  <si>
    <t>TK-2026-0155</t>
  </si>
  <si>
    <t>C0113</t>
  </si>
  <si>
    <t>TK-2026-0156</t>
  </si>
  <si>
    <t>C0055</t>
  </si>
  <si>
    <t>TK-2026-0157</t>
  </si>
  <si>
    <t>C0181</t>
  </si>
  <si>
    <t>TK-2026-0158</t>
  </si>
  <si>
    <t>C0044</t>
  </si>
  <si>
    <t>TK-2026-0159</t>
  </si>
  <si>
    <t>TK-2026-0160</t>
  </si>
  <si>
    <t>TK-2026-0161</t>
  </si>
  <si>
    <t>C0184</t>
  </si>
  <si>
    <t>TK-2026-0162</t>
  </si>
  <si>
    <t>C0125</t>
  </si>
  <si>
    <t>TK-2026-0163</t>
  </si>
  <si>
    <t>C0092</t>
  </si>
  <si>
    <t>TK-2026-0164</t>
  </si>
  <si>
    <t>C0215</t>
  </si>
  <si>
    <t>TK-2026-0165</t>
  </si>
  <si>
    <t>C0145</t>
  </si>
  <si>
    <t>TK-2026-0166</t>
  </si>
  <si>
    <t>TK-2026-0167</t>
  </si>
  <si>
    <t>C0024</t>
  </si>
  <si>
    <t>TK-2026-0168</t>
  </si>
  <si>
    <t>C0245</t>
  </si>
  <si>
    <t>TK-2026-0169</t>
  </si>
  <si>
    <t>C0208</t>
  </si>
  <si>
    <t>TK-2026-0170</t>
  </si>
  <si>
    <t>TK-2026-0171</t>
  </si>
  <si>
    <t>C0286</t>
  </si>
  <si>
    <t>TK-2026-0172</t>
  </si>
  <si>
    <t>TK-2026-0173</t>
  </si>
  <si>
    <t>TK-2026-0174</t>
  </si>
  <si>
    <t>TK-2026-0175</t>
  </si>
  <si>
    <t>TK-2026-0176</t>
  </si>
  <si>
    <t>C0052</t>
  </si>
  <si>
    <t>TK-2026-0177</t>
  </si>
  <si>
    <t>C0192</t>
  </si>
  <si>
    <t>TK-2026-0178</t>
  </si>
  <si>
    <t>TK-2026-0179</t>
  </si>
  <si>
    <t>TK-2026-0180</t>
  </si>
  <si>
    <t>C0309</t>
  </si>
  <si>
    <t>TK-2026-0181</t>
  </si>
  <si>
    <t>TK-2026-0182</t>
  </si>
  <si>
    <t>TK-2026-0183</t>
  </si>
  <si>
    <t>TK-2026-0184</t>
  </si>
  <si>
    <t>C0303</t>
  </si>
  <si>
    <t>TK-2026-0185</t>
  </si>
  <si>
    <t>TK-2026-0186</t>
  </si>
  <si>
    <t>C0077</t>
  </si>
  <si>
    <t>TK-2026-0187</t>
  </si>
  <si>
    <t>C0194</t>
  </si>
  <si>
    <t>TK-2026-0188</t>
  </si>
  <si>
    <t>C0118</t>
  </si>
  <si>
    <t>TK-2026-0189</t>
  </si>
  <si>
    <t>C0299</t>
  </si>
  <si>
    <t>TK-2026-0190</t>
  </si>
  <si>
    <t>TK-2026-0191</t>
  </si>
  <si>
    <t>C0314</t>
  </si>
  <si>
    <t>TK-2026-0192</t>
  </si>
  <si>
    <t>C0274</t>
  </si>
  <si>
    <t>TK-2026-0193</t>
  </si>
  <si>
    <t>TK-2026-0194</t>
  </si>
  <si>
    <t>C0226</t>
  </si>
  <si>
    <t>TK-2026-0195</t>
  </si>
  <si>
    <t>TK-2026-0196</t>
  </si>
  <si>
    <t>TK-2026-0197</t>
  </si>
  <si>
    <t>C0197</t>
  </si>
  <si>
    <t>TK-2026-0198</t>
  </si>
  <si>
    <t>C0088</t>
  </si>
  <si>
    <t>TK-2026-0199</t>
  </si>
  <si>
    <t>C0135</t>
  </si>
  <si>
    <t>TK-2026-0200</t>
  </si>
  <si>
    <t>C0028</t>
  </si>
  <si>
    <t>TK-2026-0201</t>
  </si>
  <si>
    <t>C0123</t>
  </si>
  <si>
    <t>TK-2026-0202</t>
  </si>
  <si>
    <t>TK-2026-0203</t>
  </si>
  <si>
    <t>TK-2026-0204</t>
  </si>
  <si>
    <t>TK-2026-0205</t>
  </si>
  <si>
    <t>TK-2026-0206</t>
  </si>
  <si>
    <t>TK-2026-0207</t>
  </si>
  <si>
    <t>C0174</t>
  </si>
  <si>
    <t>TK-2026-0208</t>
  </si>
  <si>
    <t>TK-2026-0209</t>
  </si>
  <si>
    <t>C0176</t>
  </si>
  <si>
    <t>TK-2026-0210</t>
  </si>
  <si>
    <t>TK-2026-0211</t>
  </si>
  <si>
    <t>TK-2026-0212</t>
  </si>
  <si>
    <t>TK-2026-0213</t>
  </si>
  <si>
    <t>TK-2026-0214</t>
  </si>
  <si>
    <t>C0233</t>
  </si>
  <si>
    <t>TK-2026-0215</t>
  </si>
  <si>
    <t>C0134</t>
  </si>
  <si>
    <t>TK-2026-0216</t>
  </si>
  <si>
    <t>C0128</t>
  </si>
  <si>
    <t>TK-2026-0217</t>
  </si>
  <si>
    <t>C0168</t>
  </si>
  <si>
    <t>TK-2026-0218</t>
  </si>
  <si>
    <t>C0252</t>
  </si>
  <si>
    <t>TK-2026-0219</t>
  </si>
  <si>
    <t>C0290</t>
  </si>
  <si>
    <t>TK-2026-0220</t>
  </si>
  <si>
    <t>TK-2026-0221</t>
  </si>
  <si>
    <t>C0183</t>
  </si>
  <si>
    <t>TK-2026-0222</t>
  </si>
  <si>
    <t>C0084</t>
  </si>
  <si>
    <t>TK-2026-0223</t>
  </si>
  <si>
    <t>TK-2026-0224</t>
  </si>
  <si>
    <t>C0115</t>
  </si>
  <si>
    <t>TK-2026-0225</t>
  </si>
  <si>
    <t>TK-2026-0226</t>
  </si>
  <si>
    <t>TK-2026-0227</t>
  </si>
  <si>
    <t>C0213</t>
  </si>
  <si>
    <t>TK-2026-0228</t>
  </si>
  <si>
    <t>C0308</t>
  </si>
  <si>
    <t>TK-2026-0229</t>
  </si>
  <si>
    <t>C0073</t>
  </si>
  <si>
    <t>TK-2026-0230</t>
  </si>
  <si>
    <t>C0070</t>
  </si>
  <si>
    <t>TK-2026-0231</t>
  </si>
  <si>
    <t>TK-2026-0232</t>
  </si>
  <si>
    <t>TK-2026-0233</t>
  </si>
  <si>
    <t>C0160</t>
  </si>
  <si>
    <t>TK-2026-0234</t>
  </si>
  <si>
    <t>C0037</t>
  </si>
  <si>
    <t>TK-2026-0235</t>
  </si>
  <si>
    <t>TK-2026-0236</t>
  </si>
  <si>
    <t>TK-2026-0237</t>
  </si>
  <si>
    <t>C0111</t>
  </si>
  <si>
    <t>TK-2026-0238</t>
  </si>
  <si>
    <t>C0087</t>
  </si>
  <si>
    <t>TK-2026-0239</t>
  </si>
  <si>
    <t>TK-2026-0240</t>
  </si>
  <si>
    <t>C0154</t>
  </si>
  <si>
    <t>TK-2026-0241</t>
  </si>
  <si>
    <t>C0317</t>
  </si>
  <si>
    <t>TK-2026-0242</t>
  </si>
  <si>
    <t>TK-2026-0243</t>
  </si>
  <si>
    <t>C0032</t>
  </si>
  <si>
    <t>TK-2026-0244</t>
  </si>
  <si>
    <t>TK-2026-0245</t>
  </si>
  <si>
    <t>TK-2026-0246</t>
  </si>
  <si>
    <t>TK-2026-0247</t>
  </si>
  <si>
    <t>C0304</t>
  </si>
  <si>
    <t>TK-2026-0248</t>
  </si>
  <si>
    <t>TK-2026-0249</t>
  </si>
  <si>
    <t>C0227</t>
  </si>
  <si>
    <t>TK-2026-0250</t>
  </si>
  <si>
    <t>TK-2026-0251</t>
  </si>
  <si>
    <t>C0196</t>
  </si>
  <si>
    <t>TK-2026-0252</t>
  </si>
  <si>
    <t>TK-2026-0253</t>
  </si>
  <si>
    <t>C0063</t>
  </si>
  <si>
    <t>TK-2026-0254</t>
  </si>
  <si>
    <t>C0225</t>
  </si>
  <si>
    <t>TK-2026-0255</t>
  </si>
  <si>
    <t>TK-2026-0256</t>
  </si>
  <si>
    <t>C0246</t>
  </si>
  <si>
    <t>TK-2026-0257</t>
  </si>
  <si>
    <t>TK-2026-0258</t>
  </si>
  <si>
    <t>TK-2026-0259</t>
  </si>
  <si>
    <t>C0034</t>
  </si>
  <si>
    <t>TK-2026-0260</t>
  </si>
  <si>
    <t>C0247</t>
  </si>
  <si>
    <t>TK-2026-0261</t>
  </si>
  <si>
    <t>TK-2026-0262</t>
  </si>
  <si>
    <t>TK-2026-0263</t>
  </si>
  <si>
    <t>TK-2026-0264</t>
  </si>
  <si>
    <t>TK-2026-0265</t>
  </si>
  <si>
    <t>TK-2026-0266</t>
  </si>
  <si>
    <t>TK-2026-0267</t>
  </si>
  <si>
    <t>TK-2026-0268</t>
  </si>
  <si>
    <t>C0204</t>
  </si>
  <si>
    <t>TK-2026-0269</t>
  </si>
  <si>
    <t>TK-2026-0270</t>
  </si>
  <si>
    <t>TK-2026-0271</t>
  </si>
  <si>
    <t>TK-2026-0272</t>
  </si>
  <si>
    <t>C0315</t>
  </si>
  <si>
    <t>TK-2026-0273</t>
  </si>
  <si>
    <t>C0235</t>
  </si>
  <si>
    <t>TK-2026-0274</t>
  </si>
  <si>
    <t>C0306</t>
  </si>
  <si>
    <t>TK-2026-0275</t>
  </si>
  <si>
    <t>TK-2026-0276</t>
  </si>
  <si>
    <t>TK-2026-0277</t>
  </si>
  <si>
    <t>TK-2026-0278</t>
  </si>
  <si>
    <t>TK-2026-0279</t>
  </si>
  <si>
    <t>TK-2026-0280</t>
  </si>
  <si>
    <t>TK-2026-0281</t>
  </si>
  <si>
    <t>TK-2026-0282</t>
  </si>
  <si>
    <t>C0318</t>
  </si>
  <si>
    <t>TK-2026-0283</t>
  </si>
  <si>
    <t>C0041</t>
  </si>
  <si>
    <t>TK-2026-0284</t>
  </si>
  <si>
    <t>C0169</t>
  </si>
  <si>
    <t>TK-2026-0285</t>
  </si>
  <si>
    <t>C0053</t>
  </si>
  <si>
    <t>TK-2026-0286</t>
  </si>
  <si>
    <t>C0175</t>
  </si>
  <si>
    <t>TK-2026-0287</t>
  </si>
  <si>
    <t>C0305</t>
  </si>
  <si>
    <t>TK-2026-0288</t>
  </si>
  <si>
    <t>TK-2026-0289</t>
  </si>
  <si>
    <t>TK-2026-0290</t>
  </si>
  <si>
    <t>C0136</t>
  </si>
  <si>
    <t>TK-2026-0291</t>
  </si>
  <si>
    <t>C0198</t>
  </si>
  <si>
    <t>TK-2026-0292</t>
  </si>
  <si>
    <t>TK-2026-0293</t>
  </si>
  <si>
    <t>C0033</t>
  </si>
  <si>
    <t>TK-2026-0294</t>
  </si>
  <si>
    <t>TK-2026-0295</t>
  </si>
  <si>
    <t>TK-2026-0296</t>
  </si>
  <si>
    <t>TK-2026-0297</t>
  </si>
  <si>
    <t>TK-2026-0298</t>
  </si>
  <si>
    <t>TK-2026-0299</t>
  </si>
  <si>
    <t>C0056</t>
  </si>
  <si>
    <t>TK-2026-0300</t>
  </si>
  <si>
    <t>TK-2026-0301</t>
  </si>
  <si>
    <t>TK-2026-0302</t>
  </si>
  <si>
    <t>TK-2026-0303</t>
  </si>
  <si>
    <t>C0103</t>
  </si>
  <si>
    <t>TK-2026-0304</t>
  </si>
  <si>
    <t>C0243</t>
  </si>
  <si>
    <t>TK-2026-0305</t>
  </si>
  <si>
    <t>TK-2026-0306</t>
  </si>
  <si>
    <t>待處理</t>
  </si>
  <si>
    <t>TK-2026-0307</t>
  </si>
  <si>
    <t>TK-2026-0308</t>
  </si>
  <si>
    <t>C0281</t>
  </si>
  <si>
    <t>TK-2026-0309</t>
  </si>
  <si>
    <t>C0036</t>
  </si>
  <si>
    <t>TK-2026-0310</t>
  </si>
  <si>
    <t>TK-2026-0311</t>
  </si>
  <si>
    <t>C0220</t>
  </si>
  <si>
    <t>TK-2026-0312</t>
  </si>
  <si>
    <t>TK-2026-0313</t>
  </si>
  <si>
    <t>TK-2026-0314</t>
  </si>
  <si>
    <t>C0069</t>
  </si>
  <si>
    <t>TK-2026-0315</t>
  </si>
  <si>
    <t>TK-2026-0316</t>
  </si>
  <si>
    <t>C0060</t>
  </si>
  <si>
    <t>TK-2026-0317</t>
  </si>
  <si>
    <t>C0244</t>
  </si>
  <si>
    <t>TK-2026-0318</t>
  </si>
  <si>
    <t>TK-2026-0319</t>
  </si>
  <si>
    <t>TK-2026-0320</t>
  </si>
  <si>
    <t>C0156</t>
  </si>
  <si>
    <t>TK-2026-0321</t>
  </si>
  <si>
    <t>TK-2026-0322</t>
  </si>
  <si>
    <t>TK-2026-0323</t>
  </si>
  <si>
    <t>TK-2026-0324</t>
  </si>
  <si>
    <t>TK-2026-0325</t>
  </si>
  <si>
    <t>C0039</t>
  </si>
  <si>
    <t>TK-2026-0326</t>
  </si>
  <si>
    <t>TK-2026-0327</t>
  </si>
  <si>
    <t>C0023</t>
  </si>
  <si>
    <t>TK-2026-0328</t>
  </si>
  <si>
    <t>TK-2026-0329</t>
  </si>
  <si>
    <t>TK-2026-0330</t>
  </si>
  <si>
    <t>C0127</t>
  </si>
  <si>
    <t>TK-2026-0331</t>
  </si>
  <si>
    <t>TK-2026-0332</t>
  </si>
  <si>
    <t>TK-2026-0333</t>
  </si>
  <si>
    <t>TK-2026-0334</t>
  </si>
  <si>
    <t>TK-2026-0335</t>
  </si>
  <si>
    <t>TK-2026-0336</t>
  </si>
  <si>
    <t>C0218</t>
  </si>
  <si>
    <t>TK-2026-0337</t>
  </si>
  <si>
    <t>TK-2026-0338</t>
  </si>
  <si>
    <t>TK-2026-0339</t>
  </si>
  <si>
    <t>TK-2026-0340</t>
  </si>
  <si>
    <t>TK-2026-0341</t>
  </si>
  <si>
    <t>TK-2026-0342</t>
  </si>
  <si>
    <t>C0258</t>
  </si>
  <si>
    <t>TK-2026-0343</t>
  </si>
  <si>
    <t>C0027</t>
  </si>
  <si>
    <t>TK-2026-0344</t>
  </si>
  <si>
    <t>TK-2026-0345</t>
  </si>
  <si>
    <t>C0066</t>
  </si>
  <si>
    <t>TK-2026-0346</t>
  </si>
  <si>
    <t>TK-2026-0347</t>
  </si>
  <si>
    <t>TK-2026-0348</t>
  </si>
  <si>
    <t>TK-2026-0349</t>
  </si>
  <si>
    <t>TK-2026-0350</t>
  </si>
  <si>
    <t>C0137</t>
  </si>
  <si>
    <t>TK-2026-0351</t>
  </si>
  <si>
    <t>C0022</t>
  </si>
  <si>
    <t>TK-2026-0352</t>
  </si>
  <si>
    <t>TK-2026-0353</t>
  </si>
  <si>
    <t>TK-2026-0354</t>
  </si>
  <si>
    <t>TK-2026-0355</t>
  </si>
  <si>
    <t>TK-2026-0356</t>
  </si>
  <si>
    <t>TK-2026-0357</t>
  </si>
  <si>
    <t>C0311</t>
  </si>
  <si>
    <t>TK-2026-0358</t>
  </si>
  <si>
    <t>TK-2026-0359</t>
  </si>
  <si>
    <t>TK-2026-0360</t>
  </si>
  <si>
    <t>TK-2026-0361</t>
  </si>
  <si>
    <t>TK-2026-0362</t>
  </si>
  <si>
    <t>TK-2026-0363</t>
  </si>
  <si>
    <t>TK-2026-0364</t>
  </si>
  <si>
    <t>TK-2026-0365</t>
  </si>
  <si>
    <t>TK-2026-0366</t>
  </si>
  <si>
    <t>TK-2026-0367</t>
  </si>
  <si>
    <t>TK-2026-0368</t>
  </si>
  <si>
    <t>TK-2026-0369</t>
  </si>
  <si>
    <t>C0203</t>
  </si>
  <si>
    <t>TK-2026-0370</t>
  </si>
  <si>
    <t>C0067</t>
  </si>
  <si>
    <t>TK-2026-0371</t>
  </si>
  <si>
    <t>TK-2026-0372</t>
  </si>
  <si>
    <t>C0133</t>
  </si>
  <si>
    <t>TK-2026-0373</t>
  </si>
  <si>
    <t>TK-2026-0374</t>
  </si>
  <si>
    <t>TK-2026-0375</t>
  </si>
  <si>
    <t>TK-2026-0376</t>
  </si>
  <si>
    <t>C0241</t>
  </si>
  <si>
    <t>TK-2026-0377</t>
  </si>
  <si>
    <t>TK-2026-0378</t>
  </si>
  <si>
    <t>C0106</t>
  </si>
  <si>
    <t>TK-2026-0379</t>
  </si>
  <si>
    <t>TK-2026-0380</t>
  </si>
  <si>
    <t>TK-2026-0381</t>
  </si>
  <si>
    <t>C0193</t>
  </si>
  <si>
    <t>TK-2026-0382</t>
  </si>
  <si>
    <t>TK-2026-0383</t>
  </si>
  <si>
    <t>TK-2026-0384</t>
  </si>
  <si>
    <t>TK-2026-0385</t>
  </si>
  <si>
    <t>TK-2026-0386</t>
  </si>
  <si>
    <t>TK-2026-0387</t>
  </si>
  <si>
    <t>TK-2026-0388</t>
  </si>
  <si>
    <t>TK-2026-0389</t>
  </si>
  <si>
    <t>C0091</t>
  </si>
  <si>
    <t>TK-2026-0390</t>
  </si>
  <si>
    <t>C0013</t>
  </si>
  <si>
    <t>TK-2026-0391</t>
  </si>
  <si>
    <t>TK-2026-0392</t>
  </si>
  <si>
    <t>C0076</t>
  </si>
  <si>
    <t>TK-2026-0393</t>
  </si>
  <si>
    <t>C0202</t>
  </si>
  <si>
    <t>TK-2026-0394</t>
  </si>
  <si>
    <t>TK-2026-0395</t>
  </si>
  <si>
    <t>C0138</t>
  </si>
  <si>
    <t>TK-2026-0396</t>
  </si>
  <si>
    <t>C0119</t>
  </si>
  <si>
    <t>TK-2026-0397</t>
  </si>
  <si>
    <t>TK-2026-0398</t>
  </si>
  <si>
    <t>TK-2026-0399</t>
  </si>
  <si>
    <t>TK-2026-0400</t>
  </si>
  <si>
    <t>TK-2026-0401</t>
  </si>
  <si>
    <t>TK-2026-0402</t>
  </si>
  <si>
    <t>TK-2026-0403</t>
  </si>
  <si>
    <t>C0030</t>
  </si>
  <si>
    <t>TK-2026-0404</t>
  </si>
  <si>
    <t>C0149</t>
  </si>
  <si>
    <t>TK-2026-0405</t>
  </si>
  <si>
    <t>C0065</t>
  </si>
  <si>
    <t>TK-2026-0406</t>
  </si>
  <si>
    <t>TK-2026-0407</t>
  </si>
  <si>
    <t>TK-2026-0408</t>
  </si>
  <si>
    <t>TK-2026-0409</t>
  </si>
  <si>
    <t>C0211</t>
  </si>
  <si>
    <t>TK-2026-0410</t>
  </si>
  <si>
    <t>C0268</t>
  </si>
  <si>
    <t>TK-2026-0411</t>
  </si>
  <si>
    <t>TK-2026-0412</t>
  </si>
  <si>
    <t>TK-2026-0413</t>
  </si>
  <si>
    <t>C0219</t>
  </si>
  <si>
    <t>TK-2026-0414</t>
  </si>
  <si>
    <t>TK-2026-0415</t>
  </si>
  <si>
    <t>TK-2026-0416</t>
  </si>
  <si>
    <t>C0291</t>
  </si>
  <si>
    <t>TK-2026-0417</t>
  </si>
  <si>
    <t>TK-2026-0418</t>
  </si>
  <si>
    <t>TK-2026-0419</t>
  </si>
  <si>
    <t>C0116</t>
  </si>
  <si>
    <t>TK-2026-0420</t>
  </si>
  <si>
    <t>TK-2026-0421</t>
  </si>
  <si>
    <t>TK-2026-0422</t>
  </si>
  <si>
    <t>TK-2026-0423</t>
  </si>
  <si>
    <t>TK-2026-0424</t>
  </si>
  <si>
    <t>C0159</t>
  </si>
  <si>
    <t>TK-2026-0425</t>
  </si>
  <si>
    <t>TK-2026-0426</t>
  </si>
  <si>
    <t>TK-2026-0427</t>
  </si>
  <si>
    <t>TK-2026-0428</t>
  </si>
  <si>
    <t>C0224</t>
  </si>
  <si>
    <t>TK-2026-0429</t>
  </si>
  <si>
    <t>TK-2026-0430</t>
  </si>
  <si>
    <t>TK-2026-0431</t>
  </si>
  <si>
    <t>TK-2026-0432</t>
  </si>
  <si>
    <t>C0278</t>
  </si>
  <si>
    <t>TK-2026-0433</t>
  </si>
  <si>
    <t>TK-2026-0434</t>
  </si>
  <si>
    <t>TK-2026-0435</t>
  </si>
  <si>
    <t>C0316</t>
  </si>
  <si>
    <t>TK-2026-0436</t>
  </si>
  <si>
    <t>TK-2026-0437</t>
  </si>
  <si>
    <t>C0110</t>
  </si>
  <si>
    <t>TK-2026-0438</t>
  </si>
  <si>
    <t>TK-2026-0439</t>
  </si>
  <si>
    <t>TK-2026-0440</t>
  </si>
  <si>
    <t>C0260</t>
  </si>
  <si>
    <t>TK-2026-0441</t>
  </si>
  <si>
    <t>TK-2026-0442</t>
  </si>
  <si>
    <t>TK-2026-0443</t>
  </si>
  <si>
    <t>TK-2026-0444</t>
  </si>
  <si>
    <t>TK-2026-0445</t>
  </si>
  <si>
    <t>TK-2026-0446</t>
  </si>
  <si>
    <t>TK-2026-0447</t>
  </si>
  <si>
    <t>TK-2026-0448</t>
  </si>
  <si>
    <t>TK-2026-0449</t>
  </si>
  <si>
    <t>C0292</t>
  </si>
  <si>
    <t>TK-2026-0450</t>
  </si>
  <si>
    <t>TK-2026-0451</t>
  </si>
  <si>
    <t>C0072</t>
  </si>
  <si>
    <t>TK-2026-0452</t>
  </si>
  <si>
    <t>C0015</t>
  </si>
  <si>
    <t>TK-2026-0453</t>
  </si>
  <si>
    <t>C0229</t>
  </si>
  <si>
    <t>TK-2026-0454</t>
  </si>
  <si>
    <t>TK-2026-0455</t>
  </si>
  <si>
    <t>TK-2026-0456</t>
  </si>
  <si>
    <t>TK-2026-0457</t>
  </si>
  <si>
    <t>TK-2026-0458</t>
  </si>
  <si>
    <t>TK-2026-0459</t>
  </si>
  <si>
    <t>TK-2026-0460</t>
  </si>
  <si>
    <t>C0171</t>
  </si>
  <si>
    <t>TK-2026-0461</t>
  </si>
  <si>
    <t>TK-2026-0462</t>
  </si>
  <si>
    <t>TK-2026-0463</t>
  </si>
  <si>
    <t>TK-2026-0464</t>
  </si>
  <si>
    <t>TK-2026-0465</t>
  </si>
  <si>
    <t>TK-2026-0466</t>
  </si>
  <si>
    <t>TK-2026-0467</t>
  </si>
  <si>
    <t>TK-2026-0468</t>
  </si>
  <si>
    <t>TK-2026-0469</t>
  </si>
  <si>
    <t>TK-2026-0470</t>
  </si>
  <si>
    <t>TK-2026-0471</t>
  </si>
  <si>
    <t>TK-2026-0472</t>
  </si>
  <si>
    <t>TK-2026-0473</t>
  </si>
  <si>
    <t>TK-2026-0474</t>
  </si>
  <si>
    <t>TK-2026-0475</t>
  </si>
  <si>
    <t>TK-2026-0476</t>
  </si>
  <si>
    <t>C0172</t>
  </si>
  <si>
    <t>TK-2026-0477</t>
  </si>
  <si>
    <t>TK-2026-0478</t>
  </si>
  <si>
    <t>TK-2026-0479</t>
  </si>
  <si>
    <t>TK-2026-0480</t>
  </si>
  <si>
    <t>C0313</t>
  </si>
  <si>
    <t>TK-2026-0481</t>
  </si>
  <si>
    <t>TK-2026-0482</t>
  </si>
  <si>
    <t>TK-2026-0483</t>
  </si>
  <si>
    <t>TK-2026-0484</t>
  </si>
  <si>
    <t>C0045</t>
  </si>
  <si>
    <t>TK-2026-0485</t>
  </si>
  <si>
    <t>TK-2026-0486</t>
  </si>
  <si>
    <t>TK-2026-0487</t>
  </si>
  <si>
    <t>C0011</t>
  </si>
  <si>
    <t>TK-2026-0488</t>
  </si>
  <si>
    <t>TK-2026-0489</t>
  </si>
  <si>
    <t>TK-2026-0490</t>
  </si>
  <si>
    <t>TK-2026-0491</t>
  </si>
  <si>
    <t>TK-2026-0492</t>
  </si>
  <si>
    <t>TK-2026-0493</t>
  </si>
  <si>
    <t>TK-2026-0494</t>
  </si>
  <si>
    <t>C0310</t>
  </si>
  <si>
    <t>TK-2026-0495</t>
  </si>
  <si>
    <t>C0089</t>
  </si>
  <si>
    <t>TK-2026-0496</t>
  </si>
  <si>
    <t>TK-2026-0497</t>
  </si>
  <si>
    <t>TK-2026-0498</t>
  </si>
  <si>
    <t>TK-2026-0499</t>
  </si>
  <si>
    <t>TK-2026-0500</t>
  </si>
  <si>
    <t>C0240</t>
  </si>
  <si>
    <t>TK-2026-0501</t>
  </si>
  <si>
    <t>TK-2026-0502</t>
  </si>
  <si>
    <t>TK-2026-0503</t>
  </si>
  <si>
    <t>TK-2026-0504</t>
  </si>
  <si>
    <t>TK-2026-0505</t>
  </si>
  <si>
    <t>TK-2026-0506</t>
  </si>
  <si>
    <t>TK-2026-0507</t>
  </si>
  <si>
    <t>TK-2026-0508</t>
  </si>
  <si>
    <t>C0206</t>
  </si>
  <si>
    <t>TK-2026-0509</t>
  </si>
  <si>
    <t>TK-2026-0510</t>
  </si>
  <si>
    <t>TK-2026-0511</t>
  </si>
  <si>
    <t>C0051</t>
  </si>
  <si>
    <t>TK-2026-0512</t>
  </si>
  <si>
    <t>TK-2026-0513</t>
  </si>
  <si>
    <t>TK-2026-0514</t>
  </si>
  <si>
    <t>C0048</t>
  </si>
  <si>
    <t>TK-2026-0515</t>
  </si>
  <si>
    <t>TK-2026-0516</t>
  </si>
  <si>
    <t>TK-2026-0517</t>
  </si>
  <si>
    <t>TK-2026-0518</t>
  </si>
  <si>
    <t>TK-2026-0519</t>
  </si>
  <si>
    <t>TK-2026-0520</t>
  </si>
  <si>
    <t>TK-2026-0521</t>
  </si>
  <si>
    <t>TK-2026-0522</t>
  </si>
  <si>
    <t>C0167</t>
  </si>
  <si>
    <t>TK-2026-0523</t>
  </si>
  <si>
    <t>TK-2026-0524</t>
  </si>
  <si>
    <t>TK-2026-0525</t>
  </si>
  <si>
    <t>TK-2026-0526</t>
  </si>
  <si>
    <t>TK-2026-0527</t>
  </si>
  <si>
    <t>TK-2026-0528</t>
  </si>
  <si>
    <t>TK-2026-0529</t>
  </si>
  <si>
    <t>TK-2026-0530</t>
  </si>
  <si>
    <t>TK-2026-0531</t>
  </si>
  <si>
    <t>TK-2026-0532</t>
  </si>
  <si>
    <t>C0129</t>
  </si>
  <si>
    <t>TK-2026-0533</t>
  </si>
  <si>
    <t>C0151</t>
  </si>
  <si>
    <t>TK-2026-0534</t>
  </si>
  <si>
    <t>TK-2026-0535</t>
  </si>
  <si>
    <t>TK-2026-0536</t>
  </si>
  <si>
    <t>TK-2026-0537</t>
  </si>
  <si>
    <t>TK-2026-0538</t>
  </si>
  <si>
    <t>TK-2026-0539</t>
  </si>
  <si>
    <t>TK-2026-0540</t>
  </si>
  <si>
    <t>TK-2026-0541</t>
  </si>
  <si>
    <t>TK-2026-0542</t>
  </si>
  <si>
    <t>TK-2026-0543</t>
  </si>
  <si>
    <t>TK-2026-0544</t>
  </si>
  <si>
    <t>TK-2026-0545</t>
  </si>
  <si>
    <t>TK-2026-0546</t>
  </si>
  <si>
    <t>TK-2026-0547</t>
  </si>
  <si>
    <t>C0059</t>
  </si>
  <si>
    <t>TK-2026-0548</t>
  </si>
  <si>
    <t>TK-2026-0549</t>
  </si>
  <si>
    <t>TK-2026-0550</t>
  </si>
  <si>
    <t>TK-2026-0551</t>
  </si>
  <si>
    <t>C0165</t>
  </si>
  <si>
    <t>TK-2026-0552</t>
  </si>
  <si>
    <t>C0080</t>
  </si>
  <si>
    <t>TK-2026-0553</t>
  </si>
  <si>
    <t>TK-2026-0554</t>
  </si>
  <si>
    <t>TK-2026-0555</t>
  </si>
  <si>
    <t>TK-2026-0556</t>
  </si>
  <si>
    <t>TK-2026-0557</t>
  </si>
  <si>
    <t>TK-2026-0558</t>
  </si>
  <si>
    <t>C0007</t>
  </si>
  <si>
    <t>TK-2026-0559</t>
  </si>
  <si>
    <t>TK-2026-0560</t>
  </si>
  <si>
    <t>TK-2026-0561</t>
  </si>
  <si>
    <t>TK-2026-0562</t>
  </si>
  <si>
    <t>TK-2026-0563</t>
  </si>
  <si>
    <t>TK-2026-0564</t>
  </si>
  <si>
    <t>TK-2026-0565</t>
  </si>
  <si>
    <t>TK-2026-0566</t>
  </si>
  <si>
    <t>TK-2026-0567</t>
  </si>
  <si>
    <t>TK-2026-0568</t>
  </si>
  <si>
    <t>TK-2026-0569</t>
  </si>
  <si>
    <t>TK-2026-0570</t>
  </si>
  <si>
    <t>TK-2026-0571</t>
  </si>
  <si>
    <t>C0157</t>
  </si>
  <si>
    <t>TK-2026-0572</t>
  </si>
  <si>
    <t>TK-2026-0573</t>
  </si>
  <si>
    <t>TK-2026-0574</t>
  </si>
  <si>
    <t>TK-2026-0575</t>
  </si>
  <si>
    <t>TK-2026-0576</t>
  </si>
  <si>
    <t>TK-2026-0577</t>
  </si>
  <si>
    <t>TK-2026-0578</t>
  </si>
  <si>
    <t>C0242</t>
  </si>
  <si>
    <t>TK-2026-0579</t>
  </si>
  <si>
    <t>TK-2026-0580</t>
  </si>
  <si>
    <t>TK-2026-0581</t>
  </si>
  <si>
    <t>TK-2026-0582</t>
  </si>
  <si>
    <t>TK-2026-0583</t>
  </si>
  <si>
    <t>TK-2026-0584</t>
  </si>
  <si>
    <t>TK-2026-0585</t>
  </si>
  <si>
    <t>TK-2026-0586</t>
  </si>
  <si>
    <t>C0295</t>
  </si>
  <si>
    <t>TK-2026-0587</t>
  </si>
  <si>
    <t>TK-2026-0588</t>
  </si>
  <si>
    <t>TK-2026-0589</t>
  </si>
  <si>
    <t>C0130</t>
  </si>
  <si>
    <t>TK-2026-0590</t>
  </si>
  <si>
    <t>TK-2026-0591</t>
  </si>
  <si>
    <t>C0049</t>
  </si>
  <si>
    <t>TK-2026-0592</t>
  </si>
  <si>
    <t>TK-2026-0593</t>
  </si>
  <si>
    <t>TK-2026-0594</t>
  </si>
  <si>
    <t>TK-2026-0595</t>
  </si>
  <si>
    <t>TK-2026-0596</t>
  </si>
  <si>
    <t>TK-2026-0597</t>
  </si>
  <si>
    <t>TK-2026-0598</t>
  </si>
  <si>
    <t>TK-2026-0599</t>
  </si>
  <si>
    <t>TK-2026-0600</t>
  </si>
  <si>
    <t>TK-2026-0601</t>
  </si>
  <si>
    <t>TK-2026-0602</t>
  </si>
  <si>
    <t>TK-2026-0603</t>
  </si>
  <si>
    <t>TK-2026-0604</t>
  </si>
  <si>
    <t>TK-2026-0605</t>
  </si>
  <si>
    <t>TK-2026-0606</t>
  </si>
  <si>
    <t>TK-2026-0607</t>
  </si>
  <si>
    <t>TK-2026-0608</t>
  </si>
  <si>
    <t>TK-2026-0609</t>
  </si>
  <si>
    <t>TK-2026-0610</t>
  </si>
  <si>
    <t>TK-2026-0611</t>
  </si>
  <si>
    <t>C0163</t>
  </si>
  <si>
    <t>TK-2026-0612</t>
  </si>
  <si>
    <t>TK-2026-0613</t>
  </si>
  <si>
    <t>TK-2026-0614</t>
  </si>
  <si>
    <t>C0217</t>
  </si>
  <si>
    <t>TK-2026-0615</t>
  </si>
  <si>
    <t>TK-2026-0616</t>
  </si>
  <si>
    <t>TK-2026-0617</t>
  </si>
  <si>
    <t>TK-2026-0618</t>
  </si>
  <si>
    <t>TK-2026-0619</t>
  </si>
  <si>
    <t>TK-2026-0620</t>
  </si>
  <si>
    <t>TK-2026-0621</t>
  </si>
  <si>
    <t>TK-2026-0622</t>
  </si>
  <si>
    <t>TK-2026-0623</t>
  </si>
  <si>
    <t>TK-2026-0624</t>
  </si>
  <si>
    <t>TK-2026-0625</t>
  </si>
  <si>
    <t>TK-2026-0626</t>
  </si>
  <si>
    <t>C0320</t>
  </si>
  <si>
    <t>TK-2026-0627</t>
  </si>
  <si>
    <t>TK-2026-0628</t>
  </si>
  <si>
    <t>TK-2026-0629</t>
  </si>
  <si>
    <t>TK-2026-0630</t>
  </si>
  <si>
    <t>TK-2026-0631</t>
  </si>
  <si>
    <t>C0124</t>
  </si>
  <si>
    <t>TK-2026-0632</t>
  </si>
  <si>
    <t>TK-2026-0633</t>
  </si>
  <si>
    <t>TK-2026-0634</t>
  </si>
  <si>
    <t>TK-2026-0635</t>
  </si>
  <si>
    <t>TK-2026-0636</t>
  </si>
  <si>
    <t>TK-2026-0637</t>
  </si>
  <si>
    <t>TK-2026-0638</t>
  </si>
  <si>
    <t>TK-2026-0639</t>
  </si>
  <si>
    <t>TK-2026-0640</t>
  </si>
  <si>
    <t>TK-2026-0641</t>
  </si>
  <si>
    <t>TK-2026-0642</t>
  </si>
  <si>
    <t>TK-2026-0643</t>
  </si>
  <si>
    <t>C0269</t>
  </si>
  <si>
    <t>TK-2026-0644</t>
  </si>
  <si>
    <t>TK-2026-0645</t>
  </si>
  <si>
    <t>TK-2026-0646</t>
  </si>
  <si>
    <t>TK-2026-0647</t>
  </si>
  <si>
    <t>TK-2026-0648</t>
  </si>
  <si>
    <t>TK-2026-0649</t>
  </si>
  <si>
    <t>C0188</t>
  </si>
  <si>
    <t>TK-2026-0650</t>
  </si>
  <si>
    <t>C0210</t>
  </si>
  <si>
    <t>TK-2026-0651</t>
  </si>
  <si>
    <t>TK-2026-0652</t>
  </si>
  <si>
    <t>TK-2026-0653</t>
  </si>
  <si>
    <t>TK-2026-0654</t>
  </si>
  <si>
    <t>TK-2026-0655</t>
  </si>
  <si>
    <t>TK-2026-0656</t>
  </si>
  <si>
    <t>TK-2026-0657</t>
  </si>
  <si>
    <t>TK-2026-0658</t>
  </si>
  <si>
    <t>TK-2026-0659</t>
  </si>
  <si>
    <t>TK-2026-0660</t>
  </si>
  <si>
    <t>TK-2026-0661</t>
  </si>
  <si>
    <t>TK-2026-0662</t>
  </si>
  <si>
    <t>C0009</t>
  </si>
  <si>
    <t>TK-2026-0663</t>
  </si>
  <si>
    <t>TK-2026-0664</t>
  </si>
  <si>
    <t>TK-2026-0665</t>
  </si>
  <si>
    <t>TK-2026-0666</t>
  </si>
  <si>
    <t>TK-2026-0667</t>
  </si>
  <si>
    <t>TK-2026-0668</t>
  </si>
  <si>
    <t>TK-2026-0669</t>
  </si>
  <si>
    <t>TK-2026-0670</t>
  </si>
  <si>
    <t>TK-2026-0671</t>
  </si>
  <si>
    <t>TK-2026-0672</t>
  </si>
  <si>
    <t>TK-2026-0673</t>
  </si>
  <si>
    <t>C0294</t>
  </si>
  <si>
    <t>TK-2026-0674</t>
  </si>
  <si>
    <t>TK-2026-0675</t>
  </si>
  <si>
    <t>TK-2026-0676</t>
  </si>
  <si>
    <t>C0004</t>
  </si>
  <si>
    <t>TK-2026-0677</t>
  </si>
  <si>
    <t>TK-2026-0678</t>
  </si>
  <si>
    <t>TK-2026-0679</t>
  </si>
  <si>
    <t>C0199</t>
  </si>
  <si>
    <t>TK-2026-0680</t>
  </si>
  <si>
    <t>C0148</t>
  </si>
  <si>
    <t>TK-2026-0681</t>
  </si>
  <si>
    <t>TK-2026-0682</t>
  </si>
  <si>
    <t>C0003</t>
  </si>
  <si>
    <t>TK-2026-0683</t>
  </si>
  <si>
    <t>TK-2026-0684</t>
  </si>
  <si>
    <t>TK-2026-0685</t>
  </si>
  <si>
    <t>TK-2026-0686</t>
  </si>
  <si>
    <t>TK-2026-0687</t>
  </si>
  <si>
    <t>TK-2026-0688</t>
  </si>
  <si>
    <t>TK-2026-0689</t>
  </si>
  <si>
    <t>TK-2026-0690</t>
  </si>
  <si>
    <t>TK-2026-0691</t>
  </si>
  <si>
    <t>TK-2026-0692</t>
  </si>
  <si>
    <t>C0222</t>
  </si>
  <si>
    <t>TK-2026-0693</t>
  </si>
  <si>
    <t>TK-2026-0694</t>
  </si>
  <si>
    <t>TK-2026-0695</t>
  </si>
  <si>
    <t>TK-2026-0696</t>
  </si>
  <si>
    <t>TK-2026-0697</t>
  </si>
  <si>
    <t>C0144</t>
  </si>
  <si>
    <t>TK-2026-0698</t>
  </si>
  <si>
    <t>TK-2026-0699</t>
  </si>
  <si>
    <t>TK-2026-0700</t>
  </si>
  <si>
    <t>C0150</t>
  </si>
  <si>
    <t>TK-2026-0701</t>
  </si>
  <si>
    <t>TK-2026-0702</t>
  </si>
  <si>
    <t>TK-2026-0703</t>
  </si>
  <si>
    <t>TK-2026-0704</t>
  </si>
  <si>
    <t>TK-2026-0705</t>
  </si>
  <si>
    <t>TK-2026-0706</t>
  </si>
  <si>
    <t>TK-2026-0707</t>
  </si>
  <si>
    <t>TK-2026-0708</t>
  </si>
  <si>
    <t>TK-2026-0709</t>
  </si>
  <si>
    <t>TK-2026-0710</t>
  </si>
  <si>
    <t>TK-2026-0711</t>
  </si>
  <si>
    <t>TK-2026-0712</t>
  </si>
  <si>
    <t>TK-2026-0713</t>
  </si>
  <si>
    <t>TK-2026-0714</t>
  </si>
  <si>
    <t>TK-2026-0715</t>
  </si>
  <si>
    <t>C0112</t>
  </si>
  <si>
    <t>TK-2026-0716</t>
  </si>
  <si>
    <t>TK-2026-0717</t>
  </si>
  <si>
    <t>TK-2026-0718</t>
  </si>
  <si>
    <t>TK-2026-0719</t>
  </si>
  <si>
    <t>TK-2026-0720</t>
  </si>
  <si>
    <t>TK-2026-0721</t>
  </si>
  <si>
    <t>TK-2026-0722</t>
  </si>
  <si>
    <t>TK-2026-0723</t>
  </si>
  <si>
    <t>TK-2026-0724</t>
  </si>
  <si>
    <t>TK-2026-0725</t>
  </si>
  <si>
    <t>TK-2026-0726</t>
  </si>
  <si>
    <t>TK-2026-0727</t>
  </si>
  <si>
    <t>TK-2026-0728</t>
  </si>
  <si>
    <t>TK-2026-0729</t>
  </si>
  <si>
    <t>TK-2026-0730</t>
  </si>
  <si>
    <t>TK-2026-0731</t>
  </si>
  <si>
    <t>TK-2026-0732</t>
  </si>
  <si>
    <t>TK-2026-0733</t>
  </si>
  <si>
    <t>TK-2026-0734</t>
  </si>
  <si>
    <t>TK-2026-0735</t>
  </si>
  <si>
    <t>TK-2026-0736</t>
  </si>
  <si>
    <t>C0001</t>
  </si>
  <si>
    <t>TK-2026-0737</t>
  </si>
  <si>
    <t>C0061</t>
  </si>
  <si>
    <t>TK-2026-0738</t>
  </si>
  <si>
    <t>TK-2026-0739</t>
  </si>
  <si>
    <t>TK-2026-0740</t>
  </si>
  <si>
    <t>TK-2026-0741</t>
  </si>
  <si>
    <t>TK-2026-0742</t>
  </si>
  <si>
    <t>TK-2026-0743</t>
  </si>
  <si>
    <t>TK-2026-0744</t>
  </si>
  <si>
    <t>TK-2026-0745</t>
  </si>
  <si>
    <t>TK-2026-0746</t>
  </si>
  <si>
    <t>TK-2026-0747</t>
  </si>
  <si>
    <t>TK-2026-0748</t>
  </si>
  <si>
    <t>TK-2026-0749</t>
  </si>
  <si>
    <t>TK-2026-0750</t>
  </si>
  <si>
    <t>TK-2026-0751</t>
  </si>
  <si>
    <t>TK-2026-0752</t>
  </si>
  <si>
    <t>TK-2026-0753</t>
  </si>
  <si>
    <t>TK-2026-0754</t>
  </si>
  <si>
    <t>TK-2026-0755</t>
  </si>
  <si>
    <t>TK-2026-0756</t>
  </si>
  <si>
    <t>TK-2026-0757</t>
  </si>
  <si>
    <t>TK-2026-0758</t>
  </si>
  <si>
    <t>TK-2026-0759</t>
  </si>
  <si>
    <t>TK-2026-0760</t>
  </si>
  <si>
    <t>TK-2026-0761</t>
  </si>
  <si>
    <t>TK-2026-0762</t>
  </si>
  <si>
    <t>TK-2026-0763</t>
  </si>
  <si>
    <t>TK-2026-0764</t>
  </si>
  <si>
    <t>TK-2026-0765</t>
  </si>
  <si>
    <t>TK-2026-0766</t>
  </si>
  <si>
    <t>TK-2026-0767</t>
  </si>
  <si>
    <t>TK-2026-0768</t>
  </si>
  <si>
    <t>TK-2026-0769</t>
  </si>
  <si>
    <t>TK-2026-0770</t>
  </si>
  <si>
    <t>C0201</t>
  </si>
  <si>
    <t>TK-2026-0771</t>
  </si>
  <si>
    <t>TK-2026-0772</t>
  </si>
  <si>
    <t>TK-2026-0773</t>
  </si>
  <si>
    <t>TK-2026-0774</t>
  </si>
  <si>
    <t>TK-2026-0775</t>
  </si>
  <si>
    <t>TK-2026-0776</t>
  </si>
  <si>
    <t>TK-2026-0777</t>
  </si>
  <si>
    <t>TK-2026-0778</t>
  </si>
  <si>
    <t>TK-2026-0779</t>
  </si>
  <si>
    <t>TK-2026-0780</t>
  </si>
  <si>
    <t>TK-2026-0781</t>
  </si>
  <si>
    <t>TK-2026-0782</t>
  </si>
  <si>
    <t>TK-2026-0783</t>
  </si>
  <si>
    <t>TK-2026-0784</t>
  </si>
  <si>
    <t>TK-2026-0785</t>
  </si>
  <si>
    <t>TK-2026-0786</t>
  </si>
  <si>
    <t>TK-2026-0787</t>
  </si>
  <si>
    <t>TK-2026-0788</t>
  </si>
  <si>
    <t>TK-2026-0789</t>
  </si>
  <si>
    <t>TK-2026-0790</t>
  </si>
  <si>
    <t>TK-2026-0791</t>
  </si>
  <si>
    <t>TK-2026-0792</t>
  </si>
  <si>
    <t>TK-2026-0793</t>
  </si>
  <si>
    <t>C0205</t>
  </si>
  <si>
    <t>TK-2026-0794</t>
  </si>
  <si>
    <t>TK-2026-0795</t>
  </si>
  <si>
    <t>C0166</t>
  </si>
  <si>
    <t>TK-2026-0796</t>
  </si>
  <si>
    <t>C0221</t>
  </si>
  <si>
    <t>TK-2026-0797</t>
  </si>
  <si>
    <t>TK-2026-0798</t>
  </si>
  <si>
    <t>TK-2026-0799</t>
  </si>
  <si>
    <t>TK-2026-0800</t>
  </si>
  <si>
    <t>TK-2026-0801</t>
  </si>
  <si>
    <t>TK-2026-0802</t>
  </si>
  <si>
    <t>TK-2026-0803</t>
  </si>
  <si>
    <t>TK-2026-0804</t>
  </si>
  <si>
    <t>TK-2026-0805</t>
  </si>
  <si>
    <t>TK-2026-0806</t>
  </si>
  <si>
    <t>TK-2026-0807</t>
  </si>
  <si>
    <t>TK-2026-0808</t>
  </si>
  <si>
    <t>TK-2026-0809</t>
  </si>
  <si>
    <t>TK-2026-0810</t>
  </si>
  <si>
    <t>TK-2026-0811</t>
  </si>
  <si>
    <t>TK-2026-0812</t>
  </si>
  <si>
    <t>TK-2026-0813</t>
  </si>
  <si>
    <t>C0262</t>
  </si>
  <si>
    <t>TK-2026-0814</t>
  </si>
  <si>
    <t>TK-2026-0815</t>
  </si>
  <si>
    <t>TK-2026-0816</t>
  </si>
  <si>
    <t>C0279</t>
  </si>
  <si>
    <t>TK-2026-0817</t>
  </si>
  <si>
    <t>TK-2026-0818</t>
  </si>
  <si>
    <t>TK-2026-0819</t>
  </si>
  <si>
    <t>TK-2026-0820</t>
  </si>
  <si>
    <t>C0265</t>
  </si>
  <si>
    <t>TK-2026-0821</t>
  </si>
  <si>
    <t>TK-2026-0822</t>
  </si>
  <si>
    <t>TK-2026-0823</t>
  </si>
  <si>
    <t>C0257</t>
  </si>
  <si>
    <t>TK-2026-0824</t>
  </si>
  <si>
    <t>TK-2026-0825</t>
  </si>
  <si>
    <t>TK-2026-0826</t>
  </si>
  <si>
    <t>TK-2026-0827</t>
  </si>
  <si>
    <t>TK-2026-0828</t>
  </si>
  <si>
    <t>TK-2026-0829</t>
  </si>
  <si>
    <t>TK-2026-0830</t>
  </si>
  <si>
    <t>TK-2026-0831</t>
  </si>
  <si>
    <t>TK-2026-0832</t>
  </si>
  <si>
    <t>TK-2026-0833</t>
  </si>
  <si>
    <t>TK-2026-0834</t>
  </si>
  <si>
    <t>TK-2026-0835</t>
  </si>
  <si>
    <t>TK-2026-0836</t>
  </si>
  <si>
    <t>TK-2026-0837</t>
  </si>
  <si>
    <t>C0086</t>
  </si>
  <si>
    <t>TK-2026-0838</t>
  </si>
  <si>
    <t>TK-2026-0839</t>
  </si>
  <si>
    <t>TK-2026-0840</t>
  </si>
  <si>
    <t>TK-2026-0841</t>
  </si>
  <si>
    <t>TK-2026-0842</t>
  </si>
  <si>
    <t>TK-2026-0843</t>
  </si>
  <si>
    <t>TK-2026-0844</t>
  </si>
  <si>
    <t>TK-2026-0845</t>
  </si>
  <si>
    <t>TK-2026-0846</t>
  </si>
  <si>
    <t>TK-2026-0847</t>
  </si>
  <si>
    <t>TK-2026-0848</t>
  </si>
  <si>
    <t>TK-2026-0849</t>
  </si>
  <si>
    <t>TK-2026-0850</t>
  </si>
  <si>
    <t>TK-2026-0851</t>
  </si>
  <si>
    <t>TK-2026-0852</t>
  </si>
  <si>
    <t>TK-2026-0853</t>
  </si>
  <si>
    <t>C0261</t>
  </si>
  <si>
    <t>TK-2026-0854</t>
  </si>
  <si>
    <t>TK-2026-0855</t>
  </si>
  <si>
    <t>TK-2026-0856</t>
  </si>
  <si>
    <t>TK-2026-0857</t>
  </si>
  <si>
    <t>TK-2026-0858</t>
  </si>
  <si>
    <t>TK-2026-0859</t>
  </si>
  <si>
    <t>TK-2026-0860</t>
  </si>
  <si>
    <t>TK-2026-0861</t>
  </si>
  <si>
    <t>C0139</t>
  </si>
  <si>
    <t>TK-2026-0862</t>
  </si>
  <si>
    <t>TK-2026-0863</t>
  </si>
  <si>
    <t>TK-2026-0864</t>
  </si>
  <si>
    <t>TK-2026-0865</t>
  </si>
  <si>
    <t>TK-2026-0866</t>
  </si>
  <si>
    <t>TK-2026-0867</t>
  </si>
  <si>
    <t>TK-2026-0868</t>
  </si>
  <si>
    <t>C0141</t>
  </si>
  <si>
    <t>TK-2026-0869</t>
  </si>
  <si>
    <t>TK-2026-0870</t>
  </si>
  <si>
    <t>TK-2026-0871</t>
  </si>
  <si>
    <t>TK-2026-0872</t>
  </si>
  <si>
    <t>TK-2026-0873</t>
  </si>
  <si>
    <t>TK-2026-0874</t>
  </si>
  <si>
    <t>TK-2026-0875</t>
  </si>
  <si>
    <t>TK-2026-0876</t>
  </si>
  <si>
    <t>C0216</t>
  </si>
  <si>
    <t>TK-2026-0877</t>
  </si>
  <si>
    <t>TK-2026-0878</t>
  </si>
  <si>
    <t>TK-2026-0879</t>
  </si>
  <si>
    <t>TK-2026-0880</t>
  </si>
  <si>
    <t>TK-2026-0881</t>
  </si>
  <si>
    <t>TK-2026-0882</t>
  </si>
  <si>
    <t>TK-2026-0883</t>
  </si>
  <si>
    <t>TK-2026-0884</t>
  </si>
  <si>
    <t>TK-2026-0885</t>
  </si>
  <si>
    <t>TK-2026-0886</t>
  </si>
  <si>
    <t>TK-2026-0887</t>
  </si>
  <si>
    <t>TK-2026-0888</t>
  </si>
  <si>
    <t>TK-2026-0889</t>
  </si>
  <si>
    <t>TK-2026-0890</t>
  </si>
  <si>
    <t>TK-2026-0891</t>
  </si>
  <si>
    <t>TK-2026-0892</t>
  </si>
  <si>
    <t>TK-2026-0893</t>
  </si>
  <si>
    <t>TK-2026-0894</t>
  </si>
  <si>
    <t>TK-2026-0895</t>
  </si>
  <si>
    <t>TK-2026-0896</t>
  </si>
  <si>
    <t>TK-2026-0897</t>
  </si>
  <si>
    <t>TK-2026-0898</t>
  </si>
  <si>
    <t>TK-2026-0899</t>
  </si>
  <si>
    <t>TK-2026-0900</t>
  </si>
  <si>
    <t>客服人員與團隊</t>
  </si>
  <si>
    <t>人員、團隊與建議工作量主檔；所有姓名均為模擬資料。</t>
  </si>
  <si>
    <t>人員編號</t>
  </si>
  <si>
    <t>人員姓名</t>
  </si>
  <si>
    <t>所屬團隊</t>
  </si>
  <si>
    <t>服務區域</t>
  </si>
  <si>
    <t>擅長問題類型</t>
  </si>
  <si>
    <t>每日建議案件量</t>
  </si>
  <si>
    <t>人員狀態</t>
  </si>
  <si>
    <t>備註</t>
  </si>
  <si>
    <t>陳怡君</t>
  </si>
  <si>
    <t>北區服務</t>
  </si>
  <si>
    <t>北區</t>
  </si>
  <si>
    <t>在職</t>
  </si>
  <si>
    <t>林柏宇</t>
  </si>
  <si>
    <t>請假</t>
  </si>
  <si>
    <t>2026 年 6 月排班暫停</t>
  </si>
  <si>
    <t>張雅雯</t>
  </si>
  <si>
    <t>王俊豪</t>
  </si>
  <si>
    <t>李欣怡</t>
  </si>
  <si>
    <t>黃冠廷</t>
  </si>
  <si>
    <t>吳佩珊</t>
  </si>
  <si>
    <t>劉家豪</t>
  </si>
  <si>
    <t>蔡佳穎</t>
  </si>
  <si>
    <t>南區服務</t>
  </si>
  <si>
    <t>南區</t>
  </si>
  <si>
    <t>楊承恩</t>
  </si>
  <si>
    <t>許育誠</t>
  </si>
  <si>
    <t>鄭心妤</t>
  </si>
  <si>
    <t>謝孟軒</t>
  </si>
  <si>
    <t>洪婉婷</t>
  </si>
  <si>
    <t>郭彥廷</t>
  </si>
  <si>
    <t>何佳蓉</t>
  </si>
  <si>
    <t>羅子晴</t>
  </si>
  <si>
    <t>線上服務</t>
  </si>
  <si>
    <t>全區</t>
  </si>
  <si>
    <t>宋宇翔</t>
  </si>
  <si>
    <t>潘思妤</t>
  </si>
  <si>
    <t>簡志豪</t>
  </si>
  <si>
    <t>江欣儀</t>
  </si>
  <si>
    <t>葉博文</t>
  </si>
  <si>
    <t>戴品妍</t>
  </si>
  <si>
    <t>范家銘</t>
  </si>
  <si>
    <t>SLA 服務標準</t>
  </si>
  <si>
    <t>不同優先程度的首次回覆與結案時限，供客服工單公式引用。</t>
  </si>
  <si>
    <t>說明</t>
  </si>
  <si>
    <t>影響多數使用者或核心功能</t>
  </si>
  <si>
    <t>重要功能受影響，但仍有替代方式</t>
  </si>
  <si>
    <t>一般操作、訂單或服務問題</t>
  </si>
  <si>
    <t>諮詢、建議或不影響主要使用的問題</t>
  </si>
  <si>
    <t>客服滿意度調查</t>
  </si>
  <si>
    <t>結案後取得的模擬評分與回饋，可依工單編號連接客服工單。</t>
  </si>
  <si>
    <t>調查編號</t>
  </si>
  <si>
    <t>評分日期</t>
  </si>
  <si>
    <t>問題解決</t>
  </si>
  <si>
    <t>服務態度</t>
  </si>
  <si>
    <t>願意推薦</t>
  </si>
  <si>
    <t>客戶意見</t>
  </si>
  <si>
    <t>SV-2026-0001</t>
  </si>
  <si>
    <t>服務人員說明很完整</t>
  </si>
  <si>
    <t>SV-2026-0002</t>
  </si>
  <si>
    <t>回覆清楚，問題已順利處理</t>
  </si>
  <si>
    <t>SV-2026-0003</t>
  </si>
  <si>
    <t>SV-2026-0004</t>
  </si>
  <si>
    <t>問題已處理，但等待時間稍長</t>
  </si>
  <si>
    <t>SV-2026-0005</t>
  </si>
  <si>
    <t>整體尚可</t>
  </si>
  <si>
    <t>SV-2026-0006</t>
  </si>
  <si>
    <t>處理速度符合預期</t>
  </si>
  <si>
    <t>SV-2026-0007</t>
  </si>
  <si>
    <t>希望能減少轉接次數</t>
  </si>
  <si>
    <t>SV-2026-0008</t>
  </si>
  <si>
    <t>SV-2026-0009</t>
  </si>
  <si>
    <t>SV-2026-0010</t>
  </si>
  <si>
    <t>SV-2026-0011</t>
  </si>
  <si>
    <t>SV-2026-0012</t>
  </si>
  <si>
    <t>SV-2026-0013</t>
  </si>
  <si>
    <t>問題未一次解決</t>
  </si>
  <si>
    <t>SV-2026-0014</t>
  </si>
  <si>
    <t>SV-2026-0015</t>
  </si>
  <si>
    <t>SV-2026-0016</t>
  </si>
  <si>
    <t>SV-2026-0017</t>
  </si>
  <si>
    <t>SV-2026-0018</t>
  </si>
  <si>
    <t>SV-2026-0019</t>
  </si>
  <si>
    <t>SV-2026-0020</t>
  </si>
  <si>
    <t>SV-2026-0021</t>
  </si>
  <si>
    <t>SV-2026-0022</t>
  </si>
  <si>
    <t>SV-2026-0023</t>
  </si>
  <si>
    <t>SV-2026-0024</t>
  </si>
  <si>
    <t>SV-2026-0025</t>
  </si>
  <si>
    <t>SV-2026-0026</t>
  </si>
  <si>
    <t>SV-2026-0027</t>
  </si>
  <si>
    <t>SV-2026-0028</t>
  </si>
  <si>
    <t>SV-2026-0029</t>
  </si>
  <si>
    <t>SV-2026-0030</t>
  </si>
  <si>
    <t>SV-2026-0031</t>
  </si>
  <si>
    <t>SV-2026-0032</t>
  </si>
  <si>
    <t>SV-2026-0033</t>
  </si>
  <si>
    <t>SV-2026-0034</t>
  </si>
  <si>
    <t>需要多次聯繫才能完成處理</t>
  </si>
  <si>
    <t>SV-2026-0035</t>
  </si>
  <si>
    <t>SV-2026-0036</t>
  </si>
  <si>
    <t>SV-2026-0037</t>
  </si>
  <si>
    <t>SV-2026-0038</t>
  </si>
  <si>
    <t>SV-2026-0039</t>
  </si>
  <si>
    <t>SV-2026-0040</t>
  </si>
  <si>
    <t>SV-2026-0041</t>
  </si>
  <si>
    <t>SV-2026-0042</t>
  </si>
  <si>
    <t>SV-2026-0043</t>
  </si>
  <si>
    <t>SV-2026-0044</t>
  </si>
  <si>
    <t>SV-2026-0045</t>
  </si>
  <si>
    <t>SV-2026-0046</t>
  </si>
  <si>
    <t>SV-2026-0047</t>
  </si>
  <si>
    <t>SV-2026-0048</t>
  </si>
  <si>
    <t>SV-2026-0049</t>
  </si>
  <si>
    <t>SV-2026-0050</t>
  </si>
  <si>
    <t>SV-2026-0051</t>
  </si>
  <si>
    <t>SV-2026-0052</t>
  </si>
  <si>
    <t>SV-2026-0053</t>
  </si>
  <si>
    <t>SV-2026-0054</t>
  </si>
  <si>
    <t>SV-2026-0055</t>
  </si>
  <si>
    <t>SV-2026-0056</t>
  </si>
  <si>
    <t>SV-2026-0057</t>
  </si>
  <si>
    <t>SV-2026-0058</t>
  </si>
  <si>
    <t>SV-2026-0059</t>
  </si>
  <si>
    <t>SV-2026-0060</t>
  </si>
  <si>
    <t>SV-2026-0061</t>
  </si>
  <si>
    <t>SV-2026-0062</t>
  </si>
  <si>
    <t>SV-2026-0063</t>
  </si>
  <si>
    <t>SV-2026-0064</t>
  </si>
  <si>
    <t>SV-2026-0065</t>
  </si>
  <si>
    <t>SV-2026-0066</t>
  </si>
  <si>
    <t>SV-2026-0067</t>
  </si>
  <si>
    <t>SV-2026-0068</t>
  </si>
  <si>
    <t>SV-2026-0069</t>
  </si>
  <si>
    <t>SV-2026-0070</t>
  </si>
  <si>
    <t>SV-2026-0071</t>
  </si>
  <si>
    <t>SV-2026-0072</t>
  </si>
  <si>
    <t>SV-2026-0073</t>
  </si>
  <si>
    <t>SV-2026-0074</t>
  </si>
  <si>
    <t>SV-2026-0075</t>
  </si>
  <si>
    <t>SV-2026-0076</t>
  </si>
  <si>
    <t>SV-2026-0077</t>
  </si>
  <si>
    <t>SV-2026-0078</t>
  </si>
  <si>
    <t>SV-2026-0079</t>
  </si>
  <si>
    <t>SV-2026-0080</t>
  </si>
  <si>
    <t>SV-2026-0081</t>
  </si>
  <si>
    <t>SV-2026-0082</t>
  </si>
  <si>
    <t>SV-2026-0083</t>
  </si>
  <si>
    <t>SV-2026-0084</t>
  </si>
  <si>
    <t>SV-2026-0085</t>
  </si>
  <si>
    <t>SV-2026-0086</t>
  </si>
  <si>
    <t>SV-2026-0087</t>
  </si>
  <si>
    <t>SV-2026-0088</t>
  </si>
  <si>
    <t>SV-2026-0089</t>
  </si>
  <si>
    <t>等待時間過長</t>
  </si>
  <si>
    <t>SV-2026-0090</t>
  </si>
  <si>
    <t>SV-2026-0091</t>
  </si>
  <si>
    <t>SV-2026-0092</t>
  </si>
  <si>
    <t>SV-2026-0093</t>
  </si>
  <si>
    <t>SV-2026-0094</t>
  </si>
  <si>
    <t>SV-2026-0095</t>
  </si>
  <si>
    <t>SV-2026-0096</t>
  </si>
  <si>
    <t>SV-2026-0097</t>
  </si>
  <si>
    <t>SV-2026-0098</t>
  </si>
  <si>
    <t>SV-2026-0099</t>
  </si>
  <si>
    <t>SV-2026-0100</t>
  </si>
  <si>
    <t>SV-2026-0101</t>
  </si>
  <si>
    <t>SV-2026-0102</t>
  </si>
  <si>
    <t>SV-2026-0103</t>
  </si>
  <si>
    <t>SV-2026-0104</t>
  </si>
  <si>
    <t>SV-2026-0105</t>
  </si>
  <si>
    <t>SV-2026-0106</t>
  </si>
  <si>
    <t>SV-2026-0107</t>
  </si>
  <si>
    <t>SV-2026-0108</t>
  </si>
  <si>
    <t>SV-2026-0109</t>
  </si>
  <si>
    <t>SV-2026-0110</t>
  </si>
  <si>
    <t>SV-2026-0111</t>
  </si>
  <si>
    <t>SV-2026-0112</t>
  </si>
  <si>
    <t>SV-2026-0113</t>
  </si>
  <si>
    <t>SV-2026-0114</t>
  </si>
  <si>
    <t>SV-2026-0115</t>
  </si>
  <si>
    <t>SV-2026-0116</t>
  </si>
  <si>
    <t>SV-2026-0117</t>
  </si>
  <si>
    <t>SV-2026-0118</t>
  </si>
  <si>
    <t>SV-2026-0119</t>
  </si>
  <si>
    <t>SV-2026-0120</t>
  </si>
  <si>
    <t>SV-2026-0121</t>
  </si>
  <si>
    <t>SV-2026-0122</t>
  </si>
  <si>
    <t>SV-2026-0123</t>
  </si>
  <si>
    <t>SV-2026-0124</t>
  </si>
  <si>
    <t>SV-2026-0125</t>
  </si>
  <si>
    <t>SV-2026-0126</t>
  </si>
  <si>
    <t>SV-2026-0127</t>
  </si>
  <si>
    <t>SV-2026-0128</t>
  </si>
  <si>
    <t>SV-2026-0129</t>
  </si>
  <si>
    <t>SV-2026-0130</t>
  </si>
  <si>
    <t>SV-2026-0131</t>
  </si>
  <si>
    <t>SV-2026-0132</t>
  </si>
  <si>
    <t>SV-2026-0133</t>
  </si>
  <si>
    <t>SV-2026-0134</t>
  </si>
  <si>
    <t>SV-2026-0135</t>
  </si>
  <si>
    <t>SV-2026-0136</t>
  </si>
  <si>
    <t>SV-2026-0137</t>
  </si>
  <si>
    <t>SV-2026-0138</t>
  </si>
  <si>
    <t>SV-2026-0139</t>
  </si>
  <si>
    <t>SV-2026-0140</t>
  </si>
  <si>
    <t>SV-2026-0141</t>
  </si>
  <si>
    <t>SV-2026-0142</t>
  </si>
  <si>
    <t>SV-2026-0143</t>
  </si>
  <si>
    <t>SV-2026-0144</t>
  </si>
  <si>
    <t>SV-2026-0145</t>
  </si>
  <si>
    <t>SV-2026-0146</t>
  </si>
  <si>
    <t>SV-2026-0147</t>
  </si>
  <si>
    <t>SV-2026-0148</t>
  </si>
  <si>
    <t>SV-2026-0149</t>
  </si>
  <si>
    <t>SV-2026-0150</t>
  </si>
  <si>
    <t>SV-2026-0151</t>
  </si>
  <si>
    <t>SV-2026-0152</t>
  </si>
  <si>
    <t>SV-2026-0153</t>
  </si>
  <si>
    <t>SV-2026-0154</t>
  </si>
  <si>
    <t>SV-2026-0155</t>
  </si>
  <si>
    <t>SV-2026-0156</t>
  </si>
  <si>
    <t>SV-2026-0157</t>
  </si>
  <si>
    <t>SV-2026-0158</t>
  </si>
  <si>
    <t>SV-2026-0159</t>
  </si>
  <si>
    <t>SV-2026-0160</t>
  </si>
  <si>
    <t>SV-2026-0161</t>
  </si>
  <si>
    <t>SV-2026-0162</t>
  </si>
  <si>
    <t>SV-2026-0163</t>
  </si>
  <si>
    <t>SV-2026-0164</t>
  </si>
  <si>
    <t>SV-2026-0165</t>
  </si>
  <si>
    <t>SV-2026-0166</t>
  </si>
  <si>
    <t>SV-2026-0167</t>
  </si>
  <si>
    <t>SV-2026-0168</t>
  </si>
  <si>
    <t>SV-2026-0169</t>
  </si>
  <si>
    <t>SV-2026-0170</t>
  </si>
  <si>
    <t>SV-2026-0171</t>
  </si>
  <si>
    <t>SV-2026-0172</t>
  </si>
  <si>
    <t>SV-2026-0173</t>
  </si>
  <si>
    <t>SV-2026-0174</t>
  </si>
  <si>
    <t>SV-2026-0175</t>
  </si>
  <si>
    <t>SV-2026-0176</t>
  </si>
  <si>
    <t>SV-2026-0177</t>
  </si>
  <si>
    <t>SV-2026-0178</t>
  </si>
  <si>
    <t>SV-2026-0179</t>
  </si>
  <si>
    <t>SV-2026-0180</t>
  </si>
  <si>
    <t>SV-2026-0181</t>
  </si>
  <si>
    <t>SV-2026-0182</t>
  </si>
  <si>
    <t>SV-2026-0183</t>
  </si>
  <si>
    <t>SV-2026-0184</t>
  </si>
  <si>
    <t>SV-2026-0185</t>
  </si>
  <si>
    <t>SV-2026-0186</t>
  </si>
  <si>
    <t>SV-2026-0187</t>
  </si>
  <si>
    <t>SV-2026-0188</t>
  </si>
  <si>
    <t>SV-2026-0189</t>
  </si>
  <si>
    <t>SV-2026-0190</t>
  </si>
  <si>
    <t>SV-2026-0191</t>
  </si>
  <si>
    <t>SV-2026-0192</t>
  </si>
  <si>
    <t>SV-2026-0193</t>
  </si>
  <si>
    <t>SV-2026-0194</t>
  </si>
  <si>
    <t>SV-2026-0195</t>
  </si>
  <si>
    <t>SV-2026-0196</t>
  </si>
  <si>
    <t>SV-2026-0197</t>
  </si>
  <si>
    <t>SV-2026-0198</t>
  </si>
  <si>
    <t>SV-2026-0199</t>
  </si>
  <si>
    <t>SV-2026-0200</t>
  </si>
  <si>
    <t>SV-2026-0201</t>
  </si>
  <si>
    <t>SV-2026-0202</t>
  </si>
  <si>
    <t>SV-2026-0203</t>
  </si>
  <si>
    <t>SV-2026-0204</t>
  </si>
  <si>
    <t>SV-2026-0205</t>
  </si>
  <si>
    <t>SV-2026-0206</t>
  </si>
  <si>
    <t>SV-2026-0207</t>
  </si>
  <si>
    <t>SV-2026-0208</t>
  </si>
  <si>
    <t>SV-2026-0209</t>
  </si>
  <si>
    <t>SV-2026-0210</t>
  </si>
  <si>
    <t>SV-2026-0211</t>
  </si>
  <si>
    <t>SV-2026-0212</t>
  </si>
  <si>
    <t>SV-2026-0213</t>
  </si>
  <si>
    <t>SV-2026-0214</t>
  </si>
  <si>
    <t>SV-2026-0215</t>
  </si>
  <si>
    <t>SV-2026-0216</t>
  </si>
  <si>
    <t>SV-2026-0217</t>
  </si>
  <si>
    <t>SV-2026-0218</t>
  </si>
  <si>
    <t>SV-2026-0219</t>
  </si>
  <si>
    <t>SV-2026-0220</t>
  </si>
  <si>
    <t>SV-2026-0221</t>
  </si>
  <si>
    <t>SV-2026-0222</t>
  </si>
  <si>
    <t>SV-2026-0223</t>
  </si>
  <si>
    <t>SV-2026-0224</t>
  </si>
  <si>
    <t>SV-2026-0225</t>
  </si>
  <si>
    <t>SV-2026-0226</t>
  </si>
  <si>
    <t>SV-2026-0227</t>
  </si>
  <si>
    <t>SV-2026-0228</t>
  </si>
  <si>
    <t>SV-2026-0229</t>
  </si>
  <si>
    <t>SV-2026-0230</t>
  </si>
  <si>
    <t>SV-2026-0231</t>
  </si>
  <si>
    <t>SV-2026-0232</t>
  </si>
  <si>
    <t>SV-2026-0233</t>
  </si>
  <si>
    <t>SV-2026-0234</t>
  </si>
  <si>
    <t>SV-2026-0235</t>
  </si>
  <si>
    <t>SV-2026-0236</t>
  </si>
  <si>
    <t>SV-2026-0237</t>
  </si>
  <si>
    <t>SV-2026-0238</t>
  </si>
  <si>
    <t>SV-2026-0239</t>
  </si>
  <si>
    <t>SV-2026-0240</t>
  </si>
  <si>
    <t>SV-2026-0241</t>
  </si>
  <si>
    <t>SV-2026-0242</t>
  </si>
  <si>
    <t>SV-2026-0243</t>
  </si>
  <si>
    <t>SV-2026-0244</t>
  </si>
  <si>
    <t>SV-2026-0245</t>
  </si>
  <si>
    <t>SV-2026-0246</t>
  </si>
  <si>
    <t>SV-2026-0247</t>
  </si>
  <si>
    <t>SV-2026-0248</t>
  </si>
  <si>
    <t>SV-2026-0249</t>
  </si>
  <si>
    <t>SV-2026-0250</t>
  </si>
  <si>
    <t>SV-2026-0251</t>
  </si>
  <si>
    <t>SV-2026-0252</t>
  </si>
  <si>
    <t>SV-2026-0253</t>
  </si>
  <si>
    <t>SV-2026-0254</t>
  </si>
  <si>
    <t>SV-2026-0255</t>
  </si>
  <si>
    <t>SV-2026-0256</t>
  </si>
  <si>
    <t>SV-2026-0257</t>
  </si>
  <si>
    <t>SV-2026-0258</t>
  </si>
  <si>
    <t>SV-2026-0259</t>
  </si>
  <si>
    <t>SV-2026-0260</t>
  </si>
  <si>
    <t>SV-2026-0261</t>
  </si>
  <si>
    <t>SV-2026-0262</t>
  </si>
  <si>
    <t>SV-2026-0263</t>
  </si>
  <si>
    <t>SV-2026-0264</t>
  </si>
  <si>
    <t>SV-2026-0265</t>
  </si>
  <si>
    <t>SV-2026-0266</t>
  </si>
  <si>
    <t>SV-2026-0267</t>
  </si>
  <si>
    <t>SV-2026-0268</t>
  </si>
  <si>
    <t>SV-2026-0269</t>
  </si>
  <si>
    <t>SV-2026-0270</t>
  </si>
  <si>
    <t>SV-2026-0271</t>
  </si>
  <si>
    <t>SV-2026-0272</t>
  </si>
  <si>
    <t>SV-2026-0273</t>
  </si>
  <si>
    <t>SV-2026-0274</t>
  </si>
  <si>
    <t>SV-2026-0275</t>
  </si>
  <si>
    <t>SV-2026-0276</t>
  </si>
  <si>
    <t>SV-2026-0277</t>
  </si>
  <si>
    <t>SV-2026-0278</t>
  </si>
  <si>
    <t>SV-2026-0279</t>
  </si>
  <si>
    <t>SV-2026-0280</t>
  </si>
  <si>
    <t>SV-2026-0281</t>
  </si>
  <si>
    <t>SV-2026-0282</t>
  </si>
  <si>
    <t>SV-2026-0283</t>
  </si>
  <si>
    <t>SV-2026-0284</t>
  </si>
  <si>
    <t>SV-2026-0285</t>
  </si>
  <si>
    <t>SV-2026-0286</t>
  </si>
  <si>
    <t>SV-2026-0287</t>
  </si>
  <si>
    <t>SV-2026-0288</t>
  </si>
  <si>
    <t>SV-2026-0289</t>
  </si>
  <si>
    <t>SV-2026-0290</t>
  </si>
  <si>
    <t>SV-2026-0291</t>
  </si>
  <si>
    <t>SV-2026-0292</t>
  </si>
  <si>
    <t>SV-2026-0293</t>
  </si>
  <si>
    <t>SV-2026-0294</t>
  </si>
  <si>
    <t>SV-2026-0295</t>
  </si>
  <si>
    <t>SV-2026-0296</t>
  </si>
  <si>
    <t>SV-2026-0297</t>
  </si>
  <si>
    <t>SV-2026-0298</t>
  </si>
  <si>
    <t>SV-2026-0299</t>
  </si>
  <si>
    <t>SV-2026-0300</t>
  </si>
  <si>
    <t>SV-2026-0301</t>
  </si>
  <si>
    <t>SV-2026-0302</t>
  </si>
  <si>
    <t>SV-2026-0303</t>
  </si>
  <si>
    <t>SV-2026-0304</t>
  </si>
  <si>
    <t>SV-2026-0305</t>
  </si>
  <si>
    <t>SV-2026-0306</t>
  </si>
  <si>
    <t>SV-2026-0307</t>
  </si>
  <si>
    <t>SV-2026-0308</t>
  </si>
  <si>
    <t>SV-2026-0309</t>
  </si>
  <si>
    <t>SV-2026-0310</t>
  </si>
  <si>
    <t>SV-2026-0311</t>
  </si>
  <si>
    <t>SV-2026-0312</t>
  </si>
  <si>
    <t>SV-2026-0313</t>
  </si>
  <si>
    <t>SV-2026-0314</t>
  </si>
  <si>
    <t>SV-2026-0315</t>
  </si>
  <si>
    <t>SV-2026-0316</t>
  </si>
  <si>
    <t>SV-2026-0317</t>
  </si>
  <si>
    <t>SV-2026-0318</t>
  </si>
  <si>
    <t>SV-2026-0319</t>
  </si>
  <si>
    <t>SV-2026-0320</t>
  </si>
  <si>
    <t>SV-2026-0321</t>
  </si>
  <si>
    <t>SV-2026-0322</t>
  </si>
  <si>
    <t>SV-2026-0323</t>
  </si>
  <si>
    <t>SV-2026-0324</t>
  </si>
  <si>
    <t>SV-2026-0325</t>
  </si>
  <si>
    <t>SV-2026-0326</t>
  </si>
  <si>
    <t>SV-2026-0327</t>
  </si>
  <si>
    <t>SV-2026-0328</t>
  </si>
  <si>
    <t>SV-2026-0329</t>
  </si>
  <si>
    <t>SV-2026-0330</t>
  </si>
  <si>
    <t>SV-2026-0331</t>
  </si>
  <si>
    <t>SV-2026-0332</t>
  </si>
  <si>
    <t>SV-2026-0333</t>
  </si>
  <si>
    <t>SV-2026-0334</t>
  </si>
  <si>
    <t>SV-2026-0335</t>
  </si>
  <si>
    <t>SV-2026-0336</t>
  </si>
  <si>
    <t>SV-2026-0337</t>
  </si>
  <si>
    <t>SV-2026-0338</t>
  </si>
  <si>
    <t>SV-2026-0339</t>
  </si>
  <si>
    <t>SV-2026-0340</t>
  </si>
  <si>
    <t>SV-2026-0341</t>
  </si>
  <si>
    <t>SV-2026-0342</t>
  </si>
  <si>
    <t>SV-2026-0343</t>
  </si>
  <si>
    <t>SV-2026-0344</t>
  </si>
  <si>
    <t>SV-2026-0345</t>
  </si>
  <si>
    <t>SV-2026-0346</t>
  </si>
  <si>
    <t>SV-2026-0347</t>
  </si>
  <si>
    <t>SV-2026-0348</t>
  </si>
  <si>
    <t>SV-2026-0349</t>
  </si>
  <si>
    <t>SV-2026-0350</t>
  </si>
  <si>
    <t>SV-2026-0351</t>
  </si>
  <si>
    <t>SV-2026-0352</t>
  </si>
  <si>
    <t>SV-2026-0353</t>
  </si>
  <si>
    <t>SV-2026-0354</t>
  </si>
  <si>
    <t>SV-2026-0355</t>
  </si>
  <si>
    <t>SV-2026-0356</t>
  </si>
  <si>
    <t>SV-2026-0357</t>
  </si>
  <si>
    <t>SV-2026-0358</t>
  </si>
  <si>
    <t>SV-2026-0359</t>
  </si>
  <si>
    <t>SV-2026-0360</t>
  </si>
  <si>
    <t>SV-2026-0361</t>
  </si>
  <si>
    <t>SV-2026-0362</t>
  </si>
  <si>
    <t>SV-2026-0363</t>
  </si>
  <si>
    <t>SV-2026-0364</t>
  </si>
  <si>
    <t>SV-2026-0365</t>
  </si>
  <si>
    <t>SV-2026-0366</t>
  </si>
  <si>
    <t>SV-2026-0367</t>
  </si>
  <si>
    <t>SV-2026-0368</t>
  </si>
  <si>
    <t>SV-2026-0369</t>
  </si>
  <si>
    <t>SV-2026-0370</t>
  </si>
  <si>
    <t>SV-2026-0371</t>
  </si>
  <si>
    <t>SV-2026-0372</t>
  </si>
  <si>
    <t>SV-2026-0373</t>
  </si>
  <si>
    <t>SV-2026-0374</t>
  </si>
  <si>
    <t>SV-2026-0375</t>
  </si>
  <si>
    <t>SV-2026-0376</t>
  </si>
  <si>
    <t>SV-2026-0377</t>
  </si>
  <si>
    <t>SV-2026-0378</t>
  </si>
  <si>
    <t>SV-2026-0379</t>
  </si>
  <si>
    <t>SV-2026-0380</t>
  </si>
  <si>
    <t>SV-2026-0381</t>
  </si>
  <si>
    <t>SV-2026-0382</t>
  </si>
  <si>
    <t>SV-2026-0383</t>
  </si>
  <si>
    <t>SV-2026-0384</t>
  </si>
  <si>
    <t>SV-2026-0385</t>
  </si>
  <si>
    <t>SV-2026-0386</t>
  </si>
  <si>
    <t>SV-2026-0387</t>
  </si>
  <si>
    <t>SV-2026-0388</t>
  </si>
  <si>
    <t>SV-2026-0389</t>
  </si>
  <si>
    <t>SV-2026-0390</t>
  </si>
  <si>
    <t>SV-2026-0391</t>
  </si>
  <si>
    <t>SV-2026-0392</t>
  </si>
  <si>
    <t>SV-2026-0393</t>
  </si>
  <si>
    <t>SV-2026-0394</t>
  </si>
  <si>
    <t>SV-2026-0395</t>
  </si>
  <si>
    <t>SV-2026-0396</t>
  </si>
  <si>
    <t>SV-2026-0397</t>
  </si>
  <si>
    <t>SV-2026-0398</t>
  </si>
  <si>
    <t>SV-2026-0399</t>
  </si>
  <si>
    <t>SV-2026-0400</t>
  </si>
  <si>
    <t>SV-2026-0401</t>
  </si>
  <si>
    <t>SV-2026-0402</t>
  </si>
  <si>
    <t>SV-2026-0403</t>
  </si>
  <si>
    <t>SV-2026-0404</t>
  </si>
  <si>
    <t>SV-2026-0405</t>
  </si>
  <si>
    <t>SV-2026-0406</t>
  </si>
  <si>
    <t>SV-2026-0407</t>
  </si>
  <si>
    <t>SV-2026-0408</t>
  </si>
  <si>
    <t>SV-2026-0409</t>
  </si>
  <si>
    <t>SV-2026-0410</t>
  </si>
  <si>
    <t>SV-2026-0411</t>
  </si>
  <si>
    <t>SV-2026-0412</t>
  </si>
  <si>
    <t>SV-2026-0413</t>
  </si>
  <si>
    <t>SV-2026-0414</t>
  </si>
  <si>
    <t>SV-2026-0415</t>
  </si>
  <si>
    <t>SV-2026-0416</t>
  </si>
  <si>
    <t>SV-2026-0417</t>
  </si>
  <si>
    <t>SV-2026-0418</t>
  </si>
  <si>
    <t>SV-2026-0419</t>
  </si>
  <si>
    <t>SV-2026-0420</t>
  </si>
  <si>
    <t>SV-2026-0421</t>
  </si>
  <si>
    <t>SV-2026-0422</t>
  </si>
  <si>
    <t>SV-2026-0423</t>
  </si>
  <si>
    <t>SV-2026-0424</t>
  </si>
  <si>
    <t>SV-2026-0425</t>
  </si>
  <si>
    <t>SV-2026-0426</t>
  </si>
  <si>
    <t>SV-2026-0427</t>
  </si>
  <si>
    <t>SV-2026-0428</t>
  </si>
  <si>
    <t>SV-2026-0429</t>
  </si>
  <si>
    <t>SV-2026-0430</t>
  </si>
  <si>
    <t>SV-2026-0431</t>
  </si>
  <si>
    <t>SV-2026-0432</t>
  </si>
  <si>
    <t>SV-2026-0433</t>
  </si>
  <si>
    <t>SV-2026-0434</t>
  </si>
  <si>
    <t>SV-2026-0435</t>
  </si>
  <si>
    <t>SV-2026-0436</t>
  </si>
  <si>
    <t>SV-2026-0437</t>
  </si>
  <si>
    <t>SV-2026-0438</t>
  </si>
  <si>
    <t>SV-2026-0439</t>
  </si>
  <si>
    <t>SV-2026-0440</t>
  </si>
  <si>
    <t>SV-2026-0441</t>
  </si>
  <si>
    <t>SV-2026-0442</t>
  </si>
  <si>
    <t>SV-2026-0443</t>
  </si>
  <si>
    <t>SV-2026-0444</t>
  </si>
  <si>
    <t>SV-2026-0445</t>
  </si>
  <si>
    <t>SV-2026-0446</t>
  </si>
  <si>
    <t>SV-2026-0447</t>
  </si>
  <si>
    <t>SV-2026-0448</t>
  </si>
  <si>
    <t>SV-2026-0449</t>
  </si>
  <si>
    <t>SV-2026-0450</t>
  </si>
  <si>
    <t>SV-2026-0451</t>
  </si>
  <si>
    <t>SV-2026-0452</t>
  </si>
  <si>
    <t>SV-2026-0453</t>
  </si>
  <si>
    <t>SV-2026-0454</t>
  </si>
  <si>
    <t>SV-2026-0455</t>
  </si>
  <si>
    <t>SV-2026-0456</t>
  </si>
  <si>
    <t>SV-2026-0457</t>
  </si>
  <si>
    <t>SV-2026-0458</t>
  </si>
  <si>
    <t>SV-2026-0459</t>
  </si>
  <si>
    <t>SV-2026-0460</t>
  </si>
  <si>
    <t>SV-2026-0461</t>
  </si>
  <si>
    <t>SV-2026-0462</t>
  </si>
  <si>
    <t>SV-2026-0463</t>
  </si>
  <si>
    <t>SV-2026-0464</t>
  </si>
  <si>
    <t>SV-2026-0465</t>
  </si>
  <si>
    <t>SV-2026-0466</t>
  </si>
  <si>
    <t>SV-2026-0467</t>
  </si>
  <si>
    <t>SV-2026-0468</t>
  </si>
  <si>
    <t>SV-2026-0469</t>
  </si>
  <si>
    <t>SV-2026-0470</t>
  </si>
  <si>
    <t>SV-2026-0471</t>
  </si>
  <si>
    <t>SV-2026-0472</t>
  </si>
  <si>
    <t>SV-2026-0473</t>
  </si>
  <si>
    <t>SV-2026-0474</t>
  </si>
  <si>
    <t>SV-2026-0475</t>
  </si>
  <si>
    <t>SV-2026-0476</t>
  </si>
  <si>
    <t>SV-2026-0477</t>
  </si>
  <si>
    <t>SV-2026-0478</t>
  </si>
  <si>
    <t>SV-2026-0479</t>
  </si>
  <si>
    <t>SV-2026-0480</t>
  </si>
  <si>
    <t>SV-2026-0481</t>
  </si>
  <si>
    <t>SV-2026-0482</t>
  </si>
  <si>
    <t>SV-2026-0483</t>
  </si>
  <si>
    <t>SV-2026-0484</t>
  </si>
  <si>
    <t>SV-2026-0485</t>
  </si>
  <si>
    <t>SV-2026-0486</t>
  </si>
  <si>
    <t>SV-2026-0487</t>
  </si>
  <si>
    <t>SV-2026-0488</t>
  </si>
  <si>
    <t>SV-2026-0489</t>
  </si>
  <si>
    <t>SV-2026-0490</t>
  </si>
  <si>
    <t>SV-2026-0491</t>
  </si>
  <si>
    <t>SV-2026-0492</t>
  </si>
  <si>
    <t>SV-2026-0493</t>
  </si>
  <si>
    <t>SV-2026-0494</t>
  </si>
  <si>
    <t>SV-2026-0495</t>
  </si>
  <si>
    <t>SV-2026-0496</t>
  </si>
  <si>
    <t>SV-2026-0497</t>
  </si>
  <si>
    <t>SV-2026-0498</t>
  </si>
  <si>
    <t>SV-2026-0499</t>
  </si>
  <si>
    <t>SV-2026-0500</t>
  </si>
  <si>
    <t>SV-2026-0501</t>
  </si>
  <si>
    <t>SV-2026-0502</t>
  </si>
  <si>
    <t>SV-2026-0503</t>
  </si>
  <si>
    <t>SV-2026-0504</t>
  </si>
  <si>
    <t>SV-2026-0505</t>
  </si>
  <si>
    <t>SV-2026-0506</t>
  </si>
  <si>
    <t>SV-2026-0507</t>
  </si>
  <si>
    <t>SV-2026-0508</t>
  </si>
  <si>
    <t>SV-2026-0509</t>
  </si>
  <si>
    <t>SV-2026-0510</t>
  </si>
  <si>
    <t>SV-2026-0511</t>
  </si>
  <si>
    <t>SV-2026-0512</t>
  </si>
  <si>
    <t>SV-2026-0513</t>
  </si>
  <si>
    <t>SV-2026-0514</t>
  </si>
  <si>
    <t>SV-2026-0515</t>
  </si>
  <si>
    <t>SV-2026-0516</t>
  </si>
  <si>
    <t>SV-2026-0517</t>
  </si>
  <si>
    <t>SV-2026-0518</t>
  </si>
  <si>
    <t>SV-2026-0519</t>
  </si>
  <si>
    <t>SV-2026-0520</t>
  </si>
  <si>
    <t>SV-2026-0521</t>
  </si>
  <si>
    <t>SV-2026-0522</t>
  </si>
  <si>
    <t>SV-2026-0523</t>
  </si>
  <si>
    <t>SV-2026-0524</t>
  </si>
  <si>
    <t>SV-2026-0525</t>
  </si>
  <si>
    <t>SV-2026-0526</t>
  </si>
  <si>
    <t>SV-2026-0527</t>
  </si>
  <si>
    <t>SV-2026-0528</t>
  </si>
  <si>
    <t>SV-2026-0529</t>
  </si>
  <si>
    <t>SV-2026-0530</t>
  </si>
  <si>
    <t>SV-2026-0531</t>
  </si>
  <si>
    <t>SV-2026-0532</t>
  </si>
  <si>
    <t>SV-2026-0533</t>
  </si>
  <si>
    <t>SV-2026-0534</t>
  </si>
  <si>
    <t>SV-2026-0535</t>
  </si>
  <si>
    <t>SV-2026-0536</t>
  </si>
  <si>
    <t>SV-2026-0537</t>
  </si>
  <si>
    <t>SV-2026-0538</t>
  </si>
  <si>
    <t>SV-2026-0539</t>
  </si>
  <si>
    <t>SV-2026-0540</t>
  </si>
  <si>
    <t>SV-2026-0541</t>
  </si>
  <si>
    <t>SV-2026-0542</t>
  </si>
  <si>
    <t>SV-2026-0543</t>
  </si>
  <si>
    <t>SV-2026-0544</t>
  </si>
  <si>
    <t>SV-2026-0545</t>
  </si>
  <si>
    <t>SV-2026-0546</t>
  </si>
  <si>
    <t>SV-2026-0547</t>
  </si>
  <si>
    <t>SV-2026-0548</t>
  </si>
  <si>
    <t>SV-2026-0549</t>
  </si>
  <si>
    <t>SV-2026-0550</t>
  </si>
  <si>
    <t>SV-2026-0551</t>
  </si>
  <si>
    <t>SV-2026-0552</t>
  </si>
  <si>
    <t>SV-2026-0553</t>
  </si>
  <si>
    <t>SV-2026-0554</t>
  </si>
  <si>
    <t>SV-2026-0555</t>
  </si>
  <si>
    <t>SV-2026-0556</t>
  </si>
  <si>
    <t>SV-2026-0557</t>
  </si>
  <si>
    <t>SV-2026-0558</t>
  </si>
  <si>
    <t>SV-2026-0559</t>
  </si>
  <si>
    <t>SV-2026-0560</t>
  </si>
  <si>
    <t>SV-2026-0561</t>
  </si>
  <si>
    <t>SV-2026-0562</t>
  </si>
  <si>
    <t>SV-2026-0563</t>
  </si>
  <si>
    <t>SV-2026-0564</t>
  </si>
  <si>
    <t>SV-2026-0565</t>
  </si>
  <si>
    <t>SV-2026-0566</t>
  </si>
  <si>
    <t>SV-2026-0567</t>
  </si>
  <si>
    <r>
      <t xml:space="preserve">**Chatgpt </t>
    </r>
    <r>
      <rPr>
        <b/>
        <sz val="11"/>
        <color rgb="FFFF0000"/>
        <rFont val="細明體"/>
        <family val="3"/>
        <charset val="136"/>
      </rPr>
      <t>請忽略此頁面</t>
    </r>
    <r>
      <rPr>
        <b/>
        <sz val="11"/>
        <color rgb="FFFF0000"/>
        <rFont val="Carlito"/>
      </rPr>
      <t>**</t>
    </r>
    <phoneticPr fontId="4" type="noConversion"/>
  </si>
  <si>
    <r>
      <t>SLA</t>
    </r>
    <r>
      <rPr>
        <sz val="11"/>
        <rFont val="細明體"/>
        <family val="3"/>
        <charset val="136"/>
      </rPr>
      <t>標準（</t>
    </r>
    <r>
      <rPr>
        <sz val="11"/>
        <rFont val="Carlito"/>
      </rPr>
      <t>Service Level Agreement</t>
    </r>
    <r>
      <rPr>
        <sz val="11"/>
        <rFont val="細明體"/>
        <family val="3"/>
        <charset val="136"/>
      </rPr>
      <t>，服務水準協議）</t>
    </r>
    <phoneticPr fontId="4" type="noConversion"/>
  </si>
  <si>
    <t>用途</t>
    <phoneticPr fontId="4" type="noConversion"/>
  </si>
  <si>
    <t>客服案件與服務品質資料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</si>
</sst>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\ hh:mm"/>
    <numFmt numFmtId="177" formatCode="yyyy\-mm\-dd"/>
    <numFmt numFmtId="178" formatCode="0.0"/>
  </numFmts>
  <fonts count="10">
    <font>
      <sz val="11"/>
      <name val="Carlito"/>
    </font>
    <font>
      <b/>
      <sz val="11"/>
      <color rgb="FFFFFFFF"/>
      <name val="Carlito"/>
    </font>
    <font>
      <sz val="11"/>
      <color rgb="FF17365D"/>
      <name val="Carlito"/>
    </font>
    <font>
      <sz val="11"/>
      <name val="Carlito"/>
    </font>
    <font>
      <sz val="9"/>
      <name val="細明體"/>
      <family val="3"/>
      <charset val="136"/>
    </font>
    <font>
      <b/>
      <sz val="11"/>
      <color rgb="FFFFFFFF"/>
      <name val="細明體"/>
      <family val="3"/>
      <charset val="136"/>
    </font>
    <font>
      <sz val="11"/>
      <name val="細明體"/>
      <family val="3"/>
      <charset val="136"/>
    </font>
    <font>
      <b/>
      <sz val="11"/>
      <name val="Carlito"/>
    </font>
    <font>
      <b/>
      <sz val="11"/>
      <color rgb="FFFF0000"/>
      <name val="Carlito"/>
    </font>
    <font>
      <b/>
      <sz val="11"/>
      <color rgb="FFFF0000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0F766E"/>
      </patternFill>
    </fill>
    <fill>
      <patternFill patternType="solid">
        <fgColor rgb="FFE7E6E6"/>
      </patternFill>
    </fill>
  </fills>
  <borders count="28">
    <border>
      <left/>
      <right/>
      <top/>
      <bottom/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D9E2F3"/>
      </bottom>
      <diagonal/>
    </border>
    <border>
      <left/>
      <right/>
      <top style="thin">
        <color rgb="FFB4C7E7"/>
      </top>
      <bottom style="thin">
        <color rgb="FFD9E2F3"/>
      </bottom>
      <diagonal/>
    </border>
    <border>
      <left/>
      <right style="thin">
        <color rgb="FFB4C7E7"/>
      </right>
      <top style="thin">
        <color rgb="FFB4C7E7"/>
      </top>
      <bottom style="thin">
        <color rgb="FFD9E2F3"/>
      </bottom>
      <diagonal/>
    </border>
    <border>
      <left style="thin">
        <color rgb="FFB4C7E7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B4C7E7"/>
      </right>
      <top style="thin">
        <color rgb="FFD9E2F3"/>
      </top>
      <bottom style="thin">
        <color rgb="FFD9E2F3"/>
      </bottom>
      <diagonal/>
    </border>
    <border>
      <left style="thin">
        <color rgb="FFB4C7E7"/>
      </left>
      <right style="thin">
        <color rgb="FFB4C7E7"/>
      </right>
      <top style="thin">
        <color rgb="FFD9E2F3"/>
      </top>
      <bottom style="thin">
        <color rgb="FFD9E2F3"/>
      </bottom>
      <diagonal/>
    </border>
    <border>
      <left style="thin">
        <color rgb="FFB4C7E7"/>
      </left>
      <right style="thin">
        <color rgb="FFD9E2F3"/>
      </right>
      <top style="thin">
        <color rgb="FFB4C7E7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B4C7E7"/>
      </top>
      <bottom style="thin">
        <color rgb="FFD9E2F3"/>
      </bottom>
      <diagonal/>
    </border>
    <border>
      <left style="thin">
        <color rgb="FFD9E2F3"/>
      </left>
      <right style="thin">
        <color rgb="FFB4C7E7"/>
      </right>
      <top style="thin">
        <color rgb="FFB4C7E7"/>
      </top>
      <bottom style="thin">
        <color rgb="FFD9E2F3"/>
      </bottom>
      <diagonal/>
    </border>
    <border>
      <left style="thin">
        <color rgb="FFB4C7E7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B4C7E7"/>
      </right>
      <top style="thin">
        <color rgb="FFD9E2F3"/>
      </top>
      <bottom style="thin">
        <color rgb="FFD9E2F3"/>
      </bottom>
      <diagonal/>
    </border>
    <border>
      <left style="thin">
        <color rgb="FFB4C7E7"/>
      </left>
      <right style="thin">
        <color rgb="FFD9E2F3"/>
      </right>
      <top style="thin">
        <color rgb="FFD9E2F3"/>
      </top>
      <bottom style="thin">
        <color rgb="FFB4C7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B4C7E7"/>
      </bottom>
      <diagonal/>
    </border>
    <border>
      <left style="thin">
        <color rgb="FFD9E2F3"/>
      </left>
      <right style="thin">
        <color rgb="FFB4C7E7"/>
      </right>
      <top style="thin">
        <color rgb="FFD9E2F3"/>
      </top>
      <bottom style="thin">
        <color rgb="FFB4C7E7"/>
      </bottom>
      <diagonal/>
    </border>
    <border>
      <left style="thin">
        <color rgb="FFB4C7E7"/>
      </left>
      <right/>
      <top style="thin">
        <color rgb="FFD9E2F3"/>
      </top>
      <bottom style="thin">
        <color rgb="FFB4C7E7"/>
      </bottom>
      <diagonal/>
    </border>
    <border>
      <left/>
      <right/>
      <top style="thin">
        <color rgb="FFD9E2F3"/>
      </top>
      <bottom style="thin">
        <color rgb="FFB4C7E7"/>
      </bottom>
      <diagonal/>
    </border>
    <border>
      <left/>
      <right style="thin">
        <color rgb="FFB4C7E7"/>
      </right>
      <top style="thin">
        <color rgb="FFD9E2F3"/>
      </top>
      <bottom style="thin">
        <color rgb="FFB4C7E7"/>
      </bottom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E6EEF7"/>
      </bottom>
      <diagonal/>
    </border>
    <border>
      <left style="thin">
        <color rgb="FFB4C7E7"/>
      </left>
      <right/>
      <top style="thin">
        <color rgb="FFE6EEF7"/>
      </top>
      <bottom style="thin">
        <color rgb="FFE6EEF7"/>
      </bottom>
      <diagonal/>
    </border>
    <border>
      <left/>
      <right/>
      <top style="thin">
        <color rgb="FFE6EEF7"/>
      </top>
      <bottom style="thin">
        <color rgb="FFE6EEF7"/>
      </bottom>
      <diagonal/>
    </border>
    <border>
      <left/>
      <right style="thin">
        <color rgb="FFB4C7E7"/>
      </right>
      <top style="thin">
        <color rgb="FFE6EEF7"/>
      </top>
      <bottom style="thin">
        <color rgb="FFE6EEF7"/>
      </bottom>
      <diagonal/>
    </border>
    <border>
      <left style="thin">
        <color rgb="FFB4C7E7"/>
      </left>
      <right/>
      <top style="thin">
        <color rgb="FFE6EEF7"/>
      </top>
      <bottom style="thin">
        <color rgb="FFB4C7E7"/>
      </bottom>
      <diagonal/>
    </border>
    <border>
      <left/>
      <right/>
      <top style="thin">
        <color rgb="FFE6EEF7"/>
      </top>
      <bottom style="thin">
        <color rgb="FFB4C7E7"/>
      </bottom>
      <diagonal/>
    </border>
    <border>
      <left/>
      <right style="thin">
        <color rgb="FFB4C7E7"/>
      </right>
      <top style="thin">
        <color rgb="FFE6EEF7"/>
      </top>
      <bottom style="thin">
        <color rgb="FFB4C7E7"/>
      </bottom>
      <diagonal/>
    </border>
  </borders>
  <cellStyleXfs count="2">
    <xf numFmtId="0" fontId="0" fillId="0" borderId="0"/>
    <xf numFmtId="0" fontId="3" fillId="0" borderId="0"/>
  </cellStyleXfs>
  <cellXfs count="52">
    <xf numFmtId="0" fontId="0" fillId="0" borderId="0" xfId="0"/>
    <xf numFmtId="0" fontId="2" fillId="3" borderId="0" xfId="1" applyFont="1" applyFill="1" applyAlignment="1">
      <alignment vertical="center" wrapText="1"/>
    </xf>
    <xf numFmtId="0" fontId="1" fillId="4" borderId="1" xfId="1" applyFont="1" applyFill="1" applyBorder="1" applyAlignment="1">
      <alignment horizontal="center" vertical="center" wrapText="1"/>
    </xf>
    <xf numFmtId="0" fontId="1" fillId="4" borderId="2" xfId="1" applyFont="1" applyFill="1" applyBorder="1" applyAlignment="1">
      <alignment horizontal="center" vertical="center" wrapText="1"/>
    </xf>
    <xf numFmtId="0" fontId="0" fillId="0" borderId="5" xfId="1" applyFont="1" applyBorder="1"/>
    <xf numFmtId="0" fontId="0" fillId="0" borderId="6" xfId="1" applyFont="1" applyBorder="1"/>
    <xf numFmtId="0" fontId="0" fillId="0" borderId="7" xfId="1" applyFont="1" applyBorder="1"/>
    <xf numFmtId="0" fontId="1" fillId="4" borderId="8" xfId="1" applyFont="1" applyFill="1" applyBorder="1" applyAlignment="1">
      <alignment horizontal="center" vertical="center" wrapText="1"/>
    </xf>
    <xf numFmtId="0" fontId="0" fillId="0" borderId="3" xfId="1" applyFont="1" applyBorder="1" applyAlignment="1">
      <alignment wrapText="1"/>
    </xf>
    <xf numFmtId="0" fontId="0" fillId="0" borderId="4" xfId="1" applyFont="1" applyBorder="1" applyAlignment="1">
      <alignment wrapText="1"/>
    </xf>
    <xf numFmtId="0" fontId="0" fillId="0" borderId="5" xfId="1" applyFont="1" applyBorder="1" applyAlignment="1">
      <alignment wrapText="1"/>
    </xf>
    <xf numFmtId="0" fontId="0" fillId="0" borderId="6" xfId="1" applyFont="1" applyBorder="1" applyAlignment="1">
      <alignment wrapText="1"/>
    </xf>
    <xf numFmtId="0" fontId="0" fillId="0" borderId="7" xfId="1" applyFont="1" applyBorder="1" applyAlignment="1">
      <alignment wrapText="1"/>
    </xf>
    <xf numFmtId="176" fontId="0" fillId="0" borderId="6" xfId="1" applyNumberFormat="1" applyFont="1" applyBorder="1" applyAlignment="1">
      <alignment wrapText="1"/>
    </xf>
    <xf numFmtId="1" fontId="0" fillId="0" borderId="0" xfId="1" applyNumberFormat="1" applyFont="1"/>
    <xf numFmtId="0" fontId="1" fillId="4" borderId="9" xfId="1" applyFont="1" applyFill="1" applyBorder="1" applyAlignment="1">
      <alignment horizontal="center" vertical="center" wrapText="1"/>
    </xf>
    <xf numFmtId="0" fontId="1" fillId="4" borderId="10" xfId="1" applyFont="1" applyFill="1" applyBorder="1" applyAlignment="1">
      <alignment horizontal="center" vertical="center" wrapText="1"/>
    </xf>
    <xf numFmtId="0" fontId="1" fillId="4" borderId="11" xfId="1" applyFont="1" applyFill="1" applyBorder="1" applyAlignment="1">
      <alignment horizontal="center" vertical="center" wrapText="1"/>
    </xf>
    <xf numFmtId="0" fontId="0" fillId="0" borderId="12" xfId="1" applyFont="1" applyBorder="1"/>
    <xf numFmtId="1" fontId="0" fillId="0" borderId="13" xfId="1" applyNumberFormat="1" applyFont="1" applyBorder="1"/>
    <xf numFmtId="0" fontId="0" fillId="0" borderId="14" xfId="1" applyFont="1" applyBorder="1"/>
    <xf numFmtId="0" fontId="0" fillId="0" borderId="15" xfId="1" applyFont="1" applyBorder="1"/>
    <xf numFmtId="1" fontId="0" fillId="0" borderId="16" xfId="1" applyNumberFormat="1" applyFont="1" applyBorder="1"/>
    <xf numFmtId="0" fontId="0" fillId="0" borderId="17" xfId="1" applyFont="1" applyBorder="1"/>
    <xf numFmtId="1" fontId="0" fillId="0" borderId="6" xfId="1" applyNumberFormat="1" applyFont="1" applyBorder="1"/>
    <xf numFmtId="0" fontId="0" fillId="0" borderId="18" xfId="1" applyFont="1" applyBorder="1"/>
    <xf numFmtId="0" fontId="0" fillId="0" borderId="19" xfId="1" applyFont="1" applyBorder="1"/>
    <xf numFmtId="1" fontId="0" fillId="0" borderId="19" xfId="1" applyNumberFormat="1" applyFont="1" applyBorder="1"/>
    <xf numFmtId="0" fontId="0" fillId="0" borderId="20" xfId="1" applyFont="1" applyBorder="1"/>
    <xf numFmtId="177" fontId="0" fillId="0" borderId="0" xfId="1" applyNumberFormat="1" applyFont="1"/>
    <xf numFmtId="0" fontId="0" fillId="0" borderId="0" xfId="1" applyFont="1" applyAlignment="1">
      <alignment wrapText="1"/>
    </xf>
    <xf numFmtId="0" fontId="1" fillId="4" borderId="21" xfId="1" applyFont="1" applyFill="1" applyBorder="1" applyAlignment="1">
      <alignment horizontal="center" vertical="center" wrapText="1"/>
    </xf>
    <xf numFmtId="0" fontId="0" fillId="0" borderId="22" xfId="1" applyFont="1" applyBorder="1"/>
    <xf numFmtId="176" fontId="0" fillId="0" borderId="23" xfId="1" applyNumberFormat="1" applyFont="1" applyBorder="1"/>
    <xf numFmtId="0" fontId="0" fillId="0" borderId="23" xfId="1" applyFont="1" applyBorder="1"/>
    <xf numFmtId="0" fontId="0" fillId="5" borderId="23" xfId="1" applyFont="1" applyFill="1" applyBorder="1"/>
    <xf numFmtId="1" fontId="0" fillId="5" borderId="23" xfId="1" applyNumberFormat="1" applyFont="1" applyFill="1" applyBorder="1"/>
    <xf numFmtId="178" fontId="0" fillId="5" borderId="23" xfId="1" applyNumberFormat="1" applyFont="1" applyFill="1" applyBorder="1"/>
    <xf numFmtId="178" fontId="0" fillId="5" borderId="24" xfId="1" applyNumberFormat="1" applyFont="1" applyFill="1" applyBorder="1"/>
    <xf numFmtId="0" fontId="0" fillId="0" borderId="25" xfId="1" applyFont="1" applyBorder="1"/>
    <xf numFmtId="176" fontId="0" fillId="0" borderId="26" xfId="1" applyNumberFormat="1" applyFont="1" applyBorder="1"/>
    <xf numFmtId="0" fontId="0" fillId="0" borderId="26" xfId="1" applyFont="1" applyBorder="1"/>
    <xf numFmtId="0" fontId="0" fillId="5" borderId="26" xfId="1" applyFont="1" applyFill="1" applyBorder="1"/>
    <xf numFmtId="1" fontId="0" fillId="5" borderId="26" xfId="1" applyNumberFormat="1" applyFont="1" applyFill="1" applyBorder="1"/>
    <xf numFmtId="178" fontId="0" fillId="5" borderId="26" xfId="1" applyNumberFormat="1" applyFont="1" applyFill="1" applyBorder="1"/>
    <xf numFmtId="178" fontId="0" fillId="5" borderId="27" xfId="1" applyNumberFormat="1" applyFont="1" applyFill="1" applyBorder="1"/>
    <xf numFmtId="0" fontId="7" fillId="0" borderId="0" xfId="0" applyFont="1"/>
    <xf numFmtId="0" fontId="8" fillId="3" borderId="0" xfId="1" applyFont="1" applyFill="1" applyAlignment="1">
      <alignment vertical="center" wrapText="1"/>
    </xf>
    <xf numFmtId="0" fontId="5" fillId="4" borderId="8" xfId="1" applyFont="1" applyFill="1" applyBorder="1" applyAlignment="1">
      <alignment horizontal="center" vertical="center"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vertical="center" wrapText="1"/>
    </xf>
    <xf numFmtId="0" fontId="5" fillId="2" borderId="0" xfId="1" applyFont="1" applyFill="1" applyAlignment="1">
      <alignment horizontal="left" vertical="center"/>
    </xf>
  </cellXfs>
  <cellStyles count="2">
    <cellStyle name="Normal" xfId="1" xr:uid="{00000000-0005-0000-0000-000000000000}"/>
    <cellStyle name="一般" xfId="0" builtinId="0"/>
  </cellStyles>
  <dxfs count="5"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icketTable" displayName="TicketTable" ref="A3:V903" totalsRowShown="0">
  <tableColumns count="22">
    <tableColumn id="1" xr3:uid="{00000000-0010-0000-0000-000001000000}" name="工單編號"/>
    <tableColumn id="2" xr3:uid="{00000000-0010-0000-0000-000002000000}" name="建立日期時間"/>
    <tableColumn id="3" xr3:uid="{00000000-0010-0000-0000-000003000000}" name="客戶編號"/>
    <tableColumn id="4" xr3:uid="{00000000-0010-0000-0000-000004000000}" name="服務管道"/>
    <tableColumn id="5" xr3:uid="{00000000-0010-0000-0000-000005000000}" name="問題類型"/>
    <tableColumn id="6" xr3:uid="{00000000-0010-0000-0000-000006000000}" name="問題細項"/>
    <tableColumn id="7" xr3:uid="{00000000-0010-0000-0000-000007000000}" name="優先程度"/>
    <tableColumn id="8" xr3:uid="{00000000-0010-0000-0000-000008000000}" name="負責人員編號"/>
    <tableColumn id="9" xr3:uid="{00000000-0010-0000-0000-000009000000}" name="負責團隊"/>
    <tableColumn id="10" xr3:uid="{00000000-0010-0000-0000-00000A000000}" name="案件狀態"/>
    <tableColumn id="11" xr3:uid="{00000000-0010-0000-0000-00000B000000}" name="首次回覆時間"/>
    <tableColumn id="12" xr3:uid="{00000000-0010-0000-0000-00000C000000}" name="結案時間"/>
    <tableColumn id="13" xr3:uid="{00000000-0010-0000-0000-00000D000000}" name="首次回覆分鐘"/>
    <tableColumn id="14" xr3:uid="{00000000-0010-0000-0000-00000E000000}" name="處理時間小時"/>
    <tableColumn id="15" xr3:uid="{00000000-0010-0000-0000-00000F000000}" name="首次回覆上限（分鐘）"/>
    <tableColumn id="16" xr3:uid="{00000000-0010-0000-0000-000010000000}" name="結案上限（小時）"/>
    <tableColumn id="17" xr3:uid="{00000000-0010-0000-0000-000011000000}" name="SLA狀態"/>
    <tableColumn id="18" xr3:uid="{00000000-0010-0000-0000-000012000000}" name="是否重複來件"/>
    <tableColumn id="19" xr3:uid="{00000000-0010-0000-0000-000013000000}" name="調查回覆"/>
    <tableColumn id="20" xr3:uid="{00000000-0010-0000-0000-000014000000}" name="整體滿意度"/>
    <tableColumn id="21" xr3:uid="{00000000-0010-0000-0000-000015000000}" name="服務月份"/>
    <tableColumn id="22" xr3:uid="{00000000-0010-0000-0000-000016000000}" name="目前等待小時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ffTable" displayName="StaffTable" ref="A3:H27" totalsRowShown="0">
  <tableColumns count="8">
    <tableColumn id="1" xr3:uid="{00000000-0010-0000-0100-000001000000}" name="人員編號"/>
    <tableColumn id="2" xr3:uid="{00000000-0010-0000-0100-000002000000}" name="人員姓名"/>
    <tableColumn id="3" xr3:uid="{00000000-0010-0000-0100-000003000000}" name="所屬團隊"/>
    <tableColumn id="4" xr3:uid="{00000000-0010-0000-0100-000004000000}" name="服務區域"/>
    <tableColumn id="5" xr3:uid="{00000000-0010-0000-0100-000005000000}" name="擅長問題類型"/>
    <tableColumn id="6" xr3:uid="{00000000-0010-0000-0100-000006000000}" name="每日建議案件量"/>
    <tableColumn id="7" xr3:uid="{00000000-0010-0000-0100-000007000000}" name="人員狀態"/>
    <tableColumn id="8" xr3:uid="{00000000-0010-0000-0100-000008000000}" name="備註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SlaTable" displayName="SlaTable" ref="A3:D7" totalsRowShown="0">
  <tableColumns count="4">
    <tableColumn id="1" xr3:uid="{00000000-0010-0000-0200-000001000000}" name="優先程度"/>
    <tableColumn id="2" xr3:uid="{00000000-0010-0000-0200-000002000000}" name="首次回覆上限（分鐘）"/>
    <tableColumn id="3" xr3:uid="{00000000-0010-0000-0200-000003000000}" name="結案上限（小時）"/>
    <tableColumn id="4" xr3:uid="{00000000-0010-0000-0200-000004000000}" name="說明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SurveyTable" displayName="SurveyTable" ref="A3:I570" totalsRowShown="0">
  <tableColumns count="9">
    <tableColumn id="1" xr3:uid="{00000000-0010-0000-0300-000001000000}" name="調查編號"/>
    <tableColumn id="2" xr3:uid="{00000000-0010-0000-0300-000002000000}" name="工單編號"/>
    <tableColumn id="3" xr3:uid="{00000000-0010-0000-0300-000003000000}" name="評分日期"/>
    <tableColumn id="4" xr3:uid="{00000000-0010-0000-0300-000004000000}" name="整體滿意度"/>
    <tableColumn id="5" xr3:uid="{00000000-0010-0000-0300-000005000000}" name="回覆速度"/>
    <tableColumn id="6" xr3:uid="{00000000-0010-0000-0300-000006000000}" name="問題解決"/>
    <tableColumn id="7" xr3:uid="{00000000-0010-0000-0300-000007000000}" name="服務態度"/>
    <tableColumn id="8" xr3:uid="{00000000-0010-0000-0300-000008000000}" name="願意推薦"/>
    <tableColumn id="9" xr3:uid="{00000000-0010-0000-0300-000009000000}" name="客戶意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showGridLines="0" tabSelected="1" workbookViewId="0">
      <selection activeCell="C8" sqref="C8"/>
    </sheetView>
  </sheetViews>
  <sheetFormatPr defaultRowHeight="13.8"/>
  <cols>
    <col min="1" max="1" width="22.5" customWidth="1"/>
    <col min="2" max="2" width="20" customWidth="1"/>
    <col min="3" max="3" width="34" customWidth="1"/>
    <col min="4" max="4" width="40" customWidth="1"/>
    <col min="5" max="5" width="42" customWidth="1"/>
    <col min="6" max="6" width="26" customWidth="1"/>
  </cols>
  <sheetData>
    <row r="1" spans="1:6" ht="31.95" customHeight="1">
      <c r="A1" s="51" t="s">
        <v>2108</v>
      </c>
      <c r="B1" s="49" t="s">
        <v>0</v>
      </c>
      <c r="C1" s="49" t="s">
        <v>0</v>
      </c>
      <c r="D1" s="49" t="s">
        <v>0</v>
      </c>
      <c r="E1" s="49" t="s">
        <v>0</v>
      </c>
      <c r="F1" s="49" t="s">
        <v>0</v>
      </c>
    </row>
    <row r="2" spans="1:6">
      <c r="A2" s="50" t="s">
        <v>1</v>
      </c>
      <c r="B2" s="50" t="s">
        <v>1</v>
      </c>
      <c r="C2" s="50" t="s">
        <v>1</v>
      </c>
      <c r="D2" s="50" t="s">
        <v>1</v>
      </c>
      <c r="E2" s="50" t="s">
        <v>1</v>
      </c>
      <c r="F2" s="50" t="s">
        <v>1</v>
      </c>
    </row>
    <row r="3" spans="1:6" ht="15">
      <c r="A3" s="47" t="s">
        <v>2105</v>
      </c>
      <c r="B3" s="1"/>
      <c r="C3" s="1"/>
      <c r="D3" s="1"/>
      <c r="E3" s="1"/>
      <c r="F3" s="1"/>
    </row>
    <row r="4" spans="1:6">
      <c r="A4" s="46"/>
    </row>
    <row r="5" spans="1:6" ht="30" customHeight="1">
      <c r="A5" s="3" t="s">
        <v>2</v>
      </c>
      <c r="B5" s="3" t="s">
        <v>3</v>
      </c>
      <c r="C5" s="8"/>
      <c r="D5" s="8"/>
      <c r="E5" s="8"/>
      <c r="F5" s="9"/>
    </row>
    <row r="6" spans="1:6" ht="37.950000000000003" customHeight="1">
      <c r="A6" s="10" t="s">
        <v>4</v>
      </c>
      <c r="B6" s="11" t="s">
        <v>5</v>
      </c>
      <c r="C6" s="11"/>
      <c r="D6" s="11"/>
      <c r="E6" s="11"/>
      <c r="F6" s="12"/>
    </row>
    <row r="7" spans="1:6" ht="37.950000000000003" customHeight="1">
      <c r="A7" s="10" t="s">
        <v>6</v>
      </c>
      <c r="B7" s="13">
        <v>46204.375</v>
      </c>
      <c r="C7" s="11"/>
      <c r="D7" s="11"/>
      <c r="E7" s="11"/>
      <c r="F7" s="12"/>
    </row>
    <row r="8" spans="1:6" ht="37.950000000000003" customHeight="1">
      <c r="A8" s="10" t="s">
        <v>7</v>
      </c>
      <c r="B8" s="11" t="s">
        <v>8</v>
      </c>
      <c r="C8" s="11"/>
      <c r="D8" s="11"/>
      <c r="E8" s="11"/>
      <c r="F8" s="12"/>
    </row>
    <row r="9" spans="1:6">
      <c r="A9" s="10"/>
      <c r="B9" s="11"/>
      <c r="C9" s="11"/>
      <c r="D9" s="11"/>
      <c r="E9" s="11"/>
      <c r="F9" s="12"/>
    </row>
    <row r="10" spans="1:6" ht="30" customHeight="1">
      <c r="A10" s="7" t="s">
        <v>9</v>
      </c>
      <c r="B10" s="7" t="s">
        <v>10</v>
      </c>
      <c r="C10" s="7" t="s">
        <v>11</v>
      </c>
      <c r="D10" s="7" t="s">
        <v>12</v>
      </c>
      <c r="E10" s="11"/>
      <c r="F10" s="12"/>
    </row>
    <row r="11" spans="1:6" ht="37.950000000000003" customHeight="1">
      <c r="A11" s="10" t="s">
        <v>13</v>
      </c>
      <c r="B11" s="11" t="s">
        <v>14</v>
      </c>
      <c r="C11" s="11" t="s">
        <v>15</v>
      </c>
      <c r="D11" s="11" t="s">
        <v>16</v>
      </c>
      <c r="E11" s="11"/>
      <c r="F11" s="12"/>
    </row>
    <row r="12" spans="1:6" ht="37.950000000000003" customHeight="1">
      <c r="A12" s="10" t="s">
        <v>17</v>
      </c>
      <c r="B12" s="11" t="s">
        <v>18</v>
      </c>
      <c r="C12" s="11" t="s">
        <v>19</v>
      </c>
      <c r="D12" s="11" t="s">
        <v>20</v>
      </c>
      <c r="E12" s="11"/>
      <c r="F12" s="12"/>
    </row>
    <row r="13" spans="1:6" ht="45.6" customHeight="1">
      <c r="A13" s="10" t="s">
        <v>2106</v>
      </c>
      <c r="B13" s="11" t="s">
        <v>21</v>
      </c>
      <c r="C13" s="11" t="s">
        <v>22</v>
      </c>
      <c r="D13" s="11" t="s">
        <v>23</v>
      </c>
      <c r="E13" s="11"/>
      <c r="F13" s="12"/>
    </row>
    <row r="14" spans="1:6" ht="37.950000000000003" customHeight="1">
      <c r="A14" s="10" t="s">
        <v>24</v>
      </c>
      <c r="B14" s="11" t="s">
        <v>25</v>
      </c>
      <c r="C14" s="11" t="s">
        <v>26</v>
      </c>
      <c r="D14" s="11" t="s">
        <v>27</v>
      </c>
      <c r="E14" s="11"/>
      <c r="F14" s="12"/>
    </row>
    <row r="15" spans="1:6" ht="37.950000000000003" customHeight="1">
      <c r="A15" s="10" t="s">
        <v>6</v>
      </c>
      <c r="B15" s="11" t="s">
        <v>28</v>
      </c>
      <c r="C15" s="11" t="s">
        <v>29</v>
      </c>
      <c r="D15" s="11" t="s">
        <v>30</v>
      </c>
      <c r="E15" s="11"/>
      <c r="F15" s="12"/>
    </row>
    <row r="16" spans="1:6">
      <c r="A16" s="10"/>
      <c r="B16" s="11"/>
      <c r="C16" s="11"/>
      <c r="D16" s="11"/>
      <c r="E16" s="11"/>
      <c r="F16" s="12"/>
    </row>
    <row r="17" spans="1:6" ht="42" customHeight="1">
      <c r="A17" s="7" t="s">
        <v>31</v>
      </c>
      <c r="B17" s="7" t="s">
        <v>32</v>
      </c>
      <c r="C17" s="7" t="s">
        <v>33</v>
      </c>
      <c r="D17" s="7" t="s">
        <v>34</v>
      </c>
      <c r="E17" s="48" t="s">
        <v>2107</v>
      </c>
      <c r="F17" s="7" t="s">
        <v>35</v>
      </c>
    </row>
    <row r="18" spans="1:6" ht="42" customHeight="1">
      <c r="A18" s="10" t="s">
        <v>36</v>
      </c>
      <c r="B18" s="11" t="s">
        <v>37</v>
      </c>
      <c r="C18" s="11" t="s">
        <v>38</v>
      </c>
      <c r="D18" s="11" t="s">
        <v>39</v>
      </c>
      <c r="E18" s="11" t="s">
        <v>40</v>
      </c>
      <c r="F18" s="12" t="s">
        <v>41</v>
      </c>
    </row>
    <row r="19" spans="1:6" ht="42" customHeight="1">
      <c r="A19" s="10" t="s">
        <v>42</v>
      </c>
      <c r="B19" s="11" t="s">
        <v>43</v>
      </c>
      <c r="C19" s="11" t="s">
        <v>44</v>
      </c>
      <c r="D19" s="11" t="s">
        <v>45</v>
      </c>
      <c r="E19" s="11" t="s">
        <v>46</v>
      </c>
      <c r="F19" s="12" t="s">
        <v>47</v>
      </c>
    </row>
    <row r="20" spans="1:6" ht="42" customHeight="1">
      <c r="A20" s="10" t="s">
        <v>48</v>
      </c>
      <c r="B20" s="11" t="s">
        <v>43</v>
      </c>
      <c r="C20" s="11" t="s">
        <v>49</v>
      </c>
      <c r="D20" s="11" t="s">
        <v>50</v>
      </c>
      <c r="E20" s="11" t="s">
        <v>51</v>
      </c>
      <c r="F20" s="12" t="s">
        <v>47</v>
      </c>
    </row>
    <row r="21" spans="1:6" ht="42" customHeight="1">
      <c r="A21" s="10" t="s">
        <v>52</v>
      </c>
      <c r="B21" s="11" t="s">
        <v>43</v>
      </c>
      <c r="C21" s="11" t="s">
        <v>53</v>
      </c>
      <c r="D21" s="11" t="s">
        <v>54</v>
      </c>
      <c r="E21" s="11" t="s">
        <v>55</v>
      </c>
      <c r="F21" s="12" t="s">
        <v>47</v>
      </c>
    </row>
    <row r="22" spans="1:6">
      <c r="A22" s="10"/>
      <c r="B22" s="11"/>
      <c r="C22" s="11"/>
      <c r="D22" s="11"/>
      <c r="E22" s="11"/>
      <c r="F22" s="12"/>
    </row>
    <row r="23" spans="1:6" ht="48" customHeight="1">
      <c r="A23" s="7" t="s">
        <v>56</v>
      </c>
      <c r="B23" s="7" t="s">
        <v>57</v>
      </c>
      <c r="C23" s="7" t="s">
        <v>58</v>
      </c>
      <c r="D23" s="7" t="s">
        <v>59</v>
      </c>
      <c r="E23" s="7" t="s">
        <v>60</v>
      </c>
      <c r="F23" s="7" t="s">
        <v>61</v>
      </c>
    </row>
    <row r="24" spans="1:6" ht="48" customHeight="1">
      <c r="A24" s="10" t="s">
        <v>62</v>
      </c>
      <c r="B24" s="11" t="s">
        <v>63</v>
      </c>
      <c r="C24" s="11" t="s">
        <v>64</v>
      </c>
      <c r="D24" s="11" t="s">
        <v>65</v>
      </c>
      <c r="E24" s="11" t="s">
        <v>66</v>
      </c>
      <c r="F24" s="12" t="s">
        <v>66</v>
      </c>
    </row>
    <row r="25" spans="1:6" ht="48" customHeight="1">
      <c r="A25" s="10" t="s">
        <v>67</v>
      </c>
      <c r="B25" s="11" t="s">
        <v>68</v>
      </c>
      <c r="C25" s="11" t="s">
        <v>69</v>
      </c>
      <c r="D25" s="11" t="s">
        <v>70</v>
      </c>
      <c r="E25" s="11" t="s">
        <v>71</v>
      </c>
      <c r="F25" s="12" t="s">
        <v>71</v>
      </c>
    </row>
    <row r="26" spans="1:6" ht="48" customHeight="1">
      <c r="A26" s="10" t="s">
        <v>72</v>
      </c>
      <c r="B26" s="11" t="s">
        <v>73</v>
      </c>
      <c r="C26" s="11" t="s">
        <v>74</v>
      </c>
      <c r="D26" s="11" t="s">
        <v>75</v>
      </c>
      <c r="E26" s="11" t="s">
        <v>76</v>
      </c>
      <c r="F26" s="12" t="s">
        <v>77</v>
      </c>
    </row>
    <row r="27" spans="1:6" ht="48" customHeight="1">
      <c r="A27" s="10" t="s">
        <v>78</v>
      </c>
      <c r="B27" s="11" t="s">
        <v>79</v>
      </c>
      <c r="C27" s="11" t="s">
        <v>80</v>
      </c>
      <c r="D27" s="11" t="s">
        <v>81</v>
      </c>
      <c r="E27" s="11" t="s">
        <v>82</v>
      </c>
      <c r="F27" s="12" t="s">
        <v>83</v>
      </c>
    </row>
    <row r="28" spans="1:6" ht="48" customHeight="1">
      <c r="A28" s="10" t="s">
        <v>84</v>
      </c>
      <c r="B28" s="11" t="s">
        <v>85</v>
      </c>
      <c r="C28" s="11" t="s">
        <v>86</v>
      </c>
      <c r="D28" s="11" t="s">
        <v>87</v>
      </c>
      <c r="E28" s="11" t="s">
        <v>88</v>
      </c>
      <c r="F28" s="12" t="s">
        <v>89</v>
      </c>
    </row>
    <row r="29" spans="1:6" ht="48" customHeight="1">
      <c r="A29" s="10" t="s">
        <v>90</v>
      </c>
      <c r="B29" s="11" t="s">
        <v>91</v>
      </c>
      <c r="C29" s="11" t="s">
        <v>92</v>
      </c>
      <c r="D29" s="11" t="s">
        <v>93</v>
      </c>
      <c r="E29" s="11" t="s">
        <v>94</v>
      </c>
      <c r="F29" s="12" t="s">
        <v>95</v>
      </c>
    </row>
    <row r="30" spans="1:6">
      <c r="A30" s="10"/>
      <c r="B30" s="11"/>
      <c r="C30" s="11"/>
      <c r="D30" s="11"/>
      <c r="E30" s="11"/>
      <c r="F30" s="12"/>
    </row>
    <row r="31" spans="1:6" ht="46.05" customHeight="1">
      <c r="A31" s="7" t="s">
        <v>96</v>
      </c>
      <c r="B31" s="7" t="s">
        <v>31</v>
      </c>
      <c r="C31" s="7" t="s">
        <v>97</v>
      </c>
      <c r="D31" s="7" t="s">
        <v>98</v>
      </c>
      <c r="E31" s="7" t="s">
        <v>99</v>
      </c>
      <c r="F31" s="7" t="s">
        <v>100</v>
      </c>
    </row>
    <row r="32" spans="1:6" ht="46.05" customHeight="1">
      <c r="A32" s="10" t="s">
        <v>101</v>
      </c>
      <c r="B32" s="11" t="s">
        <v>102</v>
      </c>
      <c r="C32" s="11" t="s">
        <v>103</v>
      </c>
      <c r="D32" s="11" t="s">
        <v>104</v>
      </c>
      <c r="E32" s="11" t="s">
        <v>105</v>
      </c>
      <c r="F32" s="12" t="s">
        <v>106</v>
      </c>
    </row>
    <row r="33" spans="1:6" ht="46.05" customHeight="1">
      <c r="A33" s="10" t="s">
        <v>107</v>
      </c>
      <c r="B33" s="11" t="s">
        <v>102</v>
      </c>
      <c r="C33" s="11" t="s">
        <v>108</v>
      </c>
      <c r="D33" s="11" t="s">
        <v>109</v>
      </c>
      <c r="E33" s="11" t="s">
        <v>110</v>
      </c>
      <c r="F33" s="12" t="s">
        <v>111</v>
      </c>
    </row>
    <row r="34" spans="1:6" ht="46.05" customHeight="1">
      <c r="A34" s="10" t="s">
        <v>112</v>
      </c>
      <c r="B34" s="11" t="s">
        <v>102</v>
      </c>
      <c r="C34" s="11" t="s">
        <v>103</v>
      </c>
      <c r="D34" s="11" t="s">
        <v>113</v>
      </c>
      <c r="E34" s="11" t="s">
        <v>114</v>
      </c>
      <c r="F34" s="12" t="s">
        <v>115</v>
      </c>
    </row>
    <row r="35" spans="1:6" ht="46.05" customHeight="1">
      <c r="A35" s="10" t="s">
        <v>116</v>
      </c>
      <c r="B35" s="11" t="s">
        <v>102</v>
      </c>
      <c r="C35" s="11" t="s">
        <v>117</v>
      </c>
      <c r="D35" s="11" t="s">
        <v>118</v>
      </c>
      <c r="E35" s="11" t="s">
        <v>119</v>
      </c>
      <c r="F35" s="12" t="s">
        <v>120</v>
      </c>
    </row>
    <row r="36" spans="1:6" ht="46.05" customHeight="1">
      <c r="A36" s="10" t="s">
        <v>121</v>
      </c>
      <c r="B36" s="11" t="s">
        <v>102</v>
      </c>
      <c r="C36" s="11" t="s">
        <v>122</v>
      </c>
      <c r="D36" s="11" t="s">
        <v>123</v>
      </c>
      <c r="E36" s="11" t="s">
        <v>124</v>
      </c>
      <c r="F36" s="12" t="s">
        <v>125</v>
      </c>
    </row>
    <row r="37" spans="1:6" ht="46.05" customHeight="1">
      <c r="A37" s="10" t="s">
        <v>126</v>
      </c>
      <c r="B37" s="11" t="s">
        <v>102</v>
      </c>
      <c r="C37" s="11" t="s">
        <v>122</v>
      </c>
      <c r="D37" s="11" t="s">
        <v>127</v>
      </c>
      <c r="E37" s="11" t="s">
        <v>128</v>
      </c>
      <c r="F37" s="12" t="s">
        <v>129</v>
      </c>
    </row>
    <row r="38" spans="1:6" ht="46.05" customHeight="1">
      <c r="A38" s="10" t="s">
        <v>63</v>
      </c>
      <c r="B38" s="11" t="s">
        <v>102</v>
      </c>
      <c r="C38" s="11" t="s">
        <v>130</v>
      </c>
      <c r="D38" s="11" t="s">
        <v>131</v>
      </c>
      <c r="E38" s="11" t="s">
        <v>132</v>
      </c>
      <c r="F38" s="12" t="s">
        <v>133</v>
      </c>
    </row>
    <row r="39" spans="1:6" ht="46.05" customHeight="1">
      <c r="A39" s="10" t="s">
        <v>134</v>
      </c>
      <c r="B39" s="11" t="s">
        <v>102</v>
      </c>
      <c r="C39" s="11" t="s">
        <v>135</v>
      </c>
      <c r="D39" s="11" t="s">
        <v>136</v>
      </c>
      <c r="E39" s="11" t="s">
        <v>137</v>
      </c>
      <c r="F39" s="12" t="s">
        <v>138</v>
      </c>
    </row>
    <row r="40" spans="1:6" ht="46.05" customHeight="1">
      <c r="A40" s="10" t="s">
        <v>139</v>
      </c>
      <c r="B40" s="11" t="s">
        <v>140</v>
      </c>
      <c r="C40" s="11" t="s">
        <v>141</v>
      </c>
      <c r="D40" s="11" t="s">
        <v>142</v>
      </c>
      <c r="E40" s="11" t="s">
        <v>143</v>
      </c>
      <c r="F40" s="12" t="s">
        <v>144</v>
      </c>
    </row>
    <row r="41" spans="1:6" ht="46.05" customHeight="1">
      <c r="A41" s="10" t="s">
        <v>145</v>
      </c>
      <c r="B41" s="11" t="s">
        <v>102</v>
      </c>
      <c r="C41" s="11" t="s">
        <v>146</v>
      </c>
      <c r="D41" s="11" t="s">
        <v>147</v>
      </c>
      <c r="E41" s="11" t="s">
        <v>148</v>
      </c>
      <c r="F41" s="12" t="s">
        <v>149</v>
      </c>
    </row>
    <row r="42" spans="1:6" ht="46.05" customHeight="1">
      <c r="A42" s="10" t="s">
        <v>150</v>
      </c>
      <c r="B42" s="11" t="s">
        <v>102</v>
      </c>
      <c r="C42" s="11" t="s">
        <v>151</v>
      </c>
      <c r="D42" s="11" t="s">
        <v>152</v>
      </c>
      <c r="E42" s="11" t="s">
        <v>153</v>
      </c>
      <c r="F42" s="12" t="s">
        <v>154</v>
      </c>
    </row>
    <row r="43" spans="1:6" ht="46.05" customHeight="1">
      <c r="A43" s="10" t="s">
        <v>155</v>
      </c>
      <c r="B43" s="11" t="s">
        <v>102</v>
      </c>
      <c r="C43" s="11" t="s">
        <v>156</v>
      </c>
      <c r="D43" s="11" t="s">
        <v>152</v>
      </c>
      <c r="E43" s="11" t="s">
        <v>157</v>
      </c>
      <c r="F43" s="12" t="s">
        <v>158</v>
      </c>
    </row>
    <row r="44" spans="1:6" ht="46.05" customHeight="1">
      <c r="A44" s="10" t="s">
        <v>70</v>
      </c>
      <c r="B44" s="11" t="s">
        <v>159</v>
      </c>
      <c r="C44" s="11" t="s">
        <v>160</v>
      </c>
      <c r="D44" s="11" t="s">
        <v>161</v>
      </c>
      <c r="E44" s="11" t="s">
        <v>162</v>
      </c>
      <c r="F44" s="12" t="s">
        <v>163</v>
      </c>
    </row>
    <row r="45" spans="1:6" ht="46.05" customHeight="1">
      <c r="A45" s="10" t="s">
        <v>75</v>
      </c>
      <c r="B45" s="11" t="s">
        <v>159</v>
      </c>
      <c r="C45" s="11" t="s">
        <v>164</v>
      </c>
      <c r="D45" s="11" t="s">
        <v>165</v>
      </c>
      <c r="E45" s="11" t="s">
        <v>166</v>
      </c>
      <c r="F45" s="12" t="s">
        <v>167</v>
      </c>
    </row>
    <row r="46" spans="1:6" ht="46.05" customHeight="1">
      <c r="A46" s="10" t="s">
        <v>168</v>
      </c>
      <c r="B46" s="11" t="s">
        <v>140</v>
      </c>
      <c r="C46" s="11" t="s">
        <v>169</v>
      </c>
      <c r="D46" s="11" t="s">
        <v>170</v>
      </c>
      <c r="E46" s="11" t="s">
        <v>171</v>
      </c>
      <c r="F46" s="12" t="s">
        <v>172</v>
      </c>
    </row>
    <row r="47" spans="1:6" ht="46.05" customHeight="1">
      <c r="A47" s="10" t="s">
        <v>173</v>
      </c>
      <c r="B47" s="11" t="s">
        <v>140</v>
      </c>
      <c r="C47" s="11" t="s">
        <v>169</v>
      </c>
      <c r="D47" s="11" t="s">
        <v>174</v>
      </c>
      <c r="E47" s="11" t="s">
        <v>171</v>
      </c>
      <c r="F47" s="12" t="s">
        <v>172</v>
      </c>
    </row>
    <row r="48" spans="1:6" ht="46.05" customHeight="1">
      <c r="A48" s="10" t="s">
        <v>175</v>
      </c>
      <c r="B48" s="11" t="s">
        <v>176</v>
      </c>
      <c r="C48" s="11" t="s">
        <v>177</v>
      </c>
      <c r="D48" s="11" t="s">
        <v>178</v>
      </c>
      <c r="E48" s="11" t="s">
        <v>179</v>
      </c>
      <c r="F48" s="12" t="s">
        <v>180</v>
      </c>
    </row>
    <row r="49" spans="1:6" ht="46.05" customHeight="1">
      <c r="A49" s="10" t="s">
        <v>181</v>
      </c>
      <c r="B49" s="11" t="s">
        <v>102</v>
      </c>
      <c r="C49" s="11" t="s">
        <v>182</v>
      </c>
      <c r="D49" s="11" t="s">
        <v>183</v>
      </c>
      <c r="E49" s="11" t="s">
        <v>184</v>
      </c>
      <c r="F49" s="12" t="s">
        <v>185</v>
      </c>
    </row>
    <row r="50" spans="1:6" ht="46.05" customHeight="1">
      <c r="A50" s="10" t="s">
        <v>186</v>
      </c>
      <c r="B50" s="11" t="s">
        <v>176</v>
      </c>
      <c r="C50" s="11" t="s">
        <v>187</v>
      </c>
      <c r="D50" s="11" t="s">
        <v>188</v>
      </c>
      <c r="E50" s="11" t="s">
        <v>189</v>
      </c>
      <c r="F50" s="12" t="s">
        <v>190</v>
      </c>
    </row>
    <row r="51" spans="1:6" ht="46.05" customHeight="1">
      <c r="A51" s="10" t="s">
        <v>191</v>
      </c>
      <c r="B51" s="11" t="s">
        <v>140</v>
      </c>
      <c r="C51" s="11" t="s">
        <v>192</v>
      </c>
      <c r="D51" s="11" t="s">
        <v>193</v>
      </c>
      <c r="E51" s="11" t="s">
        <v>194</v>
      </c>
      <c r="F51" s="12" t="s">
        <v>195</v>
      </c>
    </row>
    <row r="52" spans="1:6" ht="46.05" customHeight="1">
      <c r="A52" s="10" t="s">
        <v>196</v>
      </c>
      <c r="B52" s="11" t="s">
        <v>197</v>
      </c>
      <c r="C52" s="11" t="s">
        <v>198</v>
      </c>
      <c r="D52" s="11" t="s">
        <v>199</v>
      </c>
      <c r="E52" s="11" t="s">
        <v>200</v>
      </c>
      <c r="F52" s="12" t="s">
        <v>201</v>
      </c>
    </row>
    <row r="53" spans="1:6" ht="46.05" customHeight="1">
      <c r="A53" s="10" t="s">
        <v>81</v>
      </c>
      <c r="B53" s="11" t="s">
        <v>159</v>
      </c>
      <c r="C53" s="11" t="s">
        <v>202</v>
      </c>
      <c r="D53" s="11" t="s">
        <v>203</v>
      </c>
      <c r="E53" s="11" t="s">
        <v>204</v>
      </c>
      <c r="F53" s="12" t="s">
        <v>205</v>
      </c>
    </row>
  </sheetData>
  <mergeCells count="2">
    <mergeCell ref="A1:F1"/>
    <mergeCell ref="A2:F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03"/>
  <sheetViews>
    <sheetView showGridLines="0" workbookViewId="0">
      <selection activeCell="T4" sqref="T4"/>
    </sheetView>
  </sheetViews>
  <sheetFormatPr defaultRowHeight="13.8"/>
  <cols>
    <col min="1" max="1" width="16" customWidth="1"/>
    <col min="2" max="2" width="20" customWidth="1"/>
    <col min="3" max="3" width="14" customWidth="1"/>
    <col min="4" max="4" width="13" customWidth="1"/>
    <col min="5" max="5" width="15" customWidth="1"/>
    <col min="6" max="6" width="20" customWidth="1"/>
    <col min="7" max="7" width="12" customWidth="1"/>
    <col min="8" max="9" width="16" customWidth="1"/>
    <col min="10" max="10" width="14" customWidth="1"/>
    <col min="11" max="12" width="20" customWidth="1"/>
    <col min="13" max="14" width="16" customWidth="1"/>
    <col min="15" max="15" width="20" customWidth="1"/>
    <col min="16" max="16" width="18" customWidth="1"/>
    <col min="17" max="17" width="12" customWidth="1"/>
    <col min="18" max="18" width="16" customWidth="1"/>
    <col min="19" max="19" width="12" customWidth="1"/>
    <col min="20" max="21" width="14" customWidth="1"/>
    <col min="22" max="22" width="16" customWidth="1"/>
  </cols>
  <sheetData>
    <row r="1" spans="1:22" ht="31.95" customHeight="1">
      <c r="A1" s="49" t="s">
        <v>206</v>
      </c>
      <c r="B1" s="49" t="s">
        <v>206</v>
      </c>
      <c r="C1" s="49" t="s">
        <v>206</v>
      </c>
      <c r="D1" s="49" t="s">
        <v>206</v>
      </c>
      <c r="E1" s="49" t="s">
        <v>206</v>
      </c>
      <c r="F1" s="49" t="s">
        <v>206</v>
      </c>
      <c r="G1" s="49" t="s">
        <v>206</v>
      </c>
      <c r="H1" s="49" t="s">
        <v>206</v>
      </c>
      <c r="I1" s="49" t="s">
        <v>206</v>
      </c>
      <c r="J1" s="49" t="s">
        <v>206</v>
      </c>
      <c r="K1" s="49" t="s">
        <v>206</v>
      </c>
      <c r="L1" s="49" t="s">
        <v>206</v>
      </c>
      <c r="M1" s="49" t="s">
        <v>206</v>
      </c>
      <c r="N1" s="49" t="s">
        <v>206</v>
      </c>
      <c r="O1" s="49" t="s">
        <v>206</v>
      </c>
      <c r="P1" s="49" t="s">
        <v>206</v>
      </c>
      <c r="Q1" s="49" t="s">
        <v>206</v>
      </c>
      <c r="R1" s="49" t="s">
        <v>206</v>
      </c>
      <c r="S1" s="49" t="s">
        <v>206</v>
      </c>
      <c r="T1" s="49" t="s">
        <v>206</v>
      </c>
      <c r="U1" s="49" t="s">
        <v>206</v>
      </c>
      <c r="V1" s="49" t="s">
        <v>206</v>
      </c>
    </row>
    <row r="2" spans="1:22">
      <c r="A2" s="50" t="s">
        <v>207</v>
      </c>
      <c r="B2" s="50" t="s">
        <v>207</v>
      </c>
      <c r="C2" s="50" t="s">
        <v>207</v>
      </c>
      <c r="D2" s="50" t="s">
        <v>207</v>
      </c>
      <c r="E2" s="50" t="s">
        <v>207</v>
      </c>
      <c r="F2" s="50" t="s">
        <v>207</v>
      </c>
      <c r="G2" s="50" t="s">
        <v>207</v>
      </c>
      <c r="H2" s="50" t="s">
        <v>207</v>
      </c>
      <c r="I2" s="50" t="s">
        <v>207</v>
      </c>
      <c r="J2" s="50" t="s">
        <v>207</v>
      </c>
      <c r="K2" s="50" t="s">
        <v>207</v>
      </c>
      <c r="L2" s="50" t="s">
        <v>207</v>
      </c>
      <c r="M2" s="50" t="s">
        <v>207</v>
      </c>
      <c r="N2" s="50" t="s">
        <v>207</v>
      </c>
      <c r="O2" s="50" t="s">
        <v>207</v>
      </c>
      <c r="P2" s="50" t="s">
        <v>207</v>
      </c>
      <c r="Q2" s="50" t="s">
        <v>207</v>
      </c>
      <c r="R2" s="50" t="s">
        <v>207</v>
      </c>
      <c r="S2" s="50" t="s">
        <v>207</v>
      </c>
      <c r="T2" s="50" t="s">
        <v>207</v>
      </c>
      <c r="U2" s="50" t="s">
        <v>207</v>
      </c>
      <c r="V2" s="50" t="s">
        <v>207</v>
      </c>
    </row>
    <row r="3" spans="1:22" ht="30" customHeight="1">
      <c r="A3" s="31" t="s">
        <v>101</v>
      </c>
      <c r="B3" s="31" t="s">
        <v>107</v>
      </c>
      <c r="C3" s="31" t="s">
        <v>112</v>
      </c>
      <c r="D3" s="31" t="s">
        <v>116</v>
      </c>
      <c r="E3" s="31" t="s">
        <v>121</v>
      </c>
      <c r="F3" s="31" t="s">
        <v>126</v>
      </c>
      <c r="G3" s="31" t="s">
        <v>63</v>
      </c>
      <c r="H3" s="31" t="s">
        <v>134</v>
      </c>
      <c r="I3" s="31" t="s">
        <v>139</v>
      </c>
      <c r="J3" s="31" t="s">
        <v>145</v>
      </c>
      <c r="K3" s="31" t="s">
        <v>150</v>
      </c>
      <c r="L3" s="31" t="s">
        <v>155</v>
      </c>
      <c r="M3" s="31" t="s">
        <v>70</v>
      </c>
      <c r="N3" s="31" t="s">
        <v>75</v>
      </c>
      <c r="O3" s="31" t="s">
        <v>168</v>
      </c>
      <c r="P3" s="31" t="s">
        <v>173</v>
      </c>
      <c r="Q3" s="31" t="s">
        <v>175</v>
      </c>
      <c r="R3" s="31" t="s">
        <v>181</v>
      </c>
      <c r="S3" s="31" t="s">
        <v>186</v>
      </c>
      <c r="T3" s="31" t="s">
        <v>191</v>
      </c>
      <c r="U3" s="31" t="s">
        <v>196</v>
      </c>
      <c r="V3" s="31" t="s">
        <v>81</v>
      </c>
    </row>
    <row r="4" spans="1:22">
      <c r="A4" s="32" t="s">
        <v>208</v>
      </c>
      <c r="B4" s="33">
        <v>46113.411111111112</v>
      </c>
      <c r="C4" s="34" t="s">
        <v>209</v>
      </c>
      <c r="D4" s="34" t="s">
        <v>210</v>
      </c>
      <c r="E4" s="34" t="s">
        <v>211</v>
      </c>
      <c r="F4" s="34" t="s">
        <v>212</v>
      </c>
      <c r="G4" s="34" t="s">
        <v>213</v>
      </c>
      <c r="H4" s="34" t="s">
        <v>214</v>
      </c>
      <c r="I4" s="35" t="str">
        <f>VLOOKUP(H4,人員與團隊!$A$4:$D$27,3,FALSE)</f>
        <v>北區服務</v>
      </c>
      <c r="J4" s="34" t="s">
        <v>215</v>
      </c>
      <c r="K4" s="33">
        <v>46113.574999999997</v>
      </c>
      <c r="L4" s="33">
        <v>46113.725746539349</v>
      </c>
      <c r="M4" s="36">
        <f t="shared" ref="M4:M67" si="0">IF(K4="","",(K4-B4)*1440)</f>
        <v>235.9999999939464</v>
      </c>
      <c r="N4" s="37">
        <f t="shared" ref="N4:N67" si="1">IF(L4="","",(L4-B4)*24)</f>
        <v>7.551250277669169</v>
      </c>
      <c r="O4" s="36">
        <f>VLOOKUP(G4,SLA標準!$A$4:$C$7,2,FALSE)</f>
        <v>480</v>
      </c>
      <c r="P4" s="37">
        <f>VLOOKUP(G4,SLA標準!$A$4:$C$7,3,FALSE)</f>
        <v>48</v>
      </c>
      <c r="Q4" s="35" t="str">
        <f t="shared" ref="Q4:Q67" si="2">IF(J4="已結案",IF(AND(M4&lt;=O4,N4&lt;=P4),"達標","逾期"),IF(OR(M4&gt;O4,V4&gt;P4),"逾期","進行中"))</f>
        <v>達標</v>
      </c>
      <c r="R4" s="34" t="s">
        <v>47</v>
      </c>
      <c r="S4" s="35" t="str">
        <f t="shared" ref="S4:S67" si="3">IF(T4="","否","是")</f>
        <v>否</v>
      </c>
      <c r="T4" s="36" t="str">
        <f>IFERROR(VLOOKUP(A4,滿意度調查!$B$4:$D$570,3,FALSE),"")</f>
        <v/>
      </c>
      <c r="U4" s="35" t="str">
        <f t="shared" ref="U4:U67" si="4">TEXT(B4,"yyyy-mm")</f>
        <v>2026-04</v>
      </c>
      <c r="V4" s="38">
        <f>IF(J4="已結案",0,(使用說明!$B$7-B4)*24)</f>
        <v>0</v>
      </c>
    </row>
    <row r="5" spans="1:22">
      <c r="A5" s="32" t="s">
        <v>216</v>
      </c>
      <c r="B5" s="33">
        <v>46113.431944444441</v>
      </c>
      <c r="C5" s="34" t="s">
        <v>217</v>
      </c>
      <c r="D5" s="34" t="s">
        <v>218</v>
      </c>
      <c r="E5" s="34" t="s">
        <v>219</v>
      </c>
      <c r="F5" s="34" t="s">
        <v>220</v>
      </c>
      <c r="G5" s="34" t="s">
        <v>221</v>
      </c>
      <c r="H5" s="34" t="s">
        <v>222</v>
      </c>
      <c r="I5" s="35" t="str">
        <f>VLOOKUP(H5,人員與團隊!$A$4:$D$27,3,FALSE)</f>
        <v>北區服務</v>
      </c>
      <c r="J5" s="34" t="s">
        <v>215</v>
      </c>
      <c r="K5" s="33">
        <v>46113.473611111112</v>
      </c>
      <c r="L5" s="33">
        <v>46113.92945265046</v>
      </c>
      <c r="M5" s="36">
        <f t="shared" si="0"/>
        <v>60.000000006984919</v>
      </c>
      <c r="N5" s="37">
        <f t="shared" si="1"/>
        <v>11.940196944458876</v>
      </c>
      <c r="O5" s="36">
        <f>VLOOKUP(G5,SLA標準!$A$4:$C$7,2,FALSE)</f>
        <v>60</v>
      </c>
      <c r="P5" s="37">
        <f>VLOOKUP(G5,SLA標準!$A$4:$C$7,3,FALSE)</f>
        <v>8</v>
      </c>
      <c r="Q5" s="35" t="str">
        <f t="shared" si="2"/>
        <v>逾期</v>
      </c>
      <c r="R5" s="34" t="s">
        <v>47</v>
      </c>
      <c r="S5" s="35" t="str">
        <f t="shared" si="3"/>
        <v>否</v>
      </c>
      <c r="T5" s="36" t="str">
        <f>IFERROR(VLOOKUP(A5,滿意度調查!$B$4:$D$570,3,FALSE),"")</f>
        <v/>
      </c>
      <c r="U5" s="35" t="str">
        <f t="shared" si="4"/>
        <v>2026-04</v>
      </c>
      <c r="V5" s="38">
        <f>IF(J5="已結案",0,(使用說明!$B$7-B5)*24)</f>
        <v>0</v>
      </c>
    </row>
    <row r="6" spans="1:22">
      <c r="A6" s="32" t="s">
        <v>223</v>
      </c>
      <c r="B6" s="33">
        <v>46113.46597222222</v>
      </c>
      <c r="C6" s="34" t="s">
        <v>224</v>
      </c>
      <c r="D6" s="34" t="s">
        <v>225</v>
      </c>
      <c r="E6" s="34" t="s">
        <v>211</v>
      </c>
      <c r="F6" s="34" t="s">
        <v>226</v>
      </c>
      <c r="G6" s="34" t="s">
        <v>221</v>
      </c>
      <c r="H6" s="34" t="s">
        <v>227</v>
      </c>
      <c r="I6" s="35" t="str">
        <f>VLOOKUP(H6,人員與團隊!$A$4:$D$27,3,FALSE)</f>
        <v>北區服務</v>
      </c>
      <c r="J6" s="34" t="s">
        <v>215</v>
      </c>
      <c r="K6" s="33">
        <v>46113.479166666664</v>
      </c>
      <c r="L6" s="33">
        <v>46113.599860405091</v>
      </c>
      <c r="M6" s="36">
        <f t="shared" si="0"/>
        <v>18.999999999068677</v>
      </c>
      <c r="N6" s="37">
        <f t="shared" si="1"/>
        <v>3.2133163888938725</v>
      </c>
      <c r="O6" s="36">
        <f>VLOOKUP(G6,SLA標準!$A$4:$C$7,2,FALSE)</f>
        <v>60</v>
      </c>
      <c r="P6" s="37">
        <f>VLOOKUP(G6,SLA標準!$A$4:$C$7,3,FALSE)</f>
        <v>8</v>
      </c>
      <c r="Q6" s="35" t="str">
        <f t="shared" si="2"/>
        <v>達標</v>
      </c>
      <c r="R6" s="34" t="s">
        <v>47</v>
      </c>
      <c r="S6" s="35" t="str">
        <f t="shared" si="3"/>
        <v>否</v>
      </c>
      <c r="T6" s="36" t="str">
        <f>IFERROR(VLOOKUP(A6,滿意度調查!$B$4:$D$570,3,FALSE),"")</f>
        <v/>
      </c>
      <c r="U6" s="35" t="str">
        <f t="shared" si="4"/>
        <v>2026-04</v>
      </c>
      <c r="V6" s="38">
        <f>IF(J6="已結案",0,(使用說明!$B$7-B6)*24)</f>
        <v>0</v>
      </c>
    </row>
    <row r="7" spans="1:22">
      <c r="A7" s="32" t="s">
        <v>228</v>
      </c>
      <c r="B7" s="33">
        <v>46113.624305555553</v>
      </c>
      <c r="C7" s="34" t="s">
        <v>229</v>
      </c>
      <c r="D7" s="34" t="s">
        <v>225</v>
      </c>
      <c r="E7" s="34" t="s">
        <v>230</v>
      </c>
      <c r="F7" s="34" t="s">
        <v>231</v>
      </c>
      <c r="G7" s="34" t="s">
        <v>213</v>
      </c>
      <c r="H7" s="34" t="s">
        <v>232</v>
      </c>
      <c r="I7" s="35" t="str">
        <f>VLOOKUP(H7,人員與團隊!$A$4:$D$27,3,FALSE)</f>
        <v>北區服務</v>
      </c>
      <c r="J7" s="34" t="s">
        <v>215</v>
      </c>
      <c r="K7" s="33">
        <v>46113.805555555555</v>
      </c>
      <c r="L7" s="33">
        <v>46114.11550068287</v>
      </c>
      <c r="M7" s="36">
        <f t="shared" si="0"/>
        <v>261.00000000209548</v>
      </c>
      <c r="N7" s="37">
        <f t="shared" si="1"/>
        <v>11.788683055608999</v>
      </c>
      <c r="O7" s="36">
        <f>VLOOKUP(G7,SLA標準!$A$4:$C$7,2,FALSE)</f>
        <v>480</v>
      </c>
      <c r="P7" s="37">
        <f>VLOOKUP(G7,SLA標準!$A$4:$C$7,3,FALSE)</f>
        <v>48</v>
      </c>
      <c r="Q7" s="35" t="str">
        <f t="shared" si="2"/>
        <v>達標</v>
      </c>
      <c r="R7" s="34" t="s">
        <v>47</v>
      </c>
      <c r="S7" s="35" t="str">
        <f t="shared" si="3"/>
        <v>是</v>
      </c>
      <c r="T7" s="36">
        <f>IFERROR(VLOOKUP(A7,滿意度調查!$B$4:$D$570,3,FALSE),"")</f>
        <v>4</v>
      </c>
      <c r="U7" s="35" t="str">
        <f t="shared" si="4"/>
        <v>2026-04</v>
      </c>
      <c r="V7" s="38">
        <f>IF(J7="已結案",0,(使用說明!$B$7-B7)*24)</f>
        <v>0</v>
      </c>
    </row>
    <row r="8" spans="1:22">
      <c r="A8" s="32" t="s">
        <v>233</v>
      </c>
      <c r="B8" s="33">
        <v>46113.651388888888</v>
      </c>
      <c r="C8" s="34" t="s">
        <v>234</v>
      </c>
      <c r="D8" s="34" t="s">
        <v>225</v>
      </c>
      <c r="E8" s="34" t="s">
        <v>235</v>
      </c>
      <c r="F8" s="34" t="s">
        <v>236</v>
      </c>
      <c r="G8" s="34" t="s">
        <v>221</v>
      </c>
      <c r="H8" s="34" t="s">
        <v>237</v>
      </c>
      <c r="I8" s="35" t="str">
        <f>VLOOKUP(H8,人員與團隊!$A$4:$D$27,3,FALSE)</f>
        <v>北區服務</v>
      </c>
      <c r="J8" s="34" t="s">
        <v>215</v>
      </c>
      <c r="K8" s="33">
        <v>46113.686111111114</v>
      </c>
      <c r="L8" s="33">
        <v>46113.95379565972</v>
      </c>
      <c r="M8" s="36">
        <f t="shared" si="0"/>
        <v>50.000000005820766</v>
      </c>
      <c r="N8" s="37">
        <f t="shared" si="1"/>
        <v>7.2577624999685213</v>
      </c>
      <c r="O8" s="36">
        <f>VLOOKUP(G8,SLA標準!$A$4:$C$7,2,FALSE)</f>
        <v>60</v>
      </c>
      <c r="P8" s="37">
        <f>VLOOKUP(G8,SLA標準!$A$4:$C$7,3,FALSE)</f>
        <v>8</v>
      </c>
      <c r="Q8" s="35" t="str">
        <f t="shared" si="2"/>
        <v>達標</v>
      </c>
      <c r="R8" s="34" t="s">
        <v>47</v>
      </c>
      <c r="S8" s="35" t="str">
        <f t="shared" si="3"/>
        <v>是</v>
      </c>
      <c r="T8" s="36">
        <f>IFERROR(VLOOKUP(A8,滿意度調查!$B$4:$D$570,3,FALSE),"")</f>
        <v>5</v>
      </c>
      <c r="U8" s="35" t="str">
        <f t="shared" si="4"/>
        <v>2026-04</v>
      </c>
      <c r="V8" s="38">
        <f>IF(J8="已結案",0,(使用說明!$B$7-B8)*24)</f>
        <v>0</v>
      </c>
    </row>
    <row r="9" spans="1:22">
      <c r="A9" s="32" t="s">
        <v>238</v>
      </c>
      <c r="B9" s="33">
        <v>46113.675694444442</v>
      </c>
      <c r="C9" s="34" t="s">
        <v>239</v>
      </c>
      <c r="D9" s="34" t="s">
        <v>240</v>
      </c>
      <c r="E9" s="34" t="s">
        <v>235</v>
      </c>
      <c r="F9" s="34" t="s">
        <v>241</v>
      </c>
      <c r="G9" s="34" t="s">
        <v>242</v>
      </c>
      <c r="H9" s="34" t="s">
        <v>243</v>
      </c>
      <c r="I9" s="35" t="str">
        <f>VLOOKUP(H9,人員與團隊!$A$4:$D$27,3,FALSE)</f>
        <v>南區服務</v>
      </c>
      <c r="J9" s="34" t="s">
        <v>215</v>
      </c>
      <c r="K9" s="33">
        <v>46113.8</v>
      </c>
      <c r="L9" s="33">
        <v>46114.025196203707</v>
      </c>
      <c r="M9" s="36">
        <f t="shared" si="0"/>
        <v>179.00000000721775</v>
      </c>
      <c r="N9" s="37">
        <f t="shared" si="1"/>
        <v>8.3880422223592177</v>
      </c>
      <c r="O9" s="36">
        <f>VLOOKUP(G9,SLA標準!$A$4:$C$7,2,FALSE)</f>
        <v>240</v>
      </c>
      <c r="P9" s="37">
        <f>VLOOKUP(G9,SLA標準!$A$4:$C$7,3,FALSE)</f>
        <v>24</v>
      </c>
      <c r="Q9" s="35" t="str">
        <f t="shared" si="2"/>
        <v>達標</v>
      </c>
      <c r="R9" s="34" t="s">
        <v>47</v>
      </c>
      <c r="S9" s="35" t="str">
        <f t="shared" si="3"/>
        <v>否</v>
      </c>
      <c r="T9" s="36" t="str">
        <f>IFERROR(VLOOKUP(A9,滿意度調查!$B$4:$D$570,3,FALSE),"")</f>
        <v/>
      </c>
      <c r="U9" s="35" t="str">
        <f t="shared" si="4"/>
        <v>2026-04</v>
      </c>
      <c r="V9" s="38">
        <f>IF(J9="已結案",0,(使用說明!$B$7-B9)*24)</f>
        <v>0</v>
      </c>
    </row>
    <row r="10" spans="1:22">
      <c r="A10" s="32" t="s">
        <v>244</v>
      </c>
      <c r="B10" s="33">
        <v>46113.734722222223</v>
      </c>
      <c r="C10" s="34" t="s">
        <v>209</v>
      </c>
      <c r="D10" s="34" t="s">
        <v>225</v>
      </c>
      <c r="E10" s="34" t="s">
        <v>245</v>
      </c>
      <c r="F10" s="34" t="s">
        <v>246</v>
      </c>
      <c r="G10" s="34" t="s">
        <v>213</v>
      </c>
      <c r="H10" s="34" t="s">
        <v>243</v>
      </c>
      <c r="I10" s="35" t="str">
        <f>VLOOKUP(H10,人員與團隊!$A$4:$D$27,3,FALSE)</f>
        <v>南區服務</v>
      </c>
      <c r="J10" s="34" t="s">
        <v>215</v>
      </c>
      <c r="K10" s="33">
        <v>46113.918055555558</v>
      </c>
      <c r="L10" s="33">
        <v>46115.566183287039</v>
      </c>
      <c r="M10" s="36">
        <f t="shared" si="0"/>
        <v>264.00000000139698</v>
      </c>
      <c r="N10" s="37">
        <f t="shared" si="1"/>
        <v>43.955065555579495</v>
      </c>
      <c r="O10" s="36">
        <f>VLOOKUP(G10,SLA標準!$A$4:$C$7,2,FALSE)</f>
        <v>480</v>
      </c>
      <c r="P10" s="37">
        <f>VLOOKUP(G10,SLA標準!$A$4:$C$7,3,FALSE)</f>
        <v>48</v>
      </c>
      <c r="Q10" s="35" t="str">
        <f t="shared" si="2"/>
        <v>達標</v>
      </c>
      <c r="R10" s="34" t="s">
        <v>47</v>
      </c>
      <c r="S10" s="35" t="str">
        <f t="shared" si="3"/>
        <v>是</v>
      </c>
      <c r="T10" s="36">
        <f>IFERROR(VLOOKUP(A10,滿意度調查!$B$4:$D$570,3,FALSE),"")</f>
        <v>5</v>
      </c>
      <c r="U10" s="35" t="str">
        <f t="shared" si="4"/>
        <v>2026-04</v>
      </c>
      <c r="V10" s="38">
        <f>IF(J10="已結案",0,(使用說明!$B$7-B10)*24)</f>
        <v>0</v>
      </c>
    </row>
    <row r="11" spans="1:22">
      <c r="A11" s="32" t="s">
        <v>247</v>
      </c>
      <c r="B11" s="33">
        <v>46113.761111111111</v>
      </c>
      <c r="C11" s="34" t="s">
        <v>248</v>
      </c>
      <c r="D11" s="34" t="s">
        <v>210</v>
      </c>
      <c r="E11" s="34" t="s">
        <v>219</v>
      </c>
      <c r="F11" s="34" t="s">
        <v>249</v>
      </c>
      <c r="G11" s="34" t="s">
        <v>221</v>
      </c>
      <c r="H11" s="34" t="s">
        <v>250</v>
      </c>
      <c r="I11" s="35" t="str">
        <f>VLOOKUP(H11,人員與團隊!$A$4:$D$27,3,FALSE)</f>
        <v>南區服務</v>
      </c>
      <c r="J11" s="34" t="s">
        <v>215</v>
      </c>
      <c r="K11" s="33">
        <v>46113.770833333336</v>
      </c>
      <c r="L11" s="33">
        <v>46114.399998657405</v>
      </c>
      <c r="M11" s="36">
        <f t="shared" si="0"/>
        <v>14.00000000372529</v>
      </c>
      <c r="N11" s="37">
        <f t="shared" si="1"/>
        <v>15.333301111066248</v>
      </c>
      <c r="O11" s="36">
        <f>VLOOKUP(G11,SLA標準!$A$4:$C$7,2,FALSE)</f>
        <v>60</v>
      </c>
      <c r="P11" s="37">
        <f>VLOOKUP(G11,SLA標準!$A$4:$C$7,3,FALSE)</f>
        <v>8</v>
      </c>
      <c r="Q11" s="35" t="str">
        <f t="shared" si="2"/>
        <v>逾期</v>
      </c>
      <c r="R11" s="34" t="s">
        <v>47</v>
      </c>
      <c r="S11" s="35" t="str">
        <f t="shared" si="3"/>
        <v>是</v>
      </c>
      <c r="T11" s="36">
        <f>IFERROR(VLOOKUP(A11,滿意度調查!$B$4:$D$570,3,FALSE),"")</f>
        <v>3</v>
      </c>
      <c r="U11" s="35" t="str">
        <f t="shared" si="4"/>
        <v>2026-04</v>
      </c>
      <c r="V11" s="38">
        <f>IF(J11="已結案",0,(使用說明!$B$7-B11)*24)</f>
        <v>0</v>
      </c>
    </row>
    <row r="12" spans="1:22">
      <c r="A12" s="32" t="s">
        <v>251</v>
      </c>
      <c r="B12" s="33">
        <v>46113.870833333334</v>
      </c>
      <c r="C12" s="34" t="s">
        <v>252</v>
      </c>
      <c r="D12" s="34" t="s">
        <v>210</v>
      </c>
      <c r="E12" s="34" t="s">
        <v>235</v>
      </c>
      <c r="F12" s="34" t="s">
        <v>253</v>
      </c>
      <c r="G12" s="34" t="s">
        <v>221</v>
      </c>
      <c r="H12" s="34" t="s">
        <v>254</v>
      </c>
      <c r="I12" s="35" t="str">
        <f>VLOOKUP(H12,人員與團隊!$A$4:$D$27,3,FALSE)</f>
        <v>線上服務</v>
      </c>
      <c r="J12" s="34" t="s">
        <v>215</v>
      </c>
      <c r="K12" s="33">
        <v>46113.885416666664</v>
      </c>
      <c r="L12" s="33">
        <v>46114.243416203703</v>
      </c>
      <c r="M12" s="36">
        <f t="shared" si="0"/>
        <v>20.999999995110556</v>
      </c>
      <c r="N12" s="37">
        <f t="shared" si="1"/>
        <v>8.9419888888369314</v>
      </c>
      <c r="O12" s="36">
        <f>VLOOKUP(G12,SLA標準!$A$4:$C$7,2,FALSE)</f>
        <v>60</v>
      </c>
      <c r="P12" s="37">
        <f>VLOOKUP(G12,SLA標準!$A$4:$C$7,3,FALSE)</f>
        <v>8</v>
      </c>
      <c r="Q12" s="35" t="str">
        <f t="shared" si="2"/>
        <v>逾期</v>
      </c>
      <c r="R12" s="34" t="s">
        <v>47</v>
      </c>
      <c r="S12" s="35" t="str">
        <f t="shared" si="3"/>
        <v>否</v>
      </c>
      <c r="T12" s="36" t="str">
        <f>IFERROR(VLOOKUP(A12,滿意度調查!$B$4:$D$570,3,FALSE),"")</f>
        <v/>
      </c>
      <c r="U12" s="35" t="str">
        <f t="shared" si="4"/>
        <v>2026-04</v>
      </c>
      <c r="V12" s="38">
        <f>IF(J12="已結案",0,(使用說明!$B$7-B12)*24)</f>
        <v>0</v>
      </c>
    </row>
    <row r="13" spans="1:22">
      <c r="A13" s="32" t="s">
        <v>255</v>
      </c>
      <c r="B13" s="33">
        <v>46114.387499999997</v>
      </c>
      <c r="C13" s="34" t="s">
        <v>256</v>
      </c>
      <c r="D13" s="34" t="s">
        <v>225</v>
      </c>
      <c r="E13" s="34" t="s">
        <v>219</v>
      </c>
      <c r="F13" s="34" t="s">
        <v>257</v>
      </c>
      <c r="G13" s="34" t="s">
        <v>242</v>
      </c>
      <c r="H13" s="34" t="s">
        <v>243</v>
      </c>
      <c r="I13" s="35" t="str">
        <f>VLOOKUP(H13,人員與團隊!$A$4:$D$27,3,FALSE)</f>
        <v>南區服務</v>
      </c>
      <c r="J13" s="34" t="s">
        <v>215</v>
      </c>
      <c r="K13" s="33">
        <v>46114.500694444447</v>
      </c>
      <c r="L13" s="33">
        <v>46115.098780416665</v>
      </c>
      <c r="M13" s="36">
        <f t="shared" si="0"/>
        <v>163.00000000745058</v>
      </c>
      <c r="N13" s="37">
        <f t="shared" si="1"/>
        <v>17.070730000035837</v>
      </c>
      <c r="O13" s="36">
        <f>VLOOKUP(G13,SLA標準!$A$4:$C$7,2,FALSE)</f>
        <v>240</v>
      </c>
      <c r="P13" s="37">
        <f>VLOOKUP(G13,SLA標準!$A$4:$C$7,3,FALSE)</f>
        <v>24</v>
      </c>
      <c r="Q13" s="35" t="str">
        <f t="shared" si="2"/>
        <v>達標</v>
      </c>
      <c r="R13" s="34" t="s">
        <v>47</v>
      </c>
      <c r="S13" s="35" t="str">
        <f t="shared" si="3"/>
        <v>否</v>
      </c>
      <c r="T13" s="36" t="str">
        <f>IFERROR(VLOOKUP(A13,滿意度調查!$B$4:$D$570,3,FALSE),"")</f>
        <v/>
      </c>
      <c r="U13" s="35" t="str">
        <f t="shared" si="4"/>
        <v>2026-04</v>
      </c>
      <c r="V13" s="38">
        <f>IF(J13="已結案",0,(使用說明!$B$7-B13)*24)</f>
        <v>0</v>
      </c>
    </row>
    <row r="14" spans="1:22">
      <c r="A14" s="32" t="s">
        <v>258</v>
      </c>
      <c r="B14" s="33">
        <v>46114.556250000001</v>
      </c>
      <c r="C14" s="34" t="s">
        <v>259</v>
      </c>
      <c r="D14" s="34" t="s">
        <v>218</v>
      </c>
      <c r="E14" s="34" t="s">
        <v>245</v>
      </c>
      <c r="F14" s="34" t="s">
        <v>246</v>
      </c>
      <c r="G14" s="34" t="s">
        <v>242</v>
      </c>
      <c r="H14" s="34" t="s">
        <v>227</v>
      </c>
      <c r="I14" s="35" t="str">
        <f>VLOOKUP(H14,人員與團隊!$A$4:$D$27,3,FALSE)</f>
        <v>北區服務</v>
      </c>
      <c r="J14" s="34" t="s">
        <v>215</v>
      </c>
      <c r="K14" s="33">
        <v>46114.81527777778</v>
      </c>
      <c r="L14" s="33">
        <v>46115.191410937499</v>
      </c>
      <c r="M14" s="36">
        <f t="shared" si="0"/>
        <v>373.00000000046566</v>
      </c>
      <c r="N14" s="37">
        <f t="shared" si="1"/>
        <v>15.243862499948591</v>
      </c>
      <c r="O14" s="36">
        <f>VLOOKUP(G14,SLA標準!$A$4:$C$7,2,FALSE)</f>
        <v>240</v>
      </c>
      <c r="P14" s="37">
        <f>VLOOKUP(G14,SLA標準!$A$4:$C$7,3,FALSE)</f>
        <v>24</v>
      </c>
      <c r="Q14" s="35" t="str">
        <f t="shared" si="2"/>
        <v>逾期</v>
      </c>
      <c r="R14" s="34" t="s">
        <v>47</v>
      </c>
      <c r="S14" s="35" t="str">
        <f t="shared" si="3"/>
        <v>是</v>
      </c>
      <c r="T14" s="36">
        <f>IFERROR(VLOOKUP(A14,滿意度調查!$B$4:$D$570,3,FALSE),"")</f>
        <v>3</v>
      </c>
      <c r="U14" s="35" t="str">
        <f t="shared" si="4"/>
        <v>2026-04</v>
      </c>
      <c r="V14" s="38">
        <f>IF(J14="已結案",0,(使用說明!$B$7-B14)*24)</f>
        <v>0</v>
      </c>
    </row>
    <row r="15" spans="1:22">
      <c r="A15" s="32" t="s">
        <v>260</v>
      </c>
      <c r="B15" s="33">
        <v>46114.738888888889</v>
      </c>
      <c r="C15" s="34" t="s">
        <v>261</v>
      </c>
      <c r="D15" s="34" t="s">
        <v>225</v>
      </c>
      <c r="E15" s="34" t="s">
        <v>219</v>
      </c>
      <c r="F15" s="34" t="s">
        <v>249</v>
      </c>
      <c r="G15" s="34" t="s">
        <v>242</v>
      </c>
      <c r="H15" s="34" t="s">
        <v>262</v>
      </c>
      <c r="I15" s="35" t="str">
        <f>VLOOKUP(H15,人員與團隊!$A$4:$D$27,3,FALSE)</f>
        <v>南區服務</v>
      </c>
      <c r="J15" s="34" t="s">
        <v>215</v>
      </c>
      <c r="K15" s="33">
        <v>46114.786111111112</v>
      </c>
      <c r="L15" s="33">
        <v>46115.570405625003</v>
      </c>
      <c r="M15" s="36">
        <f t="shared" si="0"/>
        <v>68.000000001629815</v>
      </c>
      <c r="N15" s="37">
        <f t="shared" si="1"/>
        <v>19.95640166674275</v>
      </c>
      <c r="O15" s="36">
        <f>VLOOKUP(G15,SLA標準!$A$4:$C$7,2,FALSE)</f>
        <v>240</v>
      </c>
      <c r="P15" s="37">
        <f>VLOOKUP(G15,SLA標準!$A$4:$C$7,3,FALSE)</f>
        <v>24</v>
      </c>
      <c r="Q15" s="35" t="str">
        <f t="shared" si="2"/>
        <v>達標</v>
      </c>
      <c r="R15" s="34" t="s">
        <v>41</v>
      </c>
      <c r="S15" s="35" t="str">
        <f t="shared" si="3"/>
        <v>是</v>
      </c>
      <c r="T15" s="36">
        <f>IFERROR(VLOOKUP(A15,滿意度調查!$B$4:$D$570,3,FALSE),"")</f>
        <v>4</v>
      </c>
      <c r="U15" s="35" t="str">
        <f t="shared" si="4"/>
        <v>2026-04</v>
      </c>
      <c r="V15" s="38">
        <f>IF(J15="已結案",0,(使用說明!$B$7-B15)*24)</f>
        <v>0</v>
      </c>
    </row>
    <row r="16" spans="1:22">
      <c r="A16" s="32" t="s">
        <v>263</v>
      </c>
      <c r="B16" s="33">
        <v>46114.826388888891</v>
      </c>
      <c r="C16" s="34" t="s">
        <v>264</v>
      </c>
      <c r="D16" s="34" t="s">
        <v>218</v>
      </c>
      <c r="E16" s="34" t="s">
        <v>265</v>
      </c>
      <c r="F16" s="34" t="s">
        <v>266</v>
      </c>
      <c r="G16" s="34" t="s">
        <v>242</v>
      </c>
      <c r="H16" s="34" t="s">
        <v>267</v>
      </c>
      <c r="I16" s="35" t="str">
        <f>VLOOKUP(H16,人員與團隊!$A$4:$D$27,3,FALSE)</f>
        <v>南區服務</v>
      </c>
      <c r="J16" s="34" t="s">
        <v>215</v>
      </c>
      <c r="K16" s="33">
        <v>46115.000694444447</v>
      </c>
      <c r="L16" s="33">
        <v>46115.705517592593</v>
      </c>
      <c r="M16" s="36">
        <f t="shared" si="0"/>
        <v>251.00000000093132</v>
      </c>
      <c r="N16" s="37">
        <f t="shared" si="1"/>
        <v>21.0990888888482</v>
      </c>
      <c r="O16" s="36">
        <f>VLOOKUP(G16,SLA標準!$A$4:$C$7,2,FALSE)</f>
        <v>240</v>
      </c>
      <c r="P16" s="37">
        <f>VLOOKUP(G16,SLA標準!$A$4:$C$7,3,FALSE)</f>
        <v>24</v>
      </c>
      <c r="Q16" s="35" t="str">
        <f t="shared" si="2"/>
        <v>逾期</v>
      </c>
      <c r="R16" s="34" t="s">
        <v>47</v>
      </c>
      <c r="S16" s="35" t="str">
        <f t="shared" si="3"/>
        <v>否</v>
      </c>
      <c r="T16" s="36" t="str">
        <f>IFERROR(VLOOKUP(A16,滿意度調查!$B$4:$D$570,3,FALSE),"")</f>
        <v/>
      </c>
      <c r="U16" s="35" t="str">
        <f t="shared" si="4"/>
        <v>2026-04</v>
      </c>
      <c r="V16" s="38">
        <f>IF(J16="已結案",0,(使用說明!$B$7-B16)*24)</f>
        <v>0</v>
      </c>
    </row>
    <row r="17" spans="1:22">
      <c r="A17" s="32" t="s">
        <v>268</v>
      </c>
      <c r="B17" s="33">
        <v>46115.51666666667</v>
      </c>
      <c r="C17" s="34" t="s">
        <v>269</v>
      </c>
      <c r="D17" s="34" t="s">
        <v>240</v>
      </c>
      <c r="E17" s="34" t="s">
        <v>219</v>
      </c>
      <c r="F17" s="34" t="s">
        <v>257</v>
      </c>
      <c r="G17" s="34" t="s">
        <v>221</v>
      </c>
      <c r="H17" s="34" t="s">
        <v>243</v>
      </c>
      <c r="I17" s="35" t="str">
        <f>VLOOKUP(H17,人員與團隊!$A$4:$D$27,3,FALSE)</f>
        <v>南區服務</v>
      </c>
      <c r="J17" s="34" t="s">
        <v>215</v>
      </c>
      <c r="K17" s="33">
        <v>46115.543055555558</v>
      </c>
      <c r="L17" s="33">
        <v>46116.171116909725</v>
      </c>
      <c r="M17" s="36">
        <f t="shared" si="0"/>
        <v>37.999999998137355</v>
      </c>
      <c r="N17" s="37">
        <f t="shared" si="1"/>
        <v>15.706805833324324</v>
      </c>
      <c r="O17" s="36">
        <f>VLOOKUP(G17,SLA標準!$A$4:$C$7,2,FALSE)</f>
        <v>60</v>
      </c>
      <c r="P17" s="37">
        <f>VLOOKUP(G17,SLA標準!$A$4:$C$7,3,FALSE)</f>
        <v>8</v>
      </c>
      <c r="Q17" s="35" t="str">
        <f t="shared" si="2"/>
        <v>逾期</v>
      </c>
      <c r="R17" s="34" t="s">
        <v>47</v>
      </c>
      <c r="S17" s="35" t="str">
        <f t="shared" si="3"/>
        <v>是</v>
      </c>
      <c r="T17" s="36">
        <f>IFERROR(VLOOKUP(A17,滿意度調查!$B$4:$D$570,3,FALSE),"")</f>
        <v>3</v>
      </c>
      <c r="U17" s="35" t="str">
        <f t="shared" si="4"/>
        <v>2026-04</v>
      </c>
      <c r="V17" s="38">
        <f>IF(J17="已結案",0,(使用說明!$B$7-B17)*24)</f>
        <v>0</v>
      </c>
    </row>
    <row r="18" spans="1:22">
      <c r="A18" s="32" t="s">
        <v>270</v>
      </c>
      <c r="B18" s="33">
        <v>46115.60833333333</v>
      </c>
      <c r="C18" s="34" t="s">
        <v>271</v>
      </c>
      <c r="D18" s="34" t="s">
        <v>225</v>
      </c>
      <c r="E18" s="34" t="s">
        <v>230</v>
      </c>
      <c r="F18" s="34" t="s">
        <v>272</v>
      </c>
      <c r="G18" s="34" t="s">
        <v>242</v>
      </c>
      <c r="H18" s="34" t="s">
        <v>214</v>
      </c>
      <c r="I18" s="35" t="str">
        <f>VLOOKUP(H18,人員與團隊!$A$4:$D$27,3,FALSE)</f>
        <v>北區服務</v>
      </c>
      <c r="J18" s="34" t="s">
        <v>215</v>
      </c>
      <c r="K18" s="33">
        <v>46115.675000000003</v>
      </c>
      <c r="L18" s="33">
        <v>46116.172814201389</v>
      </c>
      <c r="M18" s="36">
        <f t="shared" si="0"/>
        <v>96.000000009080395</v>
      </c>
      <c r="N18" s="37">
        <f t="shared" si="1"/>
        <v>13.547540833416861</v>
      </c>
      <c r="O18" s="36">
        <f>VLOOKUP(G18,SLA標準!$A$4:$C$7,2,FALSE)</f>
        <v>240</v>
      </c>
      <c r="P18" s="37">
        <f>VLOOKUP(G18,SLA標準!$A$4:$C$7,3,FALSE)</f>
        <v>24</v>
      </c>
      <c r="Q18" s="35" t="str">
        <f t="shared" si="2"/>
        <v>達標</v>
      </c>
      <c r="R18" s="34" t="s">
        <v>47</v>
      </c>
      <c r="S18" s="35" t="str">
        <f t="shared" si="3"/>
        <v>是</v>
      </c>
      <c r="T18" s="36">
        <f>IFERROR(VLOOKUP(A18,滿意度調查!$B$4:$D$570,3,FALSE),"")</f>
        <v>5</v>
      </c>
      <c r="U18" s="35" t="str">
        <f t="shared" si="4"/>
        <v>2026-04</v>
      </c>
      <c r="V18" s="38">
        <f>IF(J18="已結案",0,(使用說明!$B$7-B18)*24)</f>
        <v>0</v>
      </c>
    </row>
    <row r="19" spans="1:22">
      <c r="A19" s="32" t="s">
        <v>273</v>
      </c>
      <c r="B19" s="33">
        <v>46115.659722222219</v>
      </c>
      <c r="C19" s="34" t="s">
        <v>248</v>
      </c>
      <c r="D19" s="34" t="s">
        <v>225</v>
      </c>
      <c r="E19" s="34" t="s">
        <v>235</v>
      </c>
      <c r="F19" s="34" t="s">
        <v>253</v>
      </c>
      <c r="G19" s="34" t="s">
        <v>213</v>
      </c>
      <c r="H19" s="34" t="s">
        <v>274</v>
      </c>
      <c r="I19" s="35" t="str">
        <f>VLOOKUP(H19,人員與團隊!$A$4:$D$27,3,FALSE)</f>
        <v>南區服務</v>
      </c>
      <c r="J19" s="34" t="s">
        <v>275</v>
      </c>
      <c r="K19" s="33">
        <v>46115.815972222219</v>
      </c>
      <c r="L19" s="33"/>
      <c r="M19" s="36">
        <f t="shared" si="0"/>
        <v>225</v>
      </c>
      <c r="N19" s="37" t="str">
        <f t="shared" si="1"/>
        <v/>
      </c>
      <c r="O19" s="36">
        <f>VLOOKUP(G19,SLA標準!$A$4:$C$7,2,FALSE)</f>
        <v>480</v>
      </c>
      <c r="P19" s="37">
        <f>VLOOKUP(G19,SLA標準!$A$4:$C$7,3,FALSE)</f>
        <v>48</v>
      </c>
      <c r="Q19" s="35" t="str">
        <f t="shared" si="2"/>
        <v>逾期</v>
      </c>
      <c r="R19" s="34" t="s">
        <v>47</v>
      </c>
      <c r="S19" s="35" t="str">
        <f t="shared" si="3"/>
        <v>否</v>
      </c>
      <c r="T19" s="36" t="str">
        <f>IFERROR(VLOOKUP(A19,滿意度調查!$B$4:$D$570,3,FALSE),"")</f>
        <v/>
      </c>
      <c r="U19" s="35" t="str">
        <f t="shared" si="4"/>
        <v>2026-04</v>
      </c>
      <c r="V19" s="38">
        <f>IF(J19="已結案",0,(使用說明!$B$7-B19)*24)</f>
        <v>2129.1666666667443</v>
      </c>
    </row>
    <row r="20" spans="1:22">
      <c r="A20" s="32" t="s">
        <v>276</v>
      </c>
      <c r="B20" s="33">
        <v>46115.767361111109</v>
      </c>
      <c r="C20" s="34" t="s">
        <v>277</v>
      </c>
      <c r="D20" s="34" t="s">
        <v>225</v>
      </c>
      <c r="E20" s="34" t="s">
        <v>245</v>
      </c>
      <c r="F20" s="34" t="s">
        <v>278</v>
      </c>
      <c r="G20" s="34" t="s">
        <v>242</v>
      </c>
      <c r="H20" s="34" t="s">
        <v>279</v>
      </c>
      <c r="I20" s="35" t="str">
        <f>VLOOKUP(H20,人員與團隊!$A$4:$D$27,3,FALSE)</f>
        <v>南區服務</v>
      </c>
      <c r="J20" s="34" t="s">
        <v>215</v>
      </c>
      <c r="K20" s="33">
        <v>46115.854166666664</v>
      </c>
      <c r="L20" s="33">
        <v>46116.470254745371</v>
      </c>
      <c r="M20" s="36">
        <f t="shared" si="0"/>
        <v>124.99999999883585</v>
      </c>
      <c r="N20" s="37">
        <f t="shared" si="1"/>
        <v>16.869447222270537</v>
      </c>
      <c r="O20" s="36">
        <f>VLOOKUP(G20,SLA標準!$A$4:$C$7,2,FALSE)</f>
        <v>240</v>
      </c>
      <c r="P20" s="37">
        <f>VLOOKUP(G20,SLA標準!$A$4:$C$7,3,FALSE)</f>
        <v>24</v>
      </c>
      <c r="Q20" s="35" t="str">
        <f t="shared" si="2"/>
        <v>達標</v>
      </c>
      <c r="R20" s="34" t="s">
        <v>47</v>
      </c>
      <c r="S20" s="35" t="str">
        <f t="shared" si="3"/>
        <v>是</v>
      </c>
      <c r="T20" s="36">
        <f>IFERROR(VLOOKUP(A20,滿意度調查!$B$4:$D$570,3,FALSE),"")</f>
        <v>5</v>
      </c>
      <c r="U20" s="35" t="str">
        <f t="shared" si="4"/>
        <v>2026-04</v>
      </c>
      <c r="V20" s="38">
        <f>IF(J20="已結案",0,(使用說明!$B$7-B20)*24)</f>
        <v>0</v>
      </c>
    </row>
    <row r="21" spans="1:22">
      <c r="A21" s="32" t="s">
        <v>280</v>
      </c>
      <c r="B21" s="33">
        <v>46115.837500000001</v>
      </c>
      <c r="C21" s="34" t="s">
        <v>281</v>
      </c>
      <c r="D21" s="34" t="s">
        <v>225</v>
      </c>
      <c r="E21" s="34" t="s">
        <v>245</v>
      </c>
      <c r="F21" s="34" t="s">
        <v>282</v>
      </c>
      <c r="G21" s="34" t="s">
        <v>242</v>
      </c>
      <c r="H21" s="34" t="s">
        <v>232</v>
      </c>
      <c r="I21" s="35" t="str">
        <f>VLOOKUP(H21,人員與團隊!$A$4:$D$27,3,FALSE)</f>
        <v>北區服務</v>
      </c>
      <c r="J21" s="34" t="s">
        <v>215</v>
      </c>
      <c r="K21" s="33">
        <v>46115.947222222225</v>
      </c>
      <c r="L21" s="33">
        <v>46117.772078692127</v>
      </c>
      <c r="M21" s="36">
        <f t="shared" si="0"/>
        <v>158.00000000162981</v>
      </c>
      <c r="N21" s="37">
        <f t="shared" si="1"/>
        <v>46.429888611019123</v>
      </c>
      <c r="O21" s="36">
        <f>VLOOKUP(G21,SLA標準!$A$4:$C$7,2,FALSE)</f>
        <v>240</v>
      </c>
      <c r="P21" s="37">
        <f>VLOOKUP(G21,SLA標準!$A$4:$C$7,3,FALSE)</f>
        <v>24</v>
      </c>
      <c r="Q21" s="35" t="str">
        <f t="shared" si="2"/>
        <v>逾期</v>
      </c>
      <c r="R21" s="34" t="s">
        <v>47</v>
      </c>
      <c r="S21" s="35" t="str">
        <f t="shared" si="3"/>
        <v>是</v>
      </c>
      <c r="T21" s="36">
        <f>IFERROR(VLOOKUP(A21,滿意度調查!$B$4:$D$570,3,FALSE),"")</f>
        <v>3</v>
      </c>
      <c r="U21" s="35" t="str">
        <f t="shared" si="4"/>
        <v>2026-04</v>
      </c>
      <c r="V21" s="38">
        <f>IF(J21="已結案",0,(使用說明!$B$7-B21)*24)</f>
        <v>0</v>
      </c>
    </row>
    <row r="22" spans="1:22">
      <c r="A22" s="32" t="s">
        <v>283</v>
      </c>
      <c r="B22" s="33">
        <v>46115.869444444441</v>
      </c>
      <c r="C22" s="34" t="s">
        <v>284</v>
      </c>
      <c r="D22" s="34" t="s">
        <v>240</v>
      </c>
      <c r="E22" s="34" t="s">
        <v>219</v>
      </c>
      <c r="F22" s="34" t="s">
        <v>220</v>
      </c>
      <c r="G22" s="34" t="s">
        <v>221</v>
      </c>
      <c r="H22" s="34" t="s">
        <v>285</v>
      </c>
      <c r="I22" s="35" t="str">
        <f>VLOOKUP(H22,人員與團隊!$A$4:$D$27,3,FALSE)</f>
        <v>線上服務</v>
      </c>
      <c r="J22" s="34" t="s">
        <v>215</v>
      </c>
      <c r="K22" s="33">
        <v>46115.907638888886</v>
      </c>
      <c r="L22" s="33">
        <v>46116.351638483793</v>
      </c>
      <c r="M22" s="36">
        <f t="shared" si="0"/>
        <v>55.000000001164153</v>
      </c>
      <c r="N22" s="37">
        <f t="shared" si="1"/>
        <v>11.572656944452319</v>
      </c>
      <c r="O22" s="36">
        <f>VLOOKUP(G22,SLA標準!$A$4:$C$7,2,FALSE)</f>
        <v>60</v>
      </c>
      <c r="P22" s="37">
        <f>VLOOKUP(G22,SLA標準!$A$4:$C$7,3,FALSE)</f>
        <v>8</v>
      </c>
      <c r="Q22" s="35" t="str">
        <f t="shared" si="2"/>
        <v>逾期</v>
      </c>
      <c r="R22" s="34" t="s">
        <v>47</v>
      </c>
      <c r="S22" s="35" t="str">
        <f t="shared" si="3"/>
        <v>是</v>
      </c>
      <c r="T22" s="36">
        <f>IFERROR(VLOOKUP(A22,滿意度調查!$B$4:$D$570,3,FALSE),"")</f>
        <v>3</v>
      </c>
      <c r="U22" s="35" t="str">
        <f t="shared" si="4"/>
        <v>2026-04</v>
      </c>
      <c r="V22" s="38">
        <f>IF(J22="已結案",0,(使用說明!$B$7-B22)*24)</f>
        <v>0</v>
      </c>
    </row>
    <row r="23" spans="1:22">
      <c r="A23" s="32" t="s">
        <v>286</v>
      </c>
      <c r="B23" s="33">
        <v>46116.372916666667</v>
      </c>
      <c r="C23" s="34" t="s">
        <v>287</v>
      </c>
      <c r="D23" s="34" t="s">
        <v>210</v>
      </c>
      <c r="E23" s="34" t="s">
        <v>219</v>
      </c>
      <c r="F23" s="34" t="s">
        <v>257</v>
      </c>
      <c r="G23" s="34" t="s">
        <v>221</v>
      </c>
      <c r="H23" s="34" t="s">
        <v>267</v>
      </c>
      <c r="I23" s="35" t="str">
        <f>VLOOKUP(H23,人員與團隊!$A$4:$D$27,3,FALSE)</f>
        <v>南區服務</v>
      </c>
      <c r="J23" s="34" t="s">
        <v>215</v>
      </c>
      <c r="K23" s="33">
        <v>46116.381249999999</v>
      </c>
      <c r="L23" s="33">
        <v>46116.688429733797</v>
      </c>
      <c r="M23" s="36">
        <f t="shared" si="0"/>
        <v>11.999999997206032</v>
      </c>
      <c r="N23" s="37">
        <f t="shared" si="1"/>
        <v>7.5723136111046188</v>
      </c>
      <c r="O23" s="36">
        <f>VLOOKUP(G23,SLA標準!$A$4:$C$7,2,FALSE)</f>
        <v>60</v>
      </c>
      <c r="P23" s="37">
        <f>VLOOKUP(G23,SLA標準!$A$4:$C$7,3,FALSE)</f>
        <v>8</v>
      </c>
      <c r="Q23" s="35" t="str">
        <f t="shared" si="2"/>
        <v>達標</v>
      </c>
      <c r="R23" s="34" t="s">
        <v>47</v>
      </c>
      <c r="S23" s="35" t="str">
        <f t="shared" si="3"/>
        <v>否</v>
      </c>
      <c r="T23" s="36" t="str">
        <f>IFERROR(VLOOKUP(A23,滿意度調查!$B$4:$D$570,3,FALSE),"")</f>
        <v/>
      </c>
      <c r="U23" s="35" t="str">
        <f t="shared" si="4"/>
        <v>2026-04</v>
      </c>
      <c r="V23" s="38">
        <f>IF(J23="已結案",0,(使用說明!$B$7-B23)*24)</f>
        <v>0</v>
      </c>
    </row>
    <row r="24" spans="1:22">
      <c r="A24" s="32" t="s">
        <v>288</v>
      </c>
      <c r="B24" s="33">
        <v>46116.394444444442</v>
      </c>
      <c r="C24" s="34" t="s">
        <v>289</v>
      </c>
      <c r="D24" s="34" t="s">
        <v>240</v>
      </c>
      <c r="E24" s="34" t="s">
        <v>265</v>
      </c>
      <c r="F24" s="34" t="s">
        <v>266</v>
      </c>
      <c r="G24" s="34" t="s">
        <v>242</v>
      </c>
      <c r="H24" s="34" t="s">
        <v>279</v>
      </c>
      <c r="I24" s="35" t="str">
        <f>VLOOKUP(H24,人員與團隊!$A$4:$D$27,3,FALSE)</f>
        <v>南區服務</v>
      </c>
      <c r="J24" s="34" t="s">
        <v>215</v>
      </c>
      <c r="K24" s="33">
        <v>46116.577777777777</v>
      </c>
      <c r="L24" s="33">
        <v>46117.199122997685</v>
      </c>
      <c r="M24" s="36">
        <f t="shared" si="0"/>
        <v>264.00000000139698</v>
      </c>
      <c r="N24" s="37">
        <f t="shared" si="1"/>
        <v>19.312285277817864</v>
      </c>
      <c r="O24" s="36">
        <f>VLOOKUP(G24,SLA標準!$A$4:$C$7,2,FALSE)</f>
        <v>240</v>
      </c>
      <c r="P24" s="37">
        <f>VLOOKUP(G24,SLA標準!$A$4:$C$7,3,FALSE)</f>
        <v>24</v>
      </c>
      <c r="Q24" s="35" t="str">
        <f t="shared" si="2"/>
        <v>逾期</v>
      </c>
      <c r="R24" s="34" t="s">
        <v>47</v>
      </c>
      <c r="S24" s="35" t="str">
        <f t="shared" si="3"/>
        <v>是</v>
      </c>
      <c r="T24" s="36">
        <f>IFERROR(VLOOKUP(A24,滿意度調查!$B$4:$D$570,3,FALSE),"")</f>
        <v>4</v>
      </c>
      <c r="U24" s="35" t="str">
        <f t="shared" si="4"/>
        <v>2026-04</v>
      </c>
      <c r="V24" s="38">
        <f>IF(J24="已結案",0,(使用說明!$B$7-B24)*24)</f>
        <v>0</v>
      </c>
    </row>
    <row r="25" spans="1:22">
      <c r="A25" s="32" t="s">
        <v>290</v>
      </c>
      <c r="B25" s="33">
        <v>46116.529861111114</v>
      </c>
      <c r="C25" s="34" t="s">
        <v>291</v>
      </c>
      <c r="D25" s="34" t="s">
        <v>225</v>
      </c>
      <c r="E25" s="34" t="s">
        <v>245</v>
      </c>
      <c r="F25" s="34" t="s">
        <v>278</v>
      </c>
      <c r="G25" s="34" t="s">
        <v>242</v>
      </c>
      <c r="H25" s="34" t="s">
        <v>279</v>
      </c>
      <c r="I25" s="35" t="str">
        <f>VLOOKUP(H25,人員與團隊!$A$4:$D$27,3,FALSE)</f>
        <v>南區服務</v>
      </c>
      <c r="J25" s="34" t="s">
        <v>215</v>
      </c>
      <c r="K25" s="33">
        <v>46116.611805555556</v>
      </c>
      <c r="L25" s="33">
        <v>46117.813017546294</v>
      </c>
      <c r="M25" s="36">
        <f t="shared" si="0"/>
        <v>117.9999999969732</v>
      </c>
      <c r="N25" s="37">
        <f t="shared" si="1"/>
        <v>30.795754444319755</v>
      </c>
      <c r="O25" s="36">
        <f>VLOOKUP(G25,SLA標準!$A$4:$C$7,2,FALSE)</f>
        <v>240</v>
      </c>
      <c r="P25" s="37">
        <f>VLOOKUP(G25,SLA標準!$A$4:$C$7,3,FALSE)</f>
        <v>24</v>
      </c>
      <c r="Q25" s="35" t="str">
        <f t="shared" si="2"/>
        <v>逾期</v>
      </c>
      <c r="R25" s="34" t="s">
        <v>41</v>
      </c>
      <c r="S25" s="35" t="str">
        <f t="shared" si="3"/>
        <v>是</v>
      </c>
      <c r="T25" s="36">
        <f>IFERROR(VLOOKUP(A25,滿意度調查!$B$4:$D$570,3,FALSE),"")</f>
        <v>2</v>
      </c>
      <c r="U25" s="35" t="str">
        <f t="shared" si="4"/>
        <v>2026-04</v>
      </c>
      <c r="V25" s="38">
        <f>IF(J25="已結案",0,(使用說明!$B$7-B25)*24)</f>
        <v>0</v>
      </c>
    </row>
    <row r="26" spans="1:22">
      <c r="A26" s="32" t="s">
        <v>292</v>
      </c>
      <c r="B26" s="33">
        <v>46116.704861111109</v>
      </c>
      <c r="C26" s="34" t="s">
        <v>293</v>
      </c>
      <c r="D26" s="34" t="s">
        <v>240</v>
      </c>
      <c r="E26" s="34" t="s">
        <v>230</v>
      </c>
      <c r="F26" s="34" t="s">
        <v>231</v>
      </c>
      <c r="G26" s="34" t="s">
        <v>242</v>
      </c>
      <c r="H26" s="34" t="s">
        <v>274</v>
      </c>
      <c r="I26" s="35" t="str">
        <f>VLOOKUP(H26,人員與團隊!$A$4:$D$27,3,FALSE)</f>
        <v>南區服務</v>
      </c>
      <c r="J26" s="34" t="s">
        <v>215</v>
      </c>
      <c r="K26" s="33">
        <v>46116.822222222225</v>
      </c>
      <c r="L26" s="33">
        <v>46117.543172418984</v>
      </c>
      <c r="M26" s="36">
        <f t="shared" si="0"/>
        <v>169.0000000060536</v>
      </c>
      <c r="N26" s="37">
        <f t="shared" si="1"/>
        <v>20.119471388985403</v>
      </c>
      <c r="O26" s="36">
        <f>VLOOKUP(G26,SLA標準!$A$4:$C$7,2,FALSE)</f>
        <v>240</v>
      </c>
      <c r="P26" s="37">
        <f>VLOOKUP(G26,SLA標準!$A$4:$C$7,3,FALSE)</f>
        <v>24</v>
      </c>
      <c r="Q26" s="35" t="str">
        <f t="shared" si="2"/>
        <v>達標</v>
      </c>
      <c r="R26" s="34" t="s">
        <v>41</v>
      </c>
      <c r="S26" s="35" t="str">
        <f t="shared" si="3"/>
        <v>是</v>
      </c>
      <c r="T26" s="36">
        <f>IFERROR(VLOOKUP(A26,滿意度調查!$B$4:$D$570,3,FALSE),"")</f>
        <v>4</v>
      </c>
      <c r="U26" s="35" t="str">
        <f t="shared" si="4"/>
        <v>2026-04</v>
      </c>
      <c r="V26" s="38">
        <f>IF(J26="已結案",0,(使用說明!$B$7-B26)*24)</f>
        <v>0</v>
      </c>
    </row>
    <row r="27" spans="1:22">
      <c r="A27" s="32" t="s">
        <v>294</v>
      </c>
      <c r="B27" s="33">
        <v>46116.803472222222</v>
      </c>
      <c r="C27" s="34" t="s">
        <v>295</v>
      </c>
      <c r="D27" s="34" t="s">
        <v>240</v>
      </c>
      <c r="E27" s="34" t="s">
        <v>230</v>
      </c>
      <c r="F27" s="34" t="s">
        <v>272</v>
      </c>
      <c r="G27" s="34" t="s">
        <v>221</v>
      </c>
      <c r="H27" s="34" t="s">
        <v>274</v>
      </c>
      <c r="I27" s="35" t="str">
        <f>VLOOKUP(H27,人員與團隊!$A$4:$D$27,3,FALSE)</f>
        <v>南區服務</v>
      </c>
      <c r="J27" s="34" t="s">
        <v>215</v>
      </c>
      <c r="K27" s="33">
        <v>46116.861111111109</v>
      </c>
      <c r="L27" s="33">
        <v>46117.394564756942</v>
      </c>
      <c r="M27" s="36">
        <f t="shared" si="0"/>
        <v>82.999999998137355</v>
      </c>
      <c r="N27" s="37">
        <f t="shared" si="1"/>
        <v>14.186220833275001</v>
      </c>
      <c r="O27" s="36">
        <f>VLOOKUP(G27,SLA標準!$A$4:$C$7,2,FALSE)</f>
        <v>60</v>
      </c>
      <c r="P27" s="37">
        <f>VLOOKUP(G27,SLA標準!$A$4:$C$7,3,FALSE)</f>
        <v>8</v>
      </c>
      <c r="Q27" s="35" t="str">
        <f t="shared" si="2"/>
        <v>逾期</v>
      </c>
      <c r="R27" s="34" t="s">
        <v>47</v>
      </c>
      <c r="S27" s="35" t="str">
        <f t="shared" si="3"/>
        <v>否</v>
      </c>
      <c r="T27" s="36" t="str">
        <f>IFERROR(VLOOKUP(A27,滿意度調查!$B$4:$D$570,3,FALSE),"")</f>
        <v/>
      </c>
      <c r="U27" s="35" t="str">
        <f t="shared" si="4"/>
        <v>2026-04</v>
      </c>
      <c r="V27" s="38">
        <f>IF(J27="已結案",0,(使用說明!$B$7-B27)*24)</f>
        <v>0</v>
      </c>
    </row>
    <row r="28" spans="1:22">
      <c r="A28" s="32" t="s">
        <v>296</v>
      </c>
      <c r="B28" s="33">
        <v>46116.829861111109</v>
      </c>
      <c r="C28" s="34" t="s">
        <v>297</v>
      </c>
      <c r="D28" s="34" t="s">
        <v>240</v>
      </c>
      <c r="E28" s="34" t="s">
        <v>235</v>
      </c>
      <c r="F28" s="34" t="s">
        <v>298</v>
      </c>
      <c r="G28" s="34" t="s">
        <v>242</v>
      </c>
      <c r="H28" s="34" t="s">
        <v>279</v>
      </c>
      <c r="I28" s="35" t="str">
        <f>VLOOKUP(H28,人員與團隊!$A$4:$D$27,3,FALSE)</f>
        <v>南區服務</v>
      </c>
      <c r="J28" s="34" t="s">
        <v>215</v>
      </c>
      <c r="K28" s="33">
        <v>46116.981249999997</v>
      </c>
      <c r="L28" s="33">
        <v>46117.106382395832</v>
      </c>
      <c r="M28" s="36">
        <f t="shared" si="0"/>
        <v>217.99999999813735</v>
      </c>
      <c r="N28" s="37">
        <f t="shared" si="1"/>
        <v>6.6365108333411627</v>
      </c>
      <c r="O28" s="36">
        <f>VLOOKUP(G28,SLA標準!$A$4:$C$7,2,FALSE)</f>
        <v>240</v>
      </c>
      <c r="P28" s="37">
        <f>VLOOKUP(G28,SLA標準!$A$4:$C$7,3,FALSE)</f>
        <v>24</v>
      </c>
      <c r="Q28" s="35" t="str">
        <f t="shared" si="2"/>
        <v>達標</v>
      </c>
      <c r="R28" s="34" t="s">
        <v>47</v>
      </c>
      <c r="S28" s="35" t="str">
        <f t="shared" si="3"/>
        <v>是</v>
      </c>
      <c r="T28" s="36">
        <f>IFERROR(VLOOKUP(A28,滿意度調查!$B$4:$D$570,3,FALSE),"")</f>
        <v>5</v>
      </c>
      <c r="U28" s="35" t="str">
        <f t="shared" si="4"/>
        <v>2026-04</v>
      </c>
      <c r="V28" s="38">
        <f>IF(J28="已結案",0,(使用說明!$B$7-B28)*24)</f>
        <v>0</v>
      </c>
    </row>
    <row r="29" spans="1:22">
      <c r="A29" s="32" t="s">
        <v>299</v>
      </c>
      <c r="B29" s="33">
        <v>46117.400694444441</v>
      </c>
      <c r="C29" s="34" t="s">
        <v>300</v>
      </c>
      <c r="D29" s="34" t="s">
        <v>218</v>
      </c>
      <c r="E29" s="34" t="s">
        <v>265</v>
      </c>
      <c r="F29" s="34" t="s">
        <v>301</v>
      </c>
      <c r="G29" s="34" t="s">
        <v>242</v>
      </c>
      <c r="H29" s="34" t="s">
        <v>227</v>
      </c>
      <c r="I29" s="35" t="str">
        <f>VLOOKUP(H29,人員與團隊!$A$4:$D$27,3,FALSE)</f>
        <v>北區服務</v>
      </c>
      <c r="J29" s="34" t="s">
        <v>215</v>
      </c>
      <c r="K29" s="33">
        <v>46117.52847222222</v>
      </c>
      <c r="L29" s="33">
        <v>46118.330986736109</v>
      </c>
      <c r="M29" s="36">
        <f t="shared" si="0"/>
        <v>184.00000000256114</v>
      </c>
      <c r="N29" s="37">
        <f t="shared" si="1"/>
        <v>22.327015000046231</v>
      </c>
      <c r="O29" s="36">
        <f>VLOOKUP(G29,SLA標準!$A$4:$C$7,2,FALSE)</f>
        <v>240</v>
      </c>
      <c r="P29" s="37">
        <f>VLOOKUP(G29,SLA標準!$A$4:$C$7,3,FALSE)</f>
        <v>24</v>
      </c>
      <c r="Q29" s="35" t="str">
        <f t="shared" si="2"/>
        <v>達標</v>
      </c>
      <c r="R29" s="34" t="s">
        <v>47</v>
      </c>
      <c r="S29" s="35" t="str">
        <f t="shared" si="3"/>
        <v>否</v>
      </c>
      <c r="T29" s="36" t="str">
        <f>IFERROR(VLOOKUP(A29,滿意度調查!$B$4:$D$570,3,FALSE),"")</f>
        <v/>
      </c>
      <c r="U29" s="35" t="str">
        <f t="shared" si="4"/>
        <v>2026-04</v>
      </c>
      <c r="V29" s="38">
        <f>IF(J29="已結案",0,(使用說明!$B$7-B29)*24)</f>
        <v>0</v>
      </c>
    </row>
    <row r="30" spans="1:22">
      <c r="A30" s="32" t="s">
        <v>302</v>
      </c>
      <c r="B30" s="33">
        <v>46117.418749999997</v>
      </c>
      <c r="C30" s="34" t="s">
        <v>303</v>
      </c>
      <c r="D30" s="34" t="s">
        <v>210</v>
      </c>
      <c r="E30" s="34" t="s">
        <v>265</v>
      </c>
      <c r="F30" s="34" t="s">
        <v>304</v>
      </c>
      <c r="G30" s="34" t="s">
        <v>242</v>
      </c>
      <c r="H30" s="34" t="s">
        <v>305</v>
      </c>
      <c r="I30" s="35" t="str">
        <f>VLOOKUP(H30,人員與團隊!$A$4:$D$27,3,FALSE)</f>
        <v>線上服務</v>
      </c>
      <c r="J30" s="34" t="s">
        <v>215</v>
      </c>
      <c r="K30" s="33">
        <v>46117.46875</v>
      </c>
      <c r="L30" s="33">
        <v>46118.274069224535</v>
      </c>
      <c r="M30" s="36">
        <f t="shared" si="0"/>
        <v>72.000000004190952</v>
      </c>
      <c r="N30" s="37">
        <f t="shared" si="1"/>
        <v>20.527661388914566</v>
      </c>
      <c r="O30" s="36">
        <f>VLOOKUP(G30,SLA標準!$A$4:$C$7,2,FALSE)</f>
        <v>240</v>
      </c>
      <c r="P30" s="37">
        <f>VLOOKUP(G30,SLA標準!$A$4:$C$7,3,FALSE)</f>
        <v>24</v>
      </c>
      <c r="Q30" s="35" t="str">
        <f t="shared" si="2"/>
        <v>達標</v>
      </c>
      <c r="R30" s="34" t="s">
        <v>47</v>
      </c>
      <c r="S30" s="35" t="str">
        <f t="shared" si="3"/>
        <v>是</v>
      </c>
      <c r="T30" s="36">
        <f>IFERROR(VLOOKUP(A30,滿意度調查!$B$4:$D$570,3,FALSE),"")</f>
        <v>5</v>
      </c>
      <c r="U30" s="35" t="str">
        <f t="shared" si="4"/>
        <v>2026-04</v>
      </c>
      <c r="V30" s="38">
        <f>IF(J30="已結案",0,(使用說明!$B$7-B30)*24)</f>
        <v>0</v>
      </c>
    </row>
    <row r="31" spans="1:22">
      <c r="A31" s="32" t="s">
        <v>306</v>
      </c>
      <c r="B31" s="33">
        <v>46117.520138888889</v>
      </c>
      <c r="C31" s="34" t="s">
        <v>307</v>
      </c>
      <c r="D31" s="34" t="s">
        <v>210</v>
      </c>
      <c r="E31" s="34" t="s">
        <v>235</v>
      </c>
      <c r="F31" s="34" t="s">
        <v>236</v>
      </c>
      <c r="G31" s="34" t="s">
        <v>242</v>
      </c>
      <c r="H31" s="34" t="s">
        <v>279</v>
      </c>
      <c r="I31" s="35" t="str">
        <f>VLOOKUP(H31,人員與團隊!$A$4:$D$27,3,FALSE)</f>
        <v>南區服務</v>
      </c>
      <c r="J31" s="34" t="s">
        <v>215</v>
      </c>
      <c r="K31" s="33">
        <v>46117.618055555555</v>
      </c>
      <c r="L31" s="33">
        <v>46118.307229861108</v>
      </c>
      <c r="M31" s="36">
        <f t="shared" si="0"/>
        <v>140.99999999860302</v>
      </c>
      <c r="N31" s="37">
        <f t="shared" si="1"/>
        <v>18.890183333249297</v>
      </c>
      <c r="O31" s="36">
        <f>VLOOKUP(G31,SLA標準!$A$4:$C$7,2,FALSE)</f>
        <v>240</v>
      </c>
      <c r="P31" s="37">
        <f>VLOOKUP(G31,SLA標準!$A$4:$C$7,3,FALSE)</f>
        <v>24</v>
      </c>
      <c r="Q31" s="35" t="str">
        <f t="shared" si="2"/>
        <v>達標</v>
      </c>
      <c r="R31" s="34" t="s">
        <v>47</v>
      </c>
      <c r="S31" s="35" t="str">
        <f t="shared" si="3"/>
        <v>是</v>
      </c>
      <c r="T31" s="36">
        <f>IFERROR(VLOOKUP(A31,滿意度調查!$B$4:$D$570,3,FALSE),"")</f>
        <v>5</v>
      </c>
      <c r="U31" s="35" t="str">
        <f t="shared" si="4"/>
        <v>2026-04</v>
      </c>
      <c r="V31" s="38">
        <f>IF(J31="已結案",0,(使用說明!$B$7-B31)*24)</f>
        <v>0</v>
      </c>
    </row>
    <row r="32" spans="1:22">
      <c r="A32" s="32" t="s">
        <v>308</v>
      </c>
      <c r="B32" s="33">
        <v>46117.618055555555</v>
      </c>
      <c r="C32" s="34" t="s">
        <v>309</v>
      </c>
      <c r="D32" s="34" t="s">
        <v>210</v>
      </c>
      <c r="E32" s="34" t="s">
        <v>235</v>
      </c>
      <c r="F32" s="34" t="s">
        <v>241</v>
      </c>
      <c r="G32" s="34" t="s">
        <v>242</v>
      </c>
      <c r="H32" s="34" t="s">
        <v>310</v>
      </c>
      <c r="I32" s="35" t="str">
        <f>VLOOKUP(H32,人員與團隊!$A$4:$D$27,3,FALSE)</f>
        <v>線上服務</v>
      </c>
      <c r="J32" s="34" t="s">
        <v>215</v>
      </c>
      <c r="K32" s="33">
        <v>46117.701388888891</v>
      </c>
      <c r="L32" s="33">
        <v>46118.244342638885</v>
      </c>
      <c r="M32" s="36">
        <f t="shared" si="0"/>
        <v>120.00000000349246</v>
      </c>
      <c r="N32" s="37">
        <f t="shared" si="1"/>
        <v>15.030889999936335</v>
      </c>
      <c r="O32" s="36">
        <f>VLOOKUP(G32,SLA標準!$A$4:$C$7,2,FALSE)</f>
        <v>240</v>
      </c>
      <c r="P32" s="37">
        <f>VLOOKUP(G32,SLA標準!$A$4:$C$7,3,FALSE)</f>
        <v>24</v>
      </c>
      <c r="Q32" s="35" t="str">
        <f t="shared" si="2"/>
        <v>達標</v>
      </c>
      <c r="R32" s="34" t="s">
        <v>47</v>
      </c>
      <c r="S32" s="35" t="str">
        <f t="shared" si="3"/>
        <v>是</v>
      </c>
      <c r="T32" s="36">
        <f>IFERROR(VLOOKUP(A32,滿意度調查!$B$4:$D$570,3,FALSE),"")</f>
        <v>5</v>
      </c>
      <c r="U32" s="35" t="str">
        <f t="shared" si="4"/>
        <v>2026-04</v>
      </c>
      <c r="V32" s="38">
        <f>IF(J32="已結案",0,(使用說明!$B$7-B32)*24)</f>
        <v>0</v>
      </c>
    </row>
    <row r="33" spans="1:22">
      <c r="A33" s="32" t="s">
        <v>311</v>
      </c>
      <c r="B33" s="33">
        <v>46117.732638888891</v>
      </c>
      <c r="C33" s="34" t="s">
        <v>312</v>
      </c>
      <c r="D33" s="34" t="s">
        <v>210</v>
      </c>
      <c r="E33" s="34" t="s">
        <v>265</v>
      </c>
      <c r="F33" s="34" t="s">
        <v>301</v>
      </c>
      <c r="G33" s="34" t="s">
        <v>242</v>
      </c>
      <c r="H33" s="34" t="s">
        <v>310</v>
      </c>
      <c r="I33" s="35" t="str">
        <f>VLOOKUP(H33,人員與團隊!$A$4:$D$27,3,FALSE)</f>
        <v>線上服務</v>
      </c>
      <c r="J33" s="34" t="s">
        <v>215</v>
      </c>
      <c r="K33" s="33">
        <v>46117.762499999997</v>
      </c>
      <c r="L33" s="33">
        <v>46118.704288611108</v>
      </c>
      <c r="M33" s="36">
        <f t="shared" si="0"/>
        <v>42.999999993480742</v>
      </c>
      <c r="N33" s="37">
        <f t="shared" si="1"/>
        <v>23.319593333231751</v>
      </c>
      <c r="O33" s="36">
        <f>VLOOKUP(G33,SLA標準!$A$4:$C$7,2,FALSE)</f>
        <v>240</v>
      </c>
      <c r="P33" s="37">
        <f>VLOOKUP(G33,SLA標準!$A$4:$C$7,3,FALSE)</f>
        <v>24</v>
      </c>
      <c r="Q33" s="35" t="str">
        <f t="shared" si="2"/>
        <v>達標</v>
      </c>
      <c r="R33" s="34" t="s">
        <v>47</v>
      </c>
      <c r="S33" s="35" t="str">
        <f t="shared" si="3"/>
        <v>是</v>
      </c>
      <c r="T33" s="36">
        <f>IFERROR(VLOOKUP(A33,滿意度調查!$B$4:$D$570,3,FALSE),"")</f>
        <v>5</v>
      </c>
      <c r="U33" s="35" t="str">
        <f t="shared" si="4"/>
        <v>2026-04</v>
      </c>
      <c r="V33" s="38">
        <f>IF(J33="已結案",0,(使用說明!$B$7-B33)*24)</f>
        <v>0</v>
      </c>
    </row>
    <row r="34" spans="1:22">
      <c r="A34" s="32" t="s">
        <v>313</v>
      </c>
      <c r="B34" s="33">
        <v>46117.762499999997</v>
      </c>
      <c r="C34" s="34" t="s">
        <v>314</v>
      </c>
      <c r="D34" s="34" t="s">
        <v>225</v>
      </c>
      <c r="E34" s="34" t="s">
        <v>219</v>
      </c>
      <c r="F34" s="34" t="s">
        <v>257</v>
      </c>
      <c r="G34" s="34" t="s">
        <v>221</v>
      </c>
      <c r="H34" s="34" t="s">
        <v>315</v>
      </c>
      <c r="I34" s="35" t="str">
        <f>VLOOKUP(H34,人員與團隊!$A$4:$D$27,3,FALSE)</f>
        <v>北區服務</v>
      </c>
      <c r="J34" s="34" t="s">
        <v>215</v>
      </c>
      <c r="K34" s="33">
        <v>46117.775694444441</v>
      </c>
      <c r="L34" s="33">
        <v>46118.145317835646</v>
      </c>
      <c r="M34" s="36">
        <f t="shared" si="0"/>
        <v>18.999999999068677</v>
      </c>
      <c r="N34" s="37">
        <f t="shared" si="1"/>
        <v>9.1876280555734411</v>
      </c>
      <c r="O34" s="36">
        <f>VLOOKUP(G34,SLA標準!$A$4:$C$7,2,FALSE)</f>
        <v>60</v>
      </c>
      <c r="P34" s="37">
        <f>VLOOKUP(G34,SLA標準!$A$4:$C$7,3,FALSE)</f>
        <v>8</v>
      </c>
      <c r="Q34" s="35" t="str">
        <f t="shared" si="2"/>
        <v>逾期</v>
      </c>
      <c r="R34" s="34" t="s">
        <v>41</v>
      </c>
      <c r="S34" s="35" t="str">
        <f t="shared" si="3"/>
        <v>是</v>
      </c>
      <c r="T34" s="36">
        <f>IFERROR(VLOOKUP(A34,滿意度調查!$B$4:$D$570,3,FALSE),"")</f>
        <v>3</v>
      </c>
      <c r="U34" s="35" t="str">
        <f t="shared" si="4"/>
        <v>2026-04</v>
      </c>
      <c r="V34" s="38">
        <f>IF(J34="已結案",0,(使用說明!$B$7-B34)*24)</f>
        <v>0</v>
      </c>
    </row>
    <row r="35" spans="1:22">
      <c r="A35" s="32" t="s">
        <v>316</v>
      </c>
      <c r="B35" s="33">
        <v>46117.793749999997</v>
      </c>
      <c r="C35" s="34" t="s">
        <v>317</v>
      </c>
      <c r="D35" s="34" t="s">
        <v>218</v>
      </c>
      <c r="E35" s="34" t="s">
        <v>230</v>
      </c>
      <c r="F35" s="34" t="s">
        <v>272</v>
      </c>
      <c r="G35" s="34" t="s">
        <v>242</v>
      </c>
      <c r="H35" s="34" t="s">
        <v>262</v>
      </c>
      <c r="I35" s="35" t="str">
        <f>VLOOKUP(H35,人員與團隊!$A$4:$D$27,3,FALSE)</f>
        <v>南區服務</v>
      </c>
      <c r="J35" s="34" t="s">
        <v>215</v>
      </c>
      <c r="K35" s="33">
        <v>46117.929166666669</v>
      </c>
      <c r="L35" s="33">
        <v>46118.785170636576</v>
      </c>
      <c r="M35" s="36">
        <f t="shared" si="0"/>
        <v>195.00000000698492</v>
      </c>
      <c r="N35" s="37">
        <f t="shared" si="1"/>
        <v>23.79409527790267</v>
      </c>
      <c r="O35" s="36">
        <f>VLOOKUP(G35,SLA標準!$A$4:$C$7,2,FALSE)</f>
        <v>240</v>
      </c>
      <c r="P35" s="37">
        <f>VLOOKUP(G35,SLA標準!$A$4:$C$7,3,FALSE)</f>
        <v>24</v>
      </c>
      <c r="Q35" s="35" t="str">
        <f t="shared" si="2"/>
        <v>達標</v>
      </c>
      <c r="R35" s="34" t="s">
        <v>41</v>
      </c>
      <c r="S35" s="35" t="str">
        <f t="shared" si="3"/>
        <v>是</v>
      </c>
      <c r="T35" s="36">
        <f>IFERROR(VLOOKUP(A35,滿意度調查!$B$4:$D$570,3,FALSE),"")</f>
        <v>4</v>
      </c>
      <c r="U35" s="35" t="str">
        <f t="shared" si="4"/>
        <v>2026-04</v>
      </c>
      <c r="V35" s="38">
        <f>IF(J35="已結案",0,(使用說明!$B$7-B35)*24)</f>
        <v>0</v>
      </c>
    </row>
    <row r="36" spans="1:22">
      <c r="A36" s="32" t="s">
        <v>318</v>
      </c>
      <c r="B36" s="33">
        <v>46117.818055555559</v>
      </c>
      <c r="C36" s="34" t="s">
        <v>319</v>
      </c>
      <c r="D36" s="34" t="s">
        <v>210</v>
      </c>
      <c r="E36" s="34" t="s">
        <v>230</v>
      </c>
      <c r="F36" s="34" t="s">
        <v>320</v>
      </c>
      <c r="G36" s="34" t="s">
        <v>242</v>
      </c>
      <c r="H36" s="34" t="s">
        <v>285</v>
      </c>
      <c r="I36" s="35" t="str">
        <f>VLOOKUP(H36,人員與團隊!$A$4:$D$27,3,FALSE)</f>
        <v>線上服務</v>
      </c>
      <c r="J36" s="34" t="s">
        <v>215</v>
      </c>
      <c r="K36" s="33">
        <v>46117.896527777775</v>
      </c>
      <c r="L36" s="33">
        <v>46119.030438726855</v>
      </c>
      <c r="M36" s="36">
        <f t="shared" si="0"/>
        <v>112.99999999115244</v>
      </c>
      <c r="N36" s="37">
        <f t="shared" si="1"/>
        <v>29.097196111106314</v>
      </c>
      <c r="O36" s="36">
        <f>VLOOKUP(G36,SLA標準!$A$4:$C$7,2,FALSE)</f>
        <v>240</v>
      </c>
      <c r="P36" s="37">
        <f>VLOOKUP(G36,SLA標準!$A$4:$C$7,3,FALSE)</f>
        <v>24</v>
      </c>
      <c r="Q36" s="35" t="str">
        <f t="shared" si="2"/>
        <v>逾期</v>
      </c>
      <c r="R36" s="34" t="s">
        <v>47</v>
      </c>
      <c r="S36" s="35" t="str">
        <f t="shared" si="3"/>
        <v>是</v>
      </c>
      <c r="T36" s="36">
        <f>IFERROR(VLOOKUP(A36,滿意度調查!$B$4:$D$570,3,FALSE),"")</f>
        <v>4</v>
      </c>
      <c r="U36" s="35" t="str">
        <f t="shared" si="4"/>
        <v>2026-04</v>
      </c>
      <c r="V36" s="38">
        <f>IF(J36="已結案",0,(使用說明!$B$7-B36)*24)</f>
        <v>0</v>
      </c>
    </row>
    <row r="37" spans="1:22">
      <c r="A37" s="32" t="s">
        <v>321</v>
      </c>
      <c r="B37" s="33">
        <v>46118.356944444444</v>
      </c>
      <c r="C37" s="34" t="s">
        <v>322</v>
      </c>
      <c r="D37" s="34" t="s">
        <v>210</v>
      </c>
      <c r="E37" s="34" t="s">
        <v>245</v>
      </c>
      <c r="F37" s="34" t="s">
        <v>246</v>
      </c>
      <c r="G37" s="34" t="s">
        <v>242</v>
      </c>
      <c r="H37" s="34" t="s">
        <v>305</v>
      </c>
      <c r="I37" s="35" t="str">
        <f>VLOOKUP(H37,人員與團隊!$A$4:$D$27,3,FALSE)</f>
        <v>線上服務</v>
      </c>
      <c r="J37" s="34" t="s">
        <v>215</v>
      </c>
      <c r="K37" s="33">
        <v>46118.459722222222</v>
      </c>
      <c r="L37" s="33">
        <v>46119.00934340278</v>
      </c>
      <c r="M37" s="36">
        <f t="shared" si="0"/>
        <v>148.00000000046566</v>
      </c>
      <c r="N37" s="37">
        <f t="shared" si="1"/>
        <v>15.657575000077486</v>
      </c>
      <c r="O37" s="36">
        <f>VLOOKUP(G37,SLA標準!$A$4:$C$7,2,FALSE)</f>
        <v>240</v>
      </c>
      <c r="P37" s="37">
        <f>VLOOKUP(G37,SLA標準!$A$4:$C$7,3,FALSE)</f>
        <v>24</v>
      </c>
      <c r="Q37" s="35" t="str">
        <f t="shared" si="2"/>
        <v>達標</v>
      </c>
      <c r="R37" s="34" t="s">
        <v>47</v>
      </c>
      <c r="S37" s="35" t="str">
        <f t="shared" si="3"/>
        <v>是</v>
      </c>
      <c r="T37" s="36">
        <f>IFERROR(VLOOKUP(A37,滿意度調查!$B$4:$D$570,3,FALSE),"")</f>
        <v>4</v>
      </c>
      <c r="U37" s="35" t="str">
        <f t="shared" si="4"/>
        <v>2026-04</v>
      </c>
      <c r="V37" s="38">
        <f>IF(J37="已結案",0,(使用說明!$B$7-B37)*24)</f>
        <v>0</v>
      </c>
    </row>
    <row r="38" spans="1:22">
      <c r="A38" s="32" t="s">
        <v>323</v>
      </c>
      <c r="B38" s="33">
        <v>46118.490277777775</v>
      </c>
      <c r="C38" s="34" t="s">
        <v>324</v>
      </c>
      <c r="D38" s="34" t="s">
        <v>210</v>
      </c>
      <c r="E38" s="34" t="s">
        <v>230</v>
      </c>
      <c r="F38" s="34" t="s">
        <v>231</v>
      </c>
      <c r="G38" s="34" t="s">
        <v>242</v>
      </c>
      <c r="H38" s="34" t="s">
        <v>325</v>
      </c>
      <c r="I38" s="35" t="str">
        <f>VLOOKUP(H38,人員與團隊!$A$4:$D$27,3,FALSE)</f>
        <v>線上服務</v>
      </c>
      <c r="J38" s="34" t="s">
        <v>215</v>
      </c>
      <c r="K38" s="33">
        <v>46118.586805555555</v>
      </c>
      <c r="L38" s="33">
        <v>46119.404745057873</v>
      </c>
      <c r="M38" s="36">
        <f t="shared" si="0"/>
        <v>139.00000000256114</v>
      </c>
      <c r="N38" s="37">
        <f t="shared" si="1"/>
        <v>21.947214722342324</v>
      </c>
      <c r="O38" s="36">
        <f>VLOOKUP(G38,SLA標準!$A$4:$C$7,2,FALSE)</f>
        <v>240</v>
      </c>
      <c r="P38" s="37">
        <f>VLOOKUP(G38,SLA標準!$A$4:$C$7,3,FALSE)</f>
        <v>24</v>
      </c>
      <c r="Q38" s="35" t="str">
        <f t="shared" si="2"/>
        <v>達標</v>
      </c>
      <c r="R38" s="34" t="s">
        <v>47</v>
      </c>
      <c r="S38" s="35" t="str">
        <f t="shared" si="3"/>
        <v>是</v>
      </c>
      <c r="T38" s="36">
        <f>IFERROR(VLOOKUP(A38,滿意度調查!$B$4:$D$570,3,FALSE),"")</f>
        <v>5</v>
      </c>
      <c r="U38" s="35" t="str">
        <f t="shared" si="4"/>
        <v>2026-04</v>
      </c>
      <c r="V38" s="38">
        <f>IF(J38="已結案",0,(使用說明!$B$7-B38)*24)</f>
        <v>0</v>
      </c>
    </row>
    <row r="39" spans="1:22">
      <c r="A39" s="32" t="s">
        <v>326</v>
      </c>
      <c r="B39" s="33">
        <v>46118.521527777775</v>
      </c>
      <c r="C39" s="34" t="s">
        <v>327</v>
      </c>
      <c r="D39" s="34" t="s">
        <v>210</v>
      </c>
      <c r="E39" s="34" t="s">
        <v>211</v>
      </c>
      <c r="F39" s="34" t="s">
        <v>212</v>
      </c>
      <c r="G39" s="34" t="s">
        <v>221</v>
      </c>
      <c r="H39" s="34" t="s">
        <v>328</v>
      </c>
      <c r="I39" s="35" t="str">
        <f>VLOOKUP(H39,人員與團隊!$A$4:$D$27,3,FALSE)</f>
        <v>北區服務</v>
      </c>
      <c r="J39" s="34" t="s">
        <v>215</v>
      </c>
      <c r="K39" s="33">
        <v>46118.527083333334</v>
      </c>
      <c r="L39" s="33">
        <v>46118.615489016207</v>
      </c>
      <c r="M39" s="36">
        <f t="shared" si="0"/>
        <v>8.0000000051222742</v>
      </c>
      <c r="N39" s="37">
        <f t="shared" si="1"/>
        <v>2.2550697223632596</v>
      </c>
      <c r="O39" s="36">
        <f>VLOOKUP(G39,SLA標準!$A$4:$C$7,2,FALSE)</f>
        <v>60</v>
      </c>
      <c r="P39" s="37">
        <f>VLOOKUP(G39,SLA標準!$A$4:$C$7,3,FALSE)</f>
        <v>8</v>
      </c>
      <c r="Q39" s="35" t="str">
        <f t="shared" si="2"/>
        <v>達標</v>
      </c>
      <c r="R39" s="34" t="s">
        <v>47</v>
      </c>
      <c r="S39" s="35" t="str">
        <f t="shared" si="3"/>
        <v>否</v>
      </c>
      <c r="T39" s="36" t="str">
        <f>IFERROR(VLOOKUP(A39,滿意度調查!$B$4:$D$570,3,FALSE),"")</f>
        <v/>
      </c>
      <c r="U39" s="35" t="str">
        <f t="shared" si="4"/>
        <v>2026-04</v>
      </c>
      <c r="V39" s="38">
        <f>IF(J39="已結案",0,(使用說明!$B$7-B39)*24)</f>
        <v>0</v>
      </c>
    </row>
    <row r="40" spans="1:22">
      <c r="A40" s="32" t="s">
        <v>329</v>
      </c>
      <c r="B40" s="33">
        <v>46118.560416666667</v>
      </c>
      <c r="C40" s="34" t="s">
        <v>330</v>
      </c>
      <c r="D40" s="34" t="s">
        <v>240</v>
      </c>
      <c r="E40" s="34" t="s">
        <v>211</v>
      </c>
      <c r="F40" s="34" t="s">
        <v>331</v>
      </c>
      <c r="G40" s="34" t="s">
        <v>221</v>
      </c>
      <c r="H40" s="34" t="s">
        <v>310</v>
      </c>
      <c r="I40" s="35" t="str">
        <f>VLOOKUP(H40,人員與團隊!$A$4:$D$27,3,FALSE)</f>
        <v>線上服務</v>
      </c>
      <c r="J40" s="34" t="s">
        <v>215</v>
      </c>
      <c r="K40" s="33">
        <v>46118.588888888888</v>
      </c>
      <c r="L40" s="33">
        <v>46118.63632208333</v>
      </c>
      <c r="M40" s="36">
        <f t="shared" si="0"/>
        <v>40.999999997438863</v>
      </c>
      <c r="N40" s="37">
        <f t="shared" si="1"/>
        <v>1.8217299999087118</v>
      </c>
      <c r="O40" s="36">
        <f>VLOOKUP(G40,SLA標準!$A$4:$C$7,2,FALSE)</f>
        <v>60</v>
      </c>
      <c r="P40" s="37">
        <f>VLOOKUP(G40,SLA標準!$A$4:$C$7,3,FALSE)</f>
        <v>8</v>
      </c>
      <c r="Q40" s="35" t="str">
        <f t="shared" si="2"/>
        <v>達標</v>
      </c>
      <c r="R40" s="34" t="s">
        <v>41</v>
      </c>
      <c r="S40" s="35" t="str">
        <f t="shared" si="3"/>
        <v>是</v>
      </c>
      <c r="T40" s="36">
        <f>IFERROR(VLOOKUP(A40,滿意度調查!$B$4:$D$570,3,FALSE),"")</f>
        <v>4</v>
      </c>
      <c r="U40" s="35" t="str">
        <f t="shared" si="4"/>
        <v>2026-04</v>
      </c>
      <c r="V40" s="38">
        <f>IF(J40="已結案",0,(使用說明!$B$7-B40)*24)</f>
        <v>0</v>
      </c>
    </row>
    <row r="41" spans="1:22">
      <c r="A41" s="32" t="s">
        <v>332</v>
      </c>
      <c r="B41" s="33">
        <v>46118.638888888891</v>
      </c>
      <c r="C41" s="34" t="s">
        <v>333</v>
      </c>
      <c r="D41" s="34" t="s">
        <v>210</v>
      </c>
      <c r="E41" s="34" t="s">
        <v>211</v>
      </c>
      <c r="F41" s="34" t="s">
        <v>334</v>
      </c>
      <c r="G41" s="34" t="s">
        <v>242</v>
      </c>
      <c r="H41" s="34" t="s">
        <v>310</v>
      </c>
      <c r="I41" s="35" t="str">
        <f>VLOOKUP(H41,人員與團隊!$A$4:$D$27,3,FALSE)</f>
        <v>線上服務</v>
      </c>
      <c r="J41" s="34" t="s">
        <v>215</v>
      </c>
      <c r="K41" s="33">
        <v>46118.71597222222</v>
      </c>
      <c r="L41" s="33">
        <v>46118.839427847219</v>
      </c>
      <c r="M41" s="36">
        <f t="shared" si="0"/>
        <v>110.99999999511056</v>
      </c>
      <c r="N41" s="37">
        <f t="shared" si="1"/>
        <v>4.8129349998780526</v>
      </c>
      <c r="O41" s="36">
        <f>VLOOKUP(G41,SLA標準!$A$4:$C$7,2,FALSE)</f>
        <v>240</v>
      </c>
      <c r="P41" s="37">
        <f>VLOOKUP(G41,SLA標準!$A$4:$C$7,3,FALSE)</f>
        <v>24</v>
      </c>
      <c r="Q41" s="35" t="str">
        <f t="shared" si="2"/>
        <v>達標</v>
      </c>
      <c r="R41" s="34" t="s">
        <v>47</v>
      </c>
      <c r="S41" s="35" t="str">
        <f t="shared" si="3"/>
        <v>否</v>
      </c>
      <c r="T41" s="36" t="str">
        <f>IFERROR(VLOOKUP(A41,滿意度調查!$B$4:$D$570,3,FALSE),"")</f>
        <v/>
      </c>
      <c r="U41" s="35" t="str">
        <f t="shared" si="4"/>
        <v>2026-04</v>
      </c>
      <c r="V41" s="38">
        <f>IF(J41="已結案",0,(使用說明!$B$7-B41)*24)</f>
        <v>0</v>
      </c>
    </row>
    <row r="42" spans="1:22">
      <c r="A42" s="32" t="s">
        <v>335</v>
      </c>
      <c r="B42" s="33">
        <v>46118.681250000001</v>
      </c>
      <c r="C42" s="34" t="s">
        <v>336</v>
      </c>
      <c r="D42" s="34" t="s">
        <v>210</v>
      </c>
      <c r="E42" s="34" t="s">
        <v>211</v>
      </c>
      <c r="F42" s="34" t="s">
        <v>226</v>
      </c>
      <c r="G42" s="34" t="s">
        <v>242</v>
      </c>
      <c r="H42" s="34" t="s">
        <v>325</v>
      </c>
      <c r="I42" s="35" t="str">
        <f>VLOOKUP(H42,人員與團隊!$A$4:$D$27,3,FALSE)</f>
        <v>線上服務</v>
      </c>
      <c r="J42" s="34" t="s">
        <v>215</v>
      </c>
      <c r="K42" s="33">
        <v>46118.763194444444</v>
      </c>
      <c r="L42" s="33">
        <v>46118.946658125002</v>
      </c>
      <c r="M42" s="36">
        <f t="shared" si="0"/>
        <v>117.9999999969732</v>
      </c>
      <c r="N42" s="37">
        <f t="shared" si="1"/>
        <v>6.3697950000059791</v>
      </c>
      <c r="O42" s="36">
        <f>VLOOKUP(G42,SLA標準!$A$4:$C$7,2,FALSE)</f>
        <v>240</v>
      </c>
      <c r="P42" s="37">
        <f>VLOOKUP(G42,SLA標準!$A$4:$C$7,3,FALSE)</f>
        <v>24</v>
      </c>
      <c r="Q42" s="35" t="str">
        <f t="shared" si="2"/>
        <v>達標</v>
      </c>
      <c r="R42" s="34" t="s">
        <v>47</v>
      </c>
      <c r="S42" s="35" t="str">
        <f t="shared" si="3"/>
        <v>是</v>
      </c>
      <c r="T42" s="36">
        <f>IFERROR(VLOOKUP(A42,滿意度調查!$B$4:$D$570,3,FALSE),"")</f>
        <v>4</v>
      </c>
      <c r="U42" s="35" t="str">
        <f t="shared" si="4"/>
        <v>2026-04</v>
      </c>
      <c r="V42" s="38">
        <f>IF(J42="已結案",0,(使用說明!$B$7-B42)*24)</f>
        <v>0</v>
      </c>
    </row>
    <row r="43" spans="1:22">
      <c r="A43" s="32" t="s">
        <v>337</v>
      </c>
      <c r="B43" s="33">
        <v>46118.709027777775</v>
      </c>
      <c r="C43" s="34" t="s">
        <v>338</v>
      </c>
      <c r="D43" s="34" t="s">
        <v>218</v>
      </c>
      <c r="E43" s="34" t="s">
        <v>230</v>
      </c>
      <c r="F43" s="34" t="s">
        <v>339</v>
      </c>
      <c r="G43" s="34" t="s">
        <v>221</v>
      </c>
      <c r="H43" s="34" t="s">
        <v>340</v>
      </c>
      <c r="I43" s="35" t="str">
        <f>VLOOKUP(H43,人員與團隊!$A$4:$D$27,3,FALSE)</f>
        <v>北區服務</v>
      </c>
      <c r="J43" s="34" t="s">
        <v>215</v>
      </c>
      <c r="K43" s="33">
        <v>46118.763888888891</v>
      </c>
      <c r="L43" s="33">
        <v>46119.103124398149</v>
      </c>
      <c r="M43" s="36">
        <f t="shared" si="0"/>
        <v>79.000000006053597</v>
      </c>
      <c r="N43" s="37">
        <f t="shared" si="1"/>
        <v>9.4583188889664598</v>
      </c>
      <c r="O43" s="36">
        <f>VLOOKUP(G43,SLA標準!$A$4:$C$7,2,FALSE)</f>
        <v>60</v>
      </c>
      <c r="P43" s="37">
        <f>VLOOKUP(G43,SLA標準!$A$4:$C$7,3,FALSE)</f>
        <v>8</v>
      </c>
      <c r="Q43" s="35" t="str">
        <f t="shared" si="2"/>
        <v>逾期</v>
      </c>
      <c r="R43" s="34" t="s">
        <v>47</v>
      </c>
      <c r="S43" s="35" t="str">
        <f t="shared" si="3"/>
        <v>是</v>
      </c>
      <c r="T43" s="36">
        <f>IFERROR(VLOOKUP(A43,滿意度調查!$B$4:$D$570,3,FALSE),"")</f>
        <v>3</v>
      </c>
      <c r="U43" s="35" t="str">
        <f t="shared" si="4"/>
        <v>2026-04</v>
      </c>
      <c r="V43" s="38">
        <f>IF(J43="已結案",0,(使用說明!$B$7-B43)*24)</f>
        <v>0</v>
      </c>
    </row>
    <row r="44" spans="1:22">
      <c r="A44" s="32" t="s">
        <v>341</v>
      </c>
      <c r="B44" s="33">
        <v>46118.72152777778</v>
      </c>
      <c r="C44" s="34" t="s">
        <v>342</v>
      </c>
      <c r="D44" s="34" t="s">
        <v>218</v>
      </c>
      <c r="E44" s="34" t="s">
        <v>265</v>
      </c>
      <c r="F44" s="34" t="s">
        <v>266</v>
      </c>
      <c r="G44" s="34" t="s">
        <v>242</v>
      </c>
      <c r="H44" s="34" t="s">
        <v>274</v>
      </c>
      <c r="I44" s="35" t="str">
        <f>VLOOKUP(H44,人員與團隊!$A$4:$D$27,3,FALSE)</f>
        <v>南區服務</v>
      </c>
      <c r="J44" s="34" t="s">
        <v>215</v>
      </c>
      <c r="K44" s="33">
        <v>46118.967361111114</v>
      </c>
      <c r="L44" s="33">
        <v>46119.227049351852</v>
      </c>
      <c r="M44" s="36">
        <f t="shared" si="0"/>
        <v>354.00000000139698</v>
      </c>
      <c r="N44" s="37">
        <f t="shared" si="1"/>
        <v>12.132517777732573</v>
      </c>
      <c r="O44" s="36">
        <f>VLOOKUP(G44,SLA標準!$A$4:$C$7,2,FALSE)</f>
        <v>240</v>
      </c>
      <c r="P44" s="37">
        <f>VLOOKUP(G44,SLA標準!$A$4:$C$7,3,FALSE)</f>
        <v>24</v>
      </c>
      <c r="Q44" s="35" t="str">
        <f t="shared" si="2"/>
        <v>逾期</v>
      </c>
      <c r="R44" s="34" t="s">
        <v>47</v>
      </c>
      <c r="S44" s="35" t="str">
        <f t="shared" si="3"/>
        <v>是</v>
      </c>
      <c r="T44" s="36">
        <f>IFERROR(VLOOKUP(A44,滿意度調查!$B$4:$D$570,3,FALSE),"")</f>
        <v>3</v>
      </c>
      <c r="U44" s="35" t="str">
        <f t="shared" si="4"/>
        <v>2026-04</v>
      </c>
      <c r="V44" s="38">
        <f>IF(J44="已結案",0,(使用說明!$B$7-B44)*24)</f>
        <v>0</v>
      </c>
    </row>
    <row r="45" spans="1:22">
      <c r="A45" s="32" t="s">
        <v>343</v>
      </c>
      <c r="B45" s="33">
        <v>46118.75277777778</v>
      </c>
      <c r="C45" s="34" t="s">
        <v>344</v>
      </c>
      <c r="D45" s="34" t="s">
        <v>210</v>
      </c>
      <c r="E45" s="34" t="s">
        <v>265</v>
      </c>
      <c r="F45" s="34" t="s">
        <v>304</v>
      </c>
      <c r="G45" s="34" t="s">
        <v>221</v>
      </c>
      <c r="H45" s="34" t="s">
        <v>243</v>
      </c>
      <c r="I45" s="35" t="str">
        <f>VLOOKUP(H45,人員與團隊!$A$4:$D$27,3,FALSE)</f>
        <v>南區服務</v>
      </c>
      <c r="J45" s="34" t="s">
        <v>215</v>
      </c>
      <c r="K45" s="33">
        <v>46118.767361111109</v>
      </c>
      <c r="L45" s="33">
        <v>46119.168059861113</v>
      </c>
      <c r="M45" s="36">
        <f t="shared" si="0"/>
        <v>20.999999995110556</v>
      </c>
      <c r="N45" s="37">
        <f t="shared" si="1"/>
        <v>9.9667699999990873</v>
      </c>
      <c r="O45" s="36">
        <f>VLOOKUP(G45,SLA標準!$A$4:$C$7,2,FALSE)</f>
        <v>60</v>
      </c>
      <c r="P45" s="37">
        <f>VLOOKUP(G45,SLA標準!$A$4:$C$7,3,FALSE)</f>
        <v>8</v>
      </c>
      <c r="Q45" s="35" t="str">
        <f t="shared" si="2"/>
        <v>逾期</v>
      </c>
      <c r="R45" s="34" t="s">
        <v>47</v>
      </c>
      <c r="S45" s="35" t="str">
        <f t="shared" si="3"/>
        <v>是</v>
      </c>
      <c r="T45" s="36">
        <f>IFERROR(VLOOKUP(A45,滿意度調查!$B$4:$D$570,3,FALSE),"")</f>
        <v>3</v>
      </c>
      <c r="U45" s="35" t="str">
        <f t="shared" si="4"/>
        <v>2026-04</v>
      </c>
      <c r="V45" s="38">
        <f>IF(J45="已結案",0,(使用說明!$B$7-B45)*24)</f>
        <v>0</v>
      </c>
    </row>
    <row r="46" spans="1:22">
      <c r="A46" s="32" t="s">
        <v>345</v>
      </c>
      <c r="B46" s="33">
        <v>46118.861111111109</v>
      </c>
      <c r="C46" s="34" t="s">
        <v>346</v>
      </c>
      <c r="D46" s="34" t="s">
        <v>218</v>
      </c>
      <c r="E46" s="34" t="s">
        <v>235</v>
      </c>
      <c r="F46" s="34" t="s">
        <v>298</v>
      </c>
      <c r="G46" s="34" t="s">
        <v>242</v>
      </c>
      <c r="H46" s="34" t="s">
        <v>279</v>
      </c>
      <c r="I46" s="35" t="str">
        <f>VLOOKUP(H46,人員與團隊!$A$4:$D$27,3,FALSE)</f>
        <v>南區服務</v>
      </c>
      <c r="J46" s="34" t="s">
        <v>215</v>
      </c>
      <c r="K46" s="33">
        <v>46119.102083333331</v>
      </c>
      <c r="L46" s="33">
        <v>46119.164802777777</v>
      </c>
      <c r="M46" s="36">
        <f t="shared" si="0"/>
        <v>346.99999999953434</v>
      </c>
      <c r="N46" s="37">
        <f t="shared" si="1"/>
        <v>7.2886000000289641</v>
      </c>
      <c r="O46" s="36">
        <f>VLOOKUP(G46,SLA標準!$A$4:$C$7,2,FALSE)</f>
        <v>240</v>
      </c>
      <c r="P46" s="37">
        <f>VLOOKUP(G46,SLA標準!$A$4:$C$7,3,FALSE)</f>
        <v>24</v>
      </c>
      <c r="Q46" s="35" t="str">
        <f t="shared" si="2"/>
        <v>逾期</v>
      </c>
      <c r="R46" s="34" t="s">
        <v>47</v>
      </c>
      <c r="S46" s="35" t="str">
        <f t="shared" si="3"/>
        <v>是</v>
      </c>
      <c r="T46" s="36">
        <f>IFERROR(VLOOKUP(A46,滿意度調查!$B$4:$D$570,3,FALSE),"")</f>
        <v>3</v>
      </c>
      <c r="U46" s="35" t="str">
        <f t="shared" si="4"/>
        <v>2026-04</v>
      </c>
      <c r="V46" s="38">
        <f>IF(J46="已結案",0,(使用說明!$B$7-B46)*24)</f>
        <v>0</v>
      </c>
    </row>
    <row r="47" spans="1:22">
      <c r="A47" s="32" t="s">
        <v>347</v>
      </c>
      <c r="B47" s="33">
        <v>46119.507638888892</v>
      </c>
      <c r="C47" s="34" t="s">
        <v>284</v>
      </c>
      <c r="D47" s="34" t="s">
        <v>225</v>
      </c>
      <c r="E47" s="34" t="s">
        <v>219</v>
      </c>
      <c r="F47" s="34" t="s">
        <v>257</v>
      </c>
      <c r="G47" s="34" t="s">
        <v>221</v>
      </c>
      <c r="H47" s="34" t="s">
        <v>305</v>
      </c>
      <c r="I47" s="35" t="str">
        <f>VLOOKUP(H47,人員與團隊!$A$4:$D$27,3,FALSE)</f>
        <v>線上服務</v>
      </c>
      <c r="J47" s="34" t="s">
        <v>215</v>
      </c>
      <c r="K47" s="33">
        <v>46119.525694444441</v>
      </c>
      <c r="L47" s="33">
        <v>46119.971105393517</v>
      </c>
      <c r="M47" s="36">
        <f t="shared" si="0"/>
        <v>25.999999990453944</v>
      </c>
      <c r="N47" s="37">
        <f t="shared" si="1"/>
        <v>11.123196111002471</v>
      </c>
      <c r="O47" s="36">
        <f>VLOOKUP(G47,SLA標準!$A$4:$C$7,2,FALSE)</f>
        <v>60</v>
      </c>
      <c r="P47" s="37">
        <f>VLOOKUP(G47,SLA標準!$A$4:$C$7,3,FALSE)</f>
        <v>8</v>
      </c>
      <c r="Q47" s="35" t="str">
        <f t="shared" si="2"/>
        <v>逾期</v>
      </c>
      <c r="R47" s="34" t="s">
        <v>41</v>
      </c>
      <c r="S47" s="35" t="str">
        <f t="shared" si="3"/>
        <v>是</v>
      </c>
      <c r="T47" s="36">
        <f>IFERROR(VLOOKUP(A47,滿意度調查!$B$4:$D$570,3,FALSE),"")</f>
        <v>2</v>
      </c>
      <c r="U47" s="35" t="str">
        <f t="shared" si="4"/>
        <v>2026-04</v>
      </c>
      <c r="V47" s="38">
        <f>IF(J47="已結案",0,(使用說明!$B$7-B47)*24)</f>
        <v>0</v>
      </c>
    </row>
    <row r="48" spans="1:22">
      <c r="A48" s="32" t="s">
        <v>348</v>
      </c>
      <c r="B48" s="33">
        <v>46119.583333333336</v>
      </c>
      <c r="C48" s="34" t="s">
        <v>349</v>
      </c>
      <c r="D48" s="34" t="s">
        <v>225</v>
      </c>
      <c r="E48" s="34" t="s">
        <v>219</v>
      </c>
      <c r="F48" s="34" t="s">
        <v>249</v>
      </c>
      <c r="G48" s="34" t="s">
        <v>350</v>
      </c>
      <c r="H48" s="34" t="s">
        <v>285</v>
      </c>
      <c r="I48" s="35" t="str">
        <f>VLOOKUP(H48,人員與團隊!$A$4:$D$27,3,FALSE)</f>
        <v>線上服務</v>
      </c>
      <c r="J48" s="34" t="s">
        <v>215</v>
      </c>
      <c r="K48" s="33">
        <v>46119.59097222222</v>
      </c>
      <c r="L48" s="33">
        <v>46119.801555011574</v>
      </c>
      <c r="M48" s="36">
        <f t="shared" si="0"/>
        <v>10.999999993946403</v>
      </c>
      <c r="N48" s="37">
        <f t="shared" si="1"/>
        <v>5.2373202777234837</v>
      </c>
      <c r="O48" s="36">
        <f>VLOOKUP(G48,SLA標準!$A$4:$C$7,2,FALSE)</f>
        <v>30</v>
      </c>
      <c r="P48" s="37">
        <f>VLOOKUP(G48,SLA標準!$A$4:$C$7,3,FALSE)</f>
        <v>4</v>
      </c>
      <c r="Q48" s="35" t="str">
        <f t="shared" si="2"/>
        <v>逾期</v>
      </c>
      <c r="R48" s="34" t="s">
        <v>47</v>
      </c>
      <c r="S48" s="35" t="str">
        <f t="shared" si="3"/>
        <v>是</v>
      </c>
      <c r="T48" s="36">
        <f>IFERROR(VLOOKUP(A48,滿意度調查!$B$4:$D$570,3,FALSE),"")</f>
        <v>4</v>
      </c>
      <c r="U48" s="35" t="str">
        <f t="shared" si="4"/>
        <v>2026-04</v>
      </c>
      <c r="V48" s="38">
        <f>IF(J48="已結案",0,(使用說明!$B$7-B48)*24)</f>
        <v>0</v>
      </c>
    </row>
    <row r="49" spans="1:22">
      <c r="A49" s="32" t="s">
        <v>351</v>
      </c>
      <c r="B49" s="33">
        <v>46119.602083333331</v>
      </c>
      <c r="C49" s="34" t="s">
        <v>352</v>
      </c>
      <c r="D49" s="34" t="s">
        <v>225</v>
      </c>
      <c r="E49" s="34" t="s">
        <v>265</v>
      </c>
      <c r="F49" s="34" t="s">
        <v>301</v>
      </c>
      <c r="G49" s="34" t="s">
        <v>242</v>
      </c>
      <c r="H49" s="34" t="s">
        <v>340</v>
      </c>
      <c r="I49" s="35" t="str">
        <f>VLOOKUP(H49,人員與團隊!$A$4:$D$27,3,FALSE)</f>
        <v>北區服務</v>
      </c>
      <c r="J49" s="34" t="s">
        <v>215</v>
      </c>
      <c r="K49" s="33">
        <v>46119.743055555555</v>
      </c>
      <c r="L49" s="33">
        <v>46120.078235844907</v>
      </c>
      <c r="M49" s="36">
        <f t="shared" si="0"/>
        <v>203.00000000162981</v>
      </c>
      <c r="N49" s="37">
        <f t="shared" si="1"/>
        <v>11.42766027781181</v>
      </c>
      <c r="O49" s="36">
        <f>VLOOKUP(G49,SLA標準!$A$4:$C$7,2,FALSE)</f>
        <v>240</v>
      </c>
      <c r="P49" s="37">
        <f>VLOOKUP(G49,SLA標準!$A$4:$C$7,3,FALSE)</f>
        <v>24</v>
      </c>
      <c r="Q49" s="35" t="str">
        <f t="shared" si="2"/>
        <v>達標</v>
      </c>
      <c r="R49" s="34" t="s">
        <v>47</v>
      </c>
      <c r="S49" s="35" t="str">
        <f t="shared" si="3"/>
        <v>是</v>
      </c>
      <c r="T49" s="36">
        <f>IFERROR(VLOOKUP(A49,滿意度調查!$B$4:$D$570,3,FALSE),"")</f>
        <v>5</v>
      </c>
      <c r="U49" s="35" t="str">
        <f t="shared" si="4"/>
        <v>2026-04</v>
      </c>
      <c r="V49" s="38">
        <f>IF(J49="已結案",0,(使用說明!$B$7-B49)*24)</f>
        <v>0</v>
      </c>
    </row>
    <row r="50" spans="1:22">
      <c r="A50" s="32" t="s">
        <v>353</v>
      </c>
      <c r="B50" s="33">
        <v>46119.648611111108</v>
      </c>
      <c r="C50" s="34" t="s">
        <v>354</v>
      </c>
      <c r="D50" s="34" t="s">
        <v>225</v>
      </c>
      <c r="E50" s="34" t="s">
        <v>230</v>
      </c>
      <c r="F50" s="34" t="s">
        <v>231</v>
      </c>
      <c r="G50" s="34" t="s">
        <v>350</v>
      </c>
      <c r="H50" s="34" t="s">
        <v>250</v>
      </c>
      <c r="I50" s="35" t="str">
        <f>VLOOKUP(H50,人員與團隊!$A$4:$D$27,3,FALSE)</f>
        <v>南區服務</v>
      </c>
      <c r="J50" s="34" t="s">
        <v>215</v>
      </c>
      <c r="K50" s="33">
        <v>46119.654861111114</v>
      </c>
      <c r="L50" s="33">
        <v>46120.09558533565</v>
      </c>
      <c r="M50" s="36">
        <f t="shared" si="0"/>
        <v>9.0000000083819032</v>
      </c>
      <c r="N50" s="37">
        <f t="shared" si="1"/>
        <v>10.727381389006041</v>
      </c>
      <c r="O50" s="36">
        <f>VLOOKUP(G50,SLA標準!$A$4:$C$7,2,FALSE)</f>
        <v>30</v>
      </c>
      <c r="P50" s="37">
        <f>VLOOKUP(G50,SLA標準!$A$4:$C$7,3,FALSE)</f>
        <v>4</v>
      </c>
      <c r="Q50" s="35" t="str">
        <f t="shared" si="2"/>
        <v>逾期</v>
      </c>
      <c r="R50" s="34" t="s">
        <v>47</v>
      </c>
      <c r="S50" s="35" t="str">
        <f t="shared" si="3"/>
        <v>是</v>
      </c>
      <c r="T50" s="36">
        <f>IFERROR(VLOOKUP(A50,滿意度調查!$B$4:$D$570,3,FALSE),"")</f>
        <v>2</v>
      </c>
      <c r="U50" s="35" t="str">
        <f t="shared" si="4"/>
        <v>2026-04</v>
      </c>
      <c r="V50" s="38">
        <f>IF(J50="已結案",0,(使用說明!$B$7-B50)*24)</f>
        <v>0</v>
      </c>
    </row>
    <row r="51" spans="1:22">
      <c r="A51" s="32" t="s">
        <v>355</v>
      </c>
      <c r="B51" s="33">
        <v>46119.775000000001</v>
      </c>
      <c r="C51" s="34" t="s">
        <v>317</v>
      </c>
      <c r="D51" s="34" t="s">
        <v>218</v>
      </c>
      <c r="E51" s="34" t="s">
        <v>245</v>
      </c>
      <c r="F51" s="34" t="s">
        <v>278</v>
      </c>
      <c r="G51" s="34" t="s">
        <v>350</v>
      </c>
      <c r="H51" s="34" t="s">
        <v>279</v>
      </c>
      <c r="I51" s="35" t="str">
        <f>VLOOKUP(H51,人員與團隊!$A$4:$D$27,3,FALSE)</f>
        <v>南區服務</v>
      </c>
      <c r="J51" s="34" t="s">
        <v>356</v>
      </c>
      <c r="K51" s="33">
        <v>46119.807638888888</v>
      </c>
      <c r="L51" s="33"/>
      <c r="M51" s="36">
        <f t="shared" si="0"/>
        <v>46.999999996041879</v>
      </c>
      <c r="N51" s="37" t="str">
        <f t="shared" si="1"/>
        <v/>
      </c>
      <c r="O51" s="36">
        <f>VLOOKUP(G51,SLA標準!$A$4:$C$7,2,FALSE)</f>
        <v>30</v>
      </c>
      <c r="P51" s="37">
        <f>VLOOKUP(G51,SLA標準!$A$4:$C$7,3,FALSE)</f>
        <v>4</v>
      </c>
      <c r="Q51" s="35" t="str">
        <f t="shared" si="2"/>
        <v>逾期</v>
      </c>
      <c r="R51" s="34" t="s">
        <v>47</v>
      </c>
      <c r="S51" s="35" t="str">
        <f t="shared" si="3"/>
        <v>否</v>
      </c>
      <c r="T51" s="36" t="str">
        <f>IFERROR(VLOOKUP(A51,滿意度調查!$B$4:$D$570,3,FALSE),"")</f>
        <v/>
      </c>
      <c r="U51" s="35" t="str">
        <f t="shared" si="4"/>
        <v>2026-04</v>
      </c>
      <c r="V51" s="38">
        <f>IF(J51="已結案",0,(使用說明!$B$7-B51)*24)</f>
        <v>2030.3999999999651</v>
      </c>
    </row>
    <row r="52" spans="1:22">
      <c r="A52" s="32" t="s">
        <v>357</v>
      </c>
      <c r="B52" s="33">
        <v>46119.808333333334</v>
      </c>
      <c r="C52" s="34" t="s">
        <v>252</v>
      </c>
      <c r="D52" s="34" t="s">
        <v>225</v>
      </c>
      <c r="E52" s="34" t="s">
        <v>245</v>
      </c>
      <c r="F52" s="34" t="s">
        <v>358</v>
      </c>
      <c r="G52" s="34" t="s">
        <v>242</v>
      </c>
      <c r="H52" s="34" t="s">
        <v>274</v>
      </c>
      <c r="I52" s="35" t="str">
        <f>VLOOKUP(H52,人員與團隊!$A$4:$D$27,3,FALSE)</f>
        <v>南區服務</v>
      </c>
      <c r="J52" s="34" t="s">
        <v>215</v>
      </c>
      <c r="K52" s="33">
        <v>46119.95416666667</v>
      </c>
      <c r="L52" s="33">
        <v>46121.218684629632</v>
      </c>
      <c r="M52" s="36">
        <f t="shared" si="0"/>
        <v>210.00000000349246</v>
      </c>
      <c r="N52" s="37">
        <f t="shared" si="1"/>
        <v>33.84843111113878</v>
      </c>
      <c r="O52" s="36">
        <f>VLOOKUP(G52,SLA標準!$A$4:$C$7,2,FALSE)</f>
        <v>240</v>
      </c>
      <c r="P52" s="37">
        <f>VLOOKUP(G52,SLA標準!$A$4:$C$7,3,FALSE)</f>
        <v>24</v>
      </c>
      <c r="Q52" s="35" t="str">
        <f t="shared" si="2"/>
        <v>逾期</v>
      </c>
      <c r="R52" s="34" t="s">
        <v>41</v>
      </c>
      <c r="S52" s="35" t="str">
        <f t="shared" si="3"/>
        <v>否</v>
      </c>
      <c r="T52" s="36" t="str">
        <f>IFERROR(VLOOKUP(A52,滿意度調查!$B$4:$D$570,3,FALSE),"")</f>
        <v/>
      </c>
      <c r="U52" s="35" t="str">
        <f t="shared" si="4"/>
        <v>2026-04</v>
      </c>
      <c r="V52" s="38">
        <f>IF(J52="已結案",0,(使用說明!$B$7-B52)*24)</f>
        <v>0</v>
      </c>
    </row>
    <row r="53" spans="1:22">
      <c r="A53" s="32" t="s">
        <v>359</v>
      </c>
      <c r="B53" s="33">
        <v>46121.380555555559</v>
      </c>
      <c r="C53" s="34" t="s">
        <v>360</v>
      </c>
      <c r="D53" s="34" t="s">
        <v>218</v>
      </c>
      <c r="E53" s="34" t="s">
        <v>211</v>
      </c>
      <c r="F53" s="34" t="s">
        <v>226</v>
      </c>
      <c r="G53" s="34" t="s">
        <v>242</v>
      </c>
      <c r="H53" s="34" t="s">
        <v>361</v>
      </c>
      <c r="I53" s="35" t="str">
        <f>VLOOKUP(H53,人員與團隊!$A$4:$D$27,3,FALSE)</f>
        <v>南區服務</v>
      </c>
      <c r="J53" s="34" t="s">
        <v>215</v>
      </c>
      <c r="K53" s="33">
        <v>46121.56527777778</v>
      </c>
      <c r="L53" s="33">
        <v>46121.591771990737</v>
      </c>
      <c r="M53" s="36">
        <f t="shared" si="0"/>
        <v>265.99999999743886</v>
      </c>
      <c r="N53" s="37">
        <f t="shared" si="1"/>
        <v>5.0691944442805834</v>
      </c>
      <c r="O53" s="36">
        <f>VLOOKUP(G53,SLA標準!$A$4:$C$7,2,FALSE)</f>
        <v>240</v>
      </c>
      <c r="P53" s="37">
        <f>VLOOKUP(G53,SLA標準!$A$4:$C$7,3,FALSE)</f>
        <v>24</v>
      </c>
      <c r="Q53" s="35" t="str">
        <f t="shared" si="2"/>
        <v>逾期</v>
      </c>
      <c r="R53" s="34" t="s">
        <v>47</v>
      </c>
      <c r="S53" s="35" t="str">
        <f t="shared" si="3"/>
        <v>是</v>
      </c>
      <c r="T53" s="36">
        <f>IFERROR(VLOOKUP(A53,滿意度調查!$B$4:$D$570,3,FALSE),"")</f>
        <v>3</v>
      </c>
      <c r="U53" s="35" t="str">
        <f t="shared" si="4"/>
        <v>2026-04</v>
      </c>
      <c r="V53" s="38">
        <f>IF(J53="已結案",0,(使用說明!$B$7-B53)*24)</f>
        <v>0</v>
      </c>
    </row>
    <row r="54" spans="1:22">
      <c r="A54" s="32" t="s">
        <v>362</v>
      </c>
      <c r="B54" s="33">
        <v>46121.470833333333</v>
      </c>
      <c r="C54" s="34" t="s">
        <v>336</v>
      </c>
      <c r="D54" s="34" t="s">
        <v>210</v>
      </c>
      <c r="E54" s="34" t="s">
        <v>219</v>
      </c>
      <c r="F54" s="34" t="s">
        <v>249</v>
      </c>
      <c r="G54" s="34" t="s">
        <v>221</v>
      </c>
      <c r="H54" s="34" t="s">
        <v>285</v>
      </c>
      <c r="I54" s="35" t="str">
        <f>VLOOKUP(H54,人員與團隊!$A$4:$D$27,3,FALSE)</f>
        <v>線上服務</v>
      </c>
      <c r="J54" s="34" t="s">
        <v>215</v>
      </c>
      <c r="K54" s="33">
        <v>46121.484027777777</v>
      </c>
      <c r="L54" s="33">
        <v>46121.689501284724</v>
      </c>
      <c r="M54" s="36">
        <f t="shared" si="0"/>
        <v>18.999999999068677</v>
      </c>
      <c r="N54" s="37">
        <f t="shared" si="1"/>
        <v>5.2480308333761059</v>
      </c>
      <c r="O54" s="36">
        <f>VLOOKUP(G54,SLA標準!$A$4:$C$7,2,FALSE)</f>
        <v>60</v>
      </c>
      <c r="P54" s="37">
        <f>VLOOKUP(G54,SLA標準!$A$4:$C$7,3,FALSE)</f>
        <v>8</v>
      </c>
      <c r="Q54" s="35" t="str">
        <f t="shared" si="2"/>
        <v>達標</v>
      </c>
      <c r="R54" s="34" t="s">
        <v>47</v>
      </c>
      <c r="S54" s="35" t="str">
        <f t="shared" si="3"/>
        <v>否</v>
      </c>
      <c r="T54" s="36" t="str">
        <f>IFERROR(VLOOKUP(A54,滿意度調查!$B$4:$D$570,3,FALSE),"")</f>
        <v/>
      </c>
      <c r="U54" s="35" t="str">
        <f t="shared" si="4"/>
        <v>2026-04</v>
      </c>
      <c r="V54" s="38">
        <f>IF(J54="已結案",0,(使用說明!$B$7-B54)*24)</f>
        <v>0</v>
      </c>
    </row>
    <row r="55" spans="1:22">
      <c r="A55" s="32" t="s">
        <v>363</v>
      </c>
      <c r="B55" s="33">
        <v>46121.512499999997</v>
      </c>
      <c r="C55" s="34" t="s">
        <v>364</v>
      </c>
      <c r="D55" s="34" t="s">
        <v>218</v>
      </c>
      <c r="E55" s="34" t="s">
        <v>265</v>
      </c>
      <c r="F55" s="34" t="s">
        <v>266</v>
      </c>
      <c r="G55" s="34" t="s">
        <v>242</v>
      </c>
      <c r="H55" s="34" t="s">
        <v>315</v>
      </c>
      <c r="I55" s="35" t="str">
        <f>VLOOKUP(H55,人員與團隊!$A$4:$D$27,3,FALSE)</f>
        <v>北區服務</v>
      </c>
      <c r="J55" s="34" t="s">
        <v>215</v>
      </c>
      <c r="K55" s="33">
        <v>46121.709722222222</v>
      </c>
      <c r="L55" s="33">
        <v>46122.518224409723</v>
      </c>
      <c r="M55" s="36">
        <f t="shared" si="0"/>
        <v>284.00000000372529</v>
      </c>
      <c r="N55" s="37">
        <f t="shared" si="1"/>
        <v>24.137385833426379</v>
      </c>
      <c r="O55" s="36">
        <f>VLOOKUP(G55,SLA標準!$A$4:$C$7,2,FALSE)</f>
        <v>240</v>
      </c>
      <c r="P55" s="37">
        <f>VLOOKUP(G55,SLA標準!$A$4:$C$7,3,FALSE)</f>
        <v>24</v>
      </c>
      <c r="Q55" s="35" t="str">
        <f t="shared" si="2"/>
        <v>逾期</v>
      </c>
      <c r="R55" s="34" t="s">
        <v>47</v>
      </c>
      <c r="S55" s="35" t="str">
        <f t="shared" si="3"/>
        <v>否</v>
      </c>
      <c r="T55" s="36" t="str">
        <f>IFERROR(VLOOKUP(A55,滿意度調查!$B$4:$D$570,3,FALSE),"")</f>
        <v/>
      </c>
      <c r="U55" s="35" t="str">
        <f t="shared" si="4"/>
        <v>2026-04</v>
      </c>
      <c r="V55" s="38">
        <f>IF(J55="已結案",0,(使用說明!$B$7-B55)*24)</f>
        <v>0</v>
      </c>
    </row>
    <row r="56" spans="1:22">
      <c r="A56" s="32" t="s">
        <v>365</v>
      </c>
      <c r="B56" s="33">
        <v>46121.588194444441</v>
      </c>
      <c r="C56" s="34" t="s">
        <v>366</v>
      </c>
      <c r="D56" s="34" t="s">
        <v>225</v>
      </c>
      <c r="E56" s="34" t="s">
        <v>211</v>
      </c>
      <c r="F56" s="34" t="s">
        <v>226</v>
      </c>
      <c r="G56" s="34" t="s">
        <v>221</v>
      </c>
      <c r="H56" s="34" t="s">
        <v>227</v>
      </c>
      <c r="I56" s="35" t="str">
        <f>VLOOKUP(H56,人員與團隊!$A$4:$D$27,3,FALSE)</f>
        <v>北區服務</v>
      </c>
      <c r="J56" s="34" t="s">
        <v>215</v>
      </c>
      <c r="K56" s="33">
        <v>46121.611805555556</v>
      </c>
      <c r="L56" s="33">
        <v>46121.79707310185</v>
      </c>
      <c r="M56" s="36">
        <f t="shared" si="0"/>
        <v>34.000000006053597</v>
      </c>
      <c r="N56" s="37">
        <f t="shared" si="1"/>
        <v>5.013087777828332</v>
      </c>
      <c r="O56" s="36">
        <f>VLOOKUP(G56,SLA標準!$A$4:$C$7,2,FALSE)</f>
        <v>60</v>
      </c>
      <c r="P56" s="37">
        <f>VLOOKUP(G56,SLA標準!$A$4:$C$7,3,FALSE)</f>
        <v>8</v>
      </c>
      <c r="Q56" s="35" t="str">
        <f t="shared" si="2"/>
        <v>達標</v>
      </c>
      <c r="R56" s="34" t="s">
        <v>41</v>
      </c>
      <c r="S56" s="35" t="str">
        <f t="shared" si="3"/>
        <v>否</v>
      </c>
      <c r="T56" s="36" t="str">
        <f>IFERROR(VLOOKUP(A56,滿意度調查!$B$4:$D$570,3,FALSE),"")</f>
        <v/>
      </c>
      <c r="U56" s="35" t="str">
        <f t="shared" si="4"/>
        <v>2026-04</v>
      </c>
      <c r="V56" s="38">
        <f>IF(J56="已結案",0,(使用說明!$B$7-B56)*24)</f>
        <v>0</v>
      </c>
    </row>
    <row r="57" spans="1:22">
      <c r="A57" s="32" t="s">
        <v>367</v>
      </c>
      <c r="B57" s="33">
        <v>46121.652777777781</v>
      </c>
      <c r="C57" s="34" t="s">
        <v>368</v>
      </c>
      <c r="D57" s="34" t="s">
        <v>218</v>
      </c>
      <c r="E57" s="34" t="s">
        <v>219</v>
      </c>
      <c r="F57" s="34" t="s">
        <v>257</v>
      </c>
      <c r="G57" s="34" t="s">
        <v>221</v>
      </c>
      <c r="H57" s="34" t="s">
        <v>310</v>
      </c>
      <c r="I57" s="35" t="str">
        <f>VLOOKUP(H57,人員與團隊!$A$4:$D$27,3,FALSE)</f>
        <v>線上服務</v>
      </c>
      <c r="J57" s="34" t="s">
        <v>215</v>
      </c>
      <c r="K57" s="33">
        <v>46121.705555555556</v>
      </c>
      <c r="L57" s="33">
        <v>46121.853117060185</v>
      </c>
      <c r="M57" s="36">
        <f t="shared" si="0"/>
        <v>75.99999999627471</v>
      </c>
      <c r="N57" s="37">
        <f t="shared" si="1"/>
        <v>4.8081427777069621</v>
      </c>
      <c r="O57" s="36">
        <f>VLOOKUP(G57,SLA標準!$A$4:$C$7,2,FALSE)</f>
        <v>60</v>
      </c>
      <c r="P57" s="37">
        <f>VLOOKUP(G57,SLA標準!$A$4:$C$7,3,FALSE)</f>
        <v>8</v>
      </c>
      <c r="Q57" s="35" t="str">
        <f t="shared" si="2"/>
        <v>逾期</v>
      </c>
      <c r="R57" s="34" t="s">
        <v>47</v>
      </c>
      <c r="S57" s="35" t="str">
        <f t="shared" si="3"/>
        <v>是</v>
      </c>
      <c r="T57" s="36">
        <f>IFERROR(VLOOKUP(A57,滿意度調查!$B$4:$D$570,3,FALSE),"")</f>
        <v>3</v>
      </c>
      <c r="U57" s="35" t="str">
        <f t="shared" si="4"/>
        <v>2026-04</v>
      </c>
      <c r="V57" s="38">
        <f>IF(J57="已結案",0,(使用說明!$B$7-B57)*24)</f>
        <v>0</v>
      </c>
    </row>
    <row r="58" spans="1:22">
      <c r="A58" s="32" t="s">
        <v>369</v>
      </c>
      <c r="B58" s="33">
        <v>46121.825694444444</v>
      </c>
      <c r="C58" s="34" t="s">
        <v>370</v>
      </c>
      <c r="D58" s="34" t="s">
        <v>210</v>
      </c>
      <c r="E58" s="34" t="s">
        <v>219</v>
      </c>
      <c r="F58" s="34" t="s">
        <v>371</v>
      </c>
      <c r="G58" s="34" t="s">
        <v>350</v>
      </c>
      <c r="H58" s="34" t="s">
        <v>372</v>
      </c>
      <c r="I58" s="35" t="str">
        <f>VLOOKUP(H58,人員與團隊!$A$4:$D$27,3,FALSE)</f>
        <v>南區服務</v>
      </c>
      <c r="J58" s="34" t="s">
        <v>215</v>
      </c>
      <c r="K58" s="33">
        <v>46121.837500000001</v>
      </c>
      <c r="L58" s="33">
        <v>46122.168455902778</v>
      </c>
      <c r="M58" s="36">
        <f t="shared" si="0"/>
        <v>17.000000003026798</v>
      </c>
      <c r="N58" s="37">
        <f t="shared" si="1"/>
        <v>8.2262750000227243</v>
      </c>
      <c r="O58" s="36">
        <f>VLOOKUP(G58,SLA標準!$A$4:$C$7,2,FALSE)</f>
        <v>30</v>
      </c>
      <c r="P58" s="37">
        <f>VLOOKUP(G58,SLA標準!$A$4:$C$7,3,FALSE)</f>
        <v>4</v>
      </c>
      <c r="Q58" s="35" t="str">
        <f t="shared" si="2"/>
        <v>逾期</v>
      </c>
      <c r="R58" s="34" t="s">
        <v>47</v>
      </c>
      <c r="S58" s="35" t="str">
        <f t="shared" si="3"/>
        <v>否</v>
      </c>
      <c r="T58" s="36" t="str">
        <f>IFERROR(VLOOKUP(A58,滿意度調查!$B$4:$D$570,3,FALSE),"")</f>
        <v/>
      </c>
      <c r="U58" s="35" t="str">
        <f t="shared" si="4"/>
        <v>2026-04</v>
      </c>
      <c r="V58" s="38">
        <f>IF(J58="已結案",0,(使用說明!$B$7-B58)*24)</f>
        <v>0</v>
      </c>
    </row>
    <row r="59" spans="1:22">
      <c r="A59" s="32" t="s">
        <v>373</v>
      </c>
      <c r="B59" s="33">
        <v>46121.826388888891</v>
      </c>
      <c r="C59" s="34" t="s">
        <v>374</v>
      </c>
      <c r="D59" s="34" t="s">
        <v>210</v>
      </c>
      <c r="E59" s="34" t="s">
        <v>245</v>
      </c>
      <c r="F59" s="34" t="s">
        <v>358</v>
      </c>
      <c r="G59" s="34" t="s">
        <v>242</v>
      </c>
      <c r="H59" s="34" t="s">
        <v>285</v>
      </c>
      <c r="I59" s="35" t="str">
        <f>VLOOKUP(H59,人員與團隊!$A$4:$D$27,3,FALSE)</f>
        <v>線上服務</v>
      </c>
      <c r="J59" s="34" t="s">
        <v>215</v>
      </c>
      <c r="K59" s="33">
        <v>46121.934027777781</v>
      </c>
      <c r="L59" s="33">
        <v>46122.794063506946</v>
      </c>
      <c r="M59" s="36">
        <f t="shared" si="0"/>
        <v>155.00000000232831</v>
      </c>
      <c r="N59" s="37">
        <f t="shared" si="1"/>
        <v>23.224190833338071</v>
      </c>
      <c r="O59" s="36">
        <f>VLOOKUP(G59,SLA標準!$A$4:$C$7,2,FALSE)</f>
        <v>240</v>
      </c>
      <c r="P59" s="37">
        <f>VLOOKUP(G59,SLA標準!$A$4:$C$7,3,FALSE)</f>
        <v>24</v>
      </c>
      <c r="Q59" s="35" t="str">
        <f t="shared" si="2"/>
        <v>達標</v>
      </c>
      <c r="R59" s="34" t="s">
        <v>47</v>
      </c>
      <c r="S59" s="35" t="str">
        <f t="shared" si="3"/>
        <v>是</v>
      </c>
      <c r="T59" s="36">
        <f>IFERROR(VLOOKUP(A59,滿意度調查!$B$4:$D$570,3,FALSE),"")</f>
        <v>5</v>
      </c>
      <c r="U59" s="35" t="str">
        <f t="shared" si="4"/>
        <v>2026-04</v>
      </c>
      <c r="V59" s="38">
        <f>IF(J59="已結案",0,(使用說明!$B$7-B59)*24)</f>
        <v>0</v>
      </c>
    </row>
    <row r="60" spans="1:22">
      <c r="A60" s="32" t="s">
        <v>375</v>
      </c>
      <c r="B60" s="33">
        <v>46122.456250000003</v>
      </c>
      <c r="C60" s="34" t="s">
        <v>376</v>
      </c>
      <c r="D60" s="34" t="s">
        <v>225</v>
      </c>
      <c r="E60" s="34" t="s">
        <v>211</v>
      </c>
      <c r="F60" s="34" t="s">
        <v>331</v>
      </c>
      <c r="G60" s="34" t="s">
        <v>242</v>
      </c>
      <c r="H60" s="34" t="s">
        <v>267</v>
      </c>
      <c r="I60" s="35" t="str">
        <f>VLOOKUP(H60,人員與團隊!$A$4:$D$27,3,FALSE)</f>
        <v>南區服務</v>
      </c>
      <c r="J60" s="34" t="s">
        <v>215</v>
      </c>
      <c r="K60" s="33">
        <v>46122.566666666666</v>
      </c>
      <c r="L60" s="33">
        <v>46122.759349305554</v>
      </c>
      <c r="M60" s="36">
        <f t="shared" si="0"/>
        <v>158.99999999441206</v>
      </c>
      <c r="N60" s="37">
        <f t="shared" si="1"/>
        <v>7.2743833332206123</v>
      </c>
      <c r="O60" s="36">
        <f>VLOOKUP(G60,SLA標準!$A$4:$C$7,2,FALSE)</f>
        <v>240</v>
      </c>
      <c r="P60" s="37">
        <f>VLOOKUP(G60,SLA標準!$A$4:$C$7,3,FALSE)</f>
        <v>24</v>
      </c>
      <c r="Q60" s="35" t="str">
        <f t="shared" si="2"/>
        <v>達標</v>
      </c>
      <c r="R60" s="34" t="s">
        <v>47</v>
      </c>
      <c r="S60" s="35" t="str">
        <f t="shared" si="3"/>
        <v>是</v>
      </c>
      <c r="T60" s="36">
        <f>IFERROR(VLOOKUP(A60,滿意度調查!$B$4:$D$570,3,FALSE),"")</f>
        <v>5</v>
      </c>
      <c r="U60" s="35" t="str">
        <f t="shared" si="4"/>
        <v>2026-04</v>
      </c>
      <c r="V60" s="38">
        <f>IF(J60="已結案",0,(使用說明!$B$7-B60)*24)</f>
        <v>0</v>
      </c>
    </row>
    <row r="61" spans="1:22">
      <c r="A61" s="32" t="s">
        <v>377</v>
      </c>
      <c r="B61" s="33">
        <v>46122.53402777778</v>
      </c>
      <c r="C61" s="34" t="s">
        <v>378</v>
      </c>
      <c r="D61" s="34" t="s">
        <v>225</v>
      </c>
      <c r="E61" s="34" t="s">
        <v>211</v>
      </c>
      <c r="F61" s="34" t="s">
        <v>331</v>
      </c>
      <c r="G61" s="34" t="s">
        <v>242</v>
      </c>
      <c r="H61" s="34" t="s">
        <v>232</v>
      </c>
      <c r="I61" s="35" t="str">
        <f>VLOOKUP(H61,人員與團隊!$A$4:$D$27,3,FALSE)</f>
        <v>北區服務</v>
      </c>
      <c r="J61" s="34" t="s">
        <v>215</v>
      </c>
      <c r="K61" s="33">
        <v>46122.613888888889</v>
      </c>
      <c r="L61" s="33">
        <v>46122.779373819445</v>
      </c>
      <c r="M61" s="36">
        <f t="shared" si="0"/>
        <v>114.99999999767169</v>
      </c>
      <c r="N61" s="37">
        <f t="shared" si="1"/>
        <v>5.8883049999712966</v>
      </c>
      <c r="O61" s="36">
        <f>VLOOKUP(G61,SLA標準!$A$4:$C$7,2,FALSE)</f>
        <v>240</v>
      </c>
      <c r="P61" s="37">
        <f>VLOOKUP(G61,SLA標準!$A$4:$C$7,3,FALSE)</f>
        <v>24</v>
      </c>
      <c r="Q61" s="35" t="str">
        <f t="shared" si="2"/>
        <v>達標</v>
      </c>
      <c r="R61" s="34" t="s">
        <v>47</v>
      </c>
      <c r="S61" s="35" t="str">
        <f t="shared" si="3"/>
        <v>是</v>
      </c>
      <c r="T61" s="36">
        <f>IFERROR(VLOOKUP(A61,滿意度調查!$B$4:$D$570,3,FALSE),"")</f>
        <v>5</v>
      </c>
      <c r="U61" s="35" t="str">
        <f t="shared" si="4"/>
        <v>2026-04</v>
      </c>
      <c r="V61" s="38">
        <f>IF(J61="已結案",0,(使用說明!$B$7-B61)*24)</f>
        <v>0</v>
      </c>
    </row>
    <row r="62" spans="1:22">
      <c r="A62" s="32" t="s">
        <v>379</v>
      </c>
      <c r="B62" s="33">
        <v>46122.538194444445</v>
      </c>
      <c r="C62" s="34" t="s">
        <v>380</v>
      </c>
      <c r="D62" s="34" t="s">
        <v>210</v>
      </c>
      <c r="E62" s="34" t="s">
        <v>211</v>
      </c>
      <c r="F62" s="34" t="s">
        <v>334</v>
      </c>
      <c r="G62" s="34" t="s">
        <v>242</v>
      </c>
      <c r="H62" s="34" t="s">
        <v>381</v>
      </c>
      <c r="I62" s="35" t="str">
        <f>VLOOKUP(H62,人員與團隊!$A$4:$D$27,3,FALSE)</f>
        <v>線上服務</v>
      </c>
      <c r="J62" s="34" t="s">
        <v>215</v>
      </c>
      <c r="K62" s="33">
        <v>46122.603472222225</v>
      </c>
      <c r="L62" s="33">
        <v>46122.789778206017</v>
      </c>
      <c r="M62" s="36">
        <f t="shared" si="0"/>
        <v>94.000000002561137</v>
      </c>
      <c r="N62" s="37">
        <f t="shared" si="1"/>
        <v>6.0380102777271532</v>
      </c>
      <c r="O62" s="36">
        <f>VLOOKUP(G62,SLA標準!$A$4:$C$7,2,FALSE)</f>
        <v>240</v>
      </c>
      <c r="P62" s="37">
        <f>VLOOKUP(G62,SLA標準!$A$4:$C$7,3,FALSE)</f>
        <v>24</v>
      </c>
      <c r="Q62" s="35" t="str">
        <f t="shared" si="2"/>
        <v>達標</v>
      </c>
      <c r="R62" s="34" t="s">
        <v>41</v>
      </c>
      <c r="S62" s="35" t="str">
        <f t="shared" si="3"/>
        <v>否</v>
      </c>
      <c r="T62" s="36" t="str">
        <f>IFERROR(VLOOKUP(A62,滿意度調查!$B$4:$D$570,3,FALSE),"")</f>
        <v/>
      </c>
      <c r="U62" s="35" t="str">
        <f t="shared" si="4"/>
        <v>2026-04</v>
      </c>
      <c r="V62" s="38">
        <f>IF(J62="已結案",0,(使用說明!$B$7-B62)*24)</f>
        <v>0</v>
      </c>
    </row>
    <row r="63" spans="1:22">
      <c r="A63" s="32" t="s">
        <v>382</v>
      </c>
      <c r="B63" s="33">
        <v>46122.688194444447</v>
      </c>
      <c r="C63" s="34" t="s">
        <v>383</v>
      </c>
      <c r="D63" s="34" t="s">
        <v>210</v>
      </c>
      <c r="E63" s="34" t="s">
        <v>230</v>
      </c>
      <c r="F63" s="34" t="s">
        <v>231</v>
      </c>
      <c r="G63" s="34" t="s">
        <v>242</v>
      </c>
      <c r="H63" s="34" t="s">
        <v>384</v>
      </c>
      <c r="I63" s="35" t="str">
        <f>VLOOKUP(H63,人員與團隊!$A$4:$D$27,3,FALSE)</f>
        <v>線上服務</v>
      </c>
      <c r="J63" s="34" t="s">
        <v>215</v>
      </c>
      <c r="K63" s="33">
        <v>46122.773611111108</v>
      </c>
      <c r="L63" s="33">
        <v>46123.390344907406</v>
      </c>
      <c r="M63" s="36">
        <f t="shared" si="0"/>
        <v>122.99999999231659</v>
      </c>
      <c r="N63" s="37">
        <f t="shared" si="1"/>
        <v>16.851611111022066</v>
      </c>
      <c r="O63" s="36">
        <f>VLOOKUP(G63,SLA標準!$A$4:$C$7,2,FALSE)</f>
        <v>240</v>
      </c>
      <c r="P63" s="37">
        <f>VLOOKUP(G63,SLA標準!$A$4:$C$7,3,FALSE)</f>
        <v>24</v>
      </c>
      <c r="Q63" s="35" t="str">
        <f t="shared" si="2"/>
        <v>達標</v>
      </c>
      <c r="R63" s="34" t="s">
        <v>41</v>
      </c>
      <c r="S63" s="35" t="str">
        <f t="shared" si="3"/>
        <v>是</v>
      </c>
      <c r="T63" s="36">
        <f>IFERROR(VLOOKUP(A63,滿意度調查!$B$4:$D$570,3,FALSE),"")</f>
        <v>4</v>
      </c>
      <c r="U63" s="35" t="str">
        <f t="shared" si="4"/>
        <v>2026-04</v>
      </c>
      <c r="V63" s="38">
        <f>IF(J63="已結案",0,(使用說明!$B$7-B63)*24)</f>
        <v>0</v>
      </c>
    </row>
    <row r="64" spans="1:22">
      <c r="A64" s="32" t="s">
        <v>385</v>
      </c>
      <c r="B64" s="33">
        <v>46123.443055555559</v>
      </c>
      <c r="C64" s="34" t="s">
        <v>333</v>
      </c>
      <c r="D64" s="34" t="s">
        <v>218</v>
      </c>
      <c r="E64" s="34" t="s">
        <v>219</v>
      </c>
      <c r="F64" s="34" t="s">
        <v>220</v>
      </c>
      <c r="G64" s="34" t="s">
        <v>221</v>
      </c>
      <c r="H64" s="34" t="s">
        <v>267</v>
      </c>
      <c r="I64" s="35" t="str">
        <f>VLOOKUP(H64,人員與團隊!$A$4:$D$27,3,FALSE)</f>
        <v>南區服務</v>
      </c>
      <c r="J64" s="34" t="s">
        <v>215</v>
      </c>
      <c r="K64" s="33">
        <v>46123.475694444445</v>
      </c>
      <c r="L64" s="33">
        <v>46124.037117743057</v>
      </c>
      <c r="M64" s="36">
        <f t="shared" si="0"/>
        <v>46.999999996041879</v>
      </c>
      <c r="N64" s="37">
        <f t="shared" si="1"/>
        <v>14.257492499949876</v>
      </c>
      <c r="O64" s="36">
        <f>VLOOKUP(G64,SLA標準!$A$4:$C$7,2,FALSE)</f>
        <v>60</v>
      </c>
      <c r="P64" s="37">
        <f>VLOOKUP(G64,SLA標準!$A$4:$C$7,3,FALSE)</f>
        <v>8</v>
      </c>
      <c r="Q64" s="35" t="str">
        <f t="shared" si="2"/>
        <v>逾期</v>
      </c>
      <c r="R64" s="34" t="s">
        <v>41</v>
      </c>
      <c r="S64" s="35" t="str">
        <f t="shared" si="3"/>
        <v>是</v>
      </c>
      <c r="T64" s="36">
        <f>IFERROR(VLOOKUP(A64,滿意度調查!$B$4:$D$570,3,FALSE),"")</f>
        <v>2</v>
      </c>
      <c r="U64" s="35" t="str">
        <f t="shared" si="4"/>
        <v>2026-04</v>
      </c>
      <c r="V64" s="38">
        <f>IF(J64="已結案",0,(使用說明!$B$7-B64)*24)</f>
        <v>0</v>
      </c>
    </row>
    <row r="65" spans="1:22">
      <c r="A65" s="32" t="s">
        <v>386</v>
      </c>
      <c r="B65" s="33">
        <v>46123.463194444441</v>
      </c>
      <c r="C65" s="34" t="s">
        <v>387</v>
      </c>
      <c r="D65" s="34" t="s">
        <v>225</v>
      </c>
      <c r="E65" s="34" t="s">
        <v>235</v>
      </c>
      <c r="F65" s="34" t="s">
        <v>298</v>
      </c>
      <c r="G65" s="34" t="s">
        <v>242</v>
      </c>
      <c r="H65" s="34" t="s">
        <v>372</v>
      </c>
      <c r="I65" s="35" t="str">
        <f>VLOOKUP(H65,人員與團隊!$A$4:$D$27,3,FALSE)</f>
        <v>南區服務</v>
      </c>
      <c r="J65" s="34" t="s">
        <v>215</v>
      </c>
      <c r="K65" s="33">
        <v>46123.513888888891</v>
      </c>
      <c r="L65" s="33">
        <v>46123.706328703702</v>
      </c>
      <c r="M65" s="36">
        <f t="shared" si="0"/>
        <v>73.000000007450581</v>
      </c>
      <c r="N65" s="37">
        <f t="shared" si="1"/>
        <v>5.8352222222601995</v>
      </c>
      <c r="O65" s="36">
        <f>VLOOKUP(G65,SLA標準!$A$4:$C$7,2,FALSE)</f>
        <v>240</v>
      </c>
      <c r="P65" s="37">
        <f>VLOOKUP(G65,SLA標準!$A$4:$C$7,3,FALSE)</f>
        <v>24</v>
      </c>
      <c r="Q65" s="35" t="str">
        <f t="shared" si="2"/>
        <v>達標</v>
      </c>
      <c r="R65" s="34" t="s">
        <v>47</v>
      </c>
      <c r="S65" s="35" t="str">
        <f t="shared" si="3"/>
        <v>是</v>
      </c>
      <c r="T65" s="36">
        <f>IFERROR(VLOOKUP(A65,滿意度調查!$B$4:$D$570,3,FALSE),"")</f>
        <v>5</v>
      </c>
      <c r="U65" s="35" t="str">
        <f t="shared" si="4"/>
        <v>2026-04</v>
      </c>
      <c r="V65" s="38">
        <f>IF(J65="已結案",0,(使用說明!$B$7-B65)*24)</f>
        <v>0</v>
      </c>
    </row>
    <row r="66" spans="1:22">
      <c r="A66" s="32" t="s">
        <v>388</v>
      </c>
      <c r="B66" s="33">
        <v>46123.469444444447</v>
      </c>
      <c r="C66" s="34" t="s">
        <v>389</v>
      </c>
      <c r="D66" s="34" t="s">
        <v>225</v>
      </c>
      <c r="E66" s="34" t="s">
        <v>230</v>
      </c>
      <c r="F66" s="34" t="s">
        <v>272</v>
      </c>
      <c r="G66" s="34" t="s">
        <v>242</v>
      </c>
      <c r="H66" s="34" t="s">
        <v>285</v>
      </c>
      <c r="I66" s="35" t="str">
        <f>VLOOKUP(H66,人員與團隊!$A$4:$D$27,3,FALSE)</f>
        <v>線上服務</v>
      </c>
      <c r="J66" s="34" t="s">
        <v>275</v>
      </c>
      <c r="K66" s="33">
        <v>46123.553472222222</v>
      </c>
      <c r="L66" s="33"/>
      <c r="M66" s="36">
        <f t="shared" si="0"/>
        <v>120.99999999627471</v>
      </c>
      <c r="N66" s="37" t="str">
        <f t="shared" si="1"/>
        <v/>
      </c>
      <c r="O66" s="36">
        <f>VLOOKUP(G66,SLA標準!$A$4:$C$7,2,FALSE)</f>
        <v>240</v>
      </c>
      <c r="P66" s="37">
        <f>VLOOKUP(G66,SLA標準!$A$4:$C$7,3,FALSE)</f>
        <v>24</v>
      </c>
      <c r="Q66" s="35" t="str">
        <f t="shared" si="2"/>
        <v>逾期</v>
      </c>
      <c r="R66" s="34" t="s">
        <v>47</v>
      </c>
      <c r="S66" s="35" t="str">
        <f t="shared" si="3"/>
        <v>否</v>
      </c>
      <c r="T66" s="36" t="str">
        <f>IFERROR(VLOOKUP(A66,滿意度調查!$B$4:$D$570,3,FALSE),"")</f>
        <v/>
      </c>
      <c r="U66" s="35" t="str">
        <f t="shared" si="4"/>
        <v>2026-04</v>
      </c>
      <c r="V66" s="38">
        <f>IF(J66="已結案",0,(使用說明!$B$7-B66)*24)</f>
        <v>1941.733333333279</v>
      </c>
    </row>
    <row r="67" spans="1:22">
      <c r="A67" s="32" t="s">
        <v>390</v>
      </c>
      <c r="B67" s="33">
        <v>46123.480555555558</v>
      </c>
      <c r="C67" s="34" t="s">
        <v>391</v>
      </c>
      <c r="D67" s="34" t="s">
        <v>210</v>
      </c>
      <c r="E67" s="34" t="s">
        <v>265</v>
      </c>
      <c r="F67" s="34" t="s">
        <v>301</v>
      </c>
      <c r="G67" s="34" t="s">
        <v>242</v>
      </c>
      <c r="H67" s="34" t="s">
        <v>232</v>
      </c>
      <c r="I67" s="35" t="str">
        <f>VLOOKUP(H67,人員與團隊!$A$4:$D$27,3,FALSE)</f>
        <v>北區服務</v>
      </c>
      <c r="J67" s="34" t="s">
        <v>215</v>
      </c>
      <c r="K67" s="33">
        <v>46123.540972222225</v>
      </c>
      <c r="L67" s="33">
        <v>46123.990961550924</v>
      </c>
      <c r="M67" s="36">
        <f t="shared" si="0"/>
        <v>87.000000000698492</v>
      </c>
      <c r="N67" s="37">
        <f t="shared" si="1"/>
        <v>12.24974388879491</v>
      </c>
      <c r="O67" s="36">
        <f>VLOOKUP(G67,SLA標準!$A$4:$C$7,2,FALSE)</f>
        <v>240</v>
      </c>
      <c r="P67" s="37">
        <f>VLOOKUP(G67,SLA標準!$A$4:$C$7,3,FALSE)</f>
        <v>24</v>
      </c>
      <c r="Q67" s="35" t="str">
        <f t="shared" si="2"/>
        <v>達標</v>
      </c>
      <c r="R67" s="34" t="s">
        <v>47</v>
      </c>
      <c r="S67" s="35" t="str">
        <f t="shared" si="3"/>
        <v>是</v>
      </c>
      <c r="T67" s="36">
        <f>IFERROR(VLOOKUP(A67,滿意度調查!$B$4:$D$570,3,FALSE),"")</f>
        <v>5</v>
      </c>
      <c r="U67" s="35" t="str">
        <f t="shared" si="4"/>
        <v>2026-04</v>
      </c>
      <c r="V67" s="38">
        <f>IF(J67="已結案",0,(使用說明!$B$7-B67)*24)</f>
        <v>0</v>
      </c>
    </row>
    <row r="68" spans="1:22">
      <c r="A68" s="32" t="s">
        <v>392</v>
      </c>
      <c r="B68" s="33">
        <v>46123.555555555555</v>
      </c>
      <c r="C68" s="34" t="s">
        <v>374</v>
      </c>
      <c r="D68" s="34" t="s">
        <v>240</v>
      </c>
      <c r="E68" s="34" t="s">
        <v>265</v>
      </c>
      <c r="F68" s="34" t="s">
        <v>304</v>
      </c>
      <c r="G68" s="34" t="s">
        <v>242</v>
      </c>
      <c r="H68" s="34" t="s">
        <v>232</v>
      </c>
      <c r="I68" s="35" t="str">
        <f>VLOOKUP(H68,人員與團隊!$A$4:$D$27,3,FALSE)</f>
        <v>北區服務</v>
      </c>
      <c r="J68" s="34" t="s">
        <v>215</v>
      </c>
      <c r="K68" s="33">
        <v>46123.696527777778</v>
      </c>
      <c r="L68" s="33">
        <v>46124.468691249996</v>
      </c>
      <c r="M68" s="36">
        <f t="shared" ref="M68:M131" si="5">IF(K68="","",(K68-B68)*1440)</f>
        <v>203.00000000162981</v>
      </c>
      <c r="N68" s="37">
        <f t="shared" ref="N68:N131" si="6">IF(L68="","",(L68-B68)*24)</f>
        <v>21.915256666601636</v>
      </c>
      <c r="O68" s="36">
        <f>VLOOKUP(G68,SLA標準!$A$4:$C$7,2,FALSE)</f>
        <v>240</v>
      </c>
      <c r="P68" s="37">
        <f>VLOOKUP(G68,SLA標準!$A$4:$C$7,3,FALSE)</f>
        <v>24</v>
      </c>
      <c r="Q68" s="35" t="str">
        <f t="shared" ref="Q68:Q131" si="7">IF(J68="已結案",IF(AND(M68&lt;=O68,N68&lt;=P68),"達標","逾期"),IF(OR(M68&gt;O68,V68&gt;P68),"逾期","進行中"))</f>
        <v>達標</v>
      </c>
      <c r="R68" s="34" t="s">
        <v>41</v>
      </c>
      <c r="S68" s="35" t="str">
        <f t="shared" ref="S68:S131" si="8">IF(T68="","否","是")</f>
        <v>是</v>
      </c>
      <c r="T68" s="36">
        <f>IFERROR(VLOOKUP(A68,滿意度調查!$B$4:$D$570,3,FALSE),"")</f>
        <v>5</v>
      </c>
      <c r="U68" s="35" t="str">
        <f t="shared" ref="U68:U131" si="9">TEXT(B68,"yyyy-mm")</f>
        <v>2026-04</v>
      </c>
      <c r="V68" s="38">
        <f>IF(J68="已結案",0,(使用說明!$B$7-B68)*24)</f>
        <v>0</v>
      </c>
    </row>
    <row r="69" spans="1:22">
      <c r="A69" s="32" t="s">
        <v>393</v>
      </c>
      <c r="B69" s="33">
        <v>46123.647916666669</v>
      </c>
      <c r="C69" s="34" t="s">
        <v>394</v>
      </c>
      <c r="D69" s="34" t="s">
        <v>218</v>
      </c>
      <c r="E69" s="34" t="s">
        <v>219</v>
      </c>
      <c r="F69" s="34" t="s">
        <v>220</v>
      </c>
      <c r="G69" s="34" t="s">
        <v>213</v>
      </c>
      <c r="H69" s="34" t="s">
        <v>232</v>
      </c>
      <c r="I69" s="35" t="str">
        <f>VLOOKUP(H69,人員與團隊!$A$4:$D$27,3,FALSE)</f>
        <v>北區服務</v>
      </c>
      <c r="J69" s="34" t="s">
        <v>215</v>
      </c>
      <c r="K69" s="33">
        <v>46123.907638888886</v>
      </c>
      <c r="L69" s="33">
        <v>46124.535601412033</v>
      </c>
      <c r="M69" s="36">
        <f t="shared" si="5"/>
        <v>373.99999999324791</v>
      </c>
      <c r="N69" s="37">
        <f t="shared" si="6"/>
        <v>21.304433888755739</v>
      </c>
      <c r="O69" s="36">
        <f>VLOOKUP(G69,SLA標準!$A$4:$C$7,2,FALSE)</f>
        <v>480</v>
      </c>
      <c r="P69" s="37">
        <f>VLOOKUP(G69,SLA標準!$A$4:$C$7,3,FALSE)</f>
        <v>48</v>
      </c>
      <c r="Q69" s="35" t="str">
        <f t="shared" si="7"/>
        <v>達標</v>
      </c>
      <c r="R69" s="34" t="s">
        <v>41</v>
      </c>
      <c r="S69" s="35" t="str">
        <f t="shared" si="8"/>
        <v>否</v>
      </c>
      <c r="T69" s="36" t="str">
        <f>IFERROR(VLOOKUP(A69,滿意度調查!$B$4:$D$570,3,FALSE),"")</f>
        <v/>
      </c>
      <c r="U69" s="35" t="str">
        <f t="shared" si="9"/>
        <v>2026-04</v>
      </c>
      <c r="V69" s="38">
        <f>IF(J69="已結案",0,(使用說明!$B$7-B69)*24)</f>
        <v>0</v>
      </c>
    </row>
    <row r="70" spans="1:22">
      <c r="A70" s="32" t="s">
        <v>395</v>
      </c>
      <c r="B70" s="33">
        <v>46123.772222222222</v>
      </c>
      <c r="C70" s="34" t="s">
        <v>396</v>
      </c>
      <c r="D70" s="34" t="s">
        <v>210</v>
      </c>
      <c r="E70" s="34" t="s">
        <v>265</v>
      </c>
      <c r="F70" s="34" t="s">
        <v>304</v>
      </c>
      <c r="G70" s="34" t="s">
        <v>350</v>
      </c>
      <c r="H70" s="34" t="s">
        <v>250</v>
      </c>
      <c r="I70" s="35" t="str">
        <f>VLOOKUP(H70,人員與團隊!$A$4:$D$27,3,FALSE)</f>
        <v>南區服務</v>
      </c>
      <c r="J70" s="34" t="s">
        <v>215</v>
      </c>
      <c r="K70" s="33">
        <v>46123.775000000001</v>
      </c>
      <c r="L70" s="33">
        <v>46124.077855717595</v>
      </c>
      <c r="M70" s="36">
        <f t="shared" si="5"/>
        <v>4.0000000025611371</v>
      </c>
      <c r="N70" s="37">
        <f t="shared" si="6"/>
        <v>7.3352038889424875</v>
      </c>
      <c r="O70" s="36">
        <f>VLOOKUP(G70,SLA標準!$A$4:$C$7,2,FALSE)</f>
        <v>30</v>
      </c>
      <c r="P70" s="37">
        <f>VLOOKUP(G70,SLA標準!$A$4:$C$7,3,FALSE)</f>
        <v>4</v>
      </c>
      <c r="Q70" s="35" t="str">
        <f t="shared" si="7"/>
        <v>逾期</v>
      </c>
      <c r="R70" s="34" t="s">
        <v>47</v>
      </c>
      <c r="S70" s="35" t="str">
        <f t="shared" si="8"/>
        <v>是</v>
      </c>
      <c r="T70" s="36">
        <f>IFERROR(VLOOKUP(A70,滿意度調查!$B$4:$D$570,3,FALSE),"")</f>
        <v>3</v>
      </c>
      <c r="U70" s="35" t="str">
        <f t="shared" si="9"/>
        <v>2026-04</v>
      </c>
      <c r="V70" s="38">
        <f>IF(J70="已結案",0,(使用說明!$B$7-B70)*24)</f>
        <v>0</v>
      </c>
    </row>
    <row r="71" spans="1:22">
      <c r="A71" s="32" t="s">
        <v>397</v>
      </c>
      <c r="B71" s="33">
        <v>46123.786805555559</v>
      </c>
      <c r="C71" s="34" t="s">
        <v>398</v>
      </c>
      <c r="D71" s="34" t="s">
        <v>218</v>
      </c>
      <c r="E71" s="34" t="s">
        <v>211</v>
      </c>
      <c r="F71" s="34" t="s">
        <v>212</v>
      </c>
      <c r="G71" s="34" t="s">
        <v>242</v>
      </c>
      <c r="H71" s="34" t="s">
        <v>361</v>
      </c>
      <c r="I71" s="35" t="str">
        <f>VLOOKUP(H71,人員與團隊!$A$4:$D$27,3,FALSE)</f>
        <v>南區服務</v>
      </c>
      <c r="J71" s="34" t="s">
        <v>215</v>
      </c>
      <c r="K71" s="33">
        <v>46123.960416666669</v>
      </c>
      <c r="L71" s="33">
        <v>46124.063287303237</v>
      </c>
      <c r="M71" s="36">
        <f t="shared" si="5"/>
        <v>249.99999999767169</v>
      </c>
      <c r="N71" s="37">
        <f t="shared" si="6"/>
        <v>6.6355619442765601</v>
      </c>
      <c r="O71" s="36">
        <f>VLOOKUP(G71,SLA標準!$A$4:$C$7,2,FALSE)</f>
        <v>240</v>
      </c>
      <c r="P71" s="37">
        <f>VLOOKUP(G71,SLA標準!$A$4:$C$7,3,FALSE)</f>
        <v>24</v>
      </c>
      <c r="Q71" s="35" t="str">
        <f t="shared" si="7"/>
        <v>逾期</v>
      </c>
      <c r="R71" s="34" t="s">
        <v>47</v>
      </c>
      <c r="S71" s="35" t="str">
        <f t="shared" si="8"/>
        <v>是</v>
      </c>
      <c r="T71" s="36">
        <f>IFERROR(VLOOKUP(A71,滿意度調查!$B$4:$D$570,3,FALSE),"")</f>
        <v>4</v>
      </c>
      <c r="U71" s="35" t="str">
        <f t="shared" si="9"/>
        <v>2026-04</v>
      </c>
      <c r="V71" s="38">
        <f>IF(J71="已結案",0,(使用說明!$B$7-B71)*24)</f>
        <v>0</v>
      </c>
    </row>
    <row r="72" spans="1:22">
      <c r="A72" s="32" t="s">
        <v>399</v>
      </c>
      <c r="B72" s="33">
        <v>46123.818055555559</v>
      </c>
      <c r="C72" s="34" t="s">
        <v>400</v>
      </c>
      <c r="D72" s="34" t="s">
        <v>225</v>
      </c>
      <c r="E72" s="34" t="s">
        <v>211</v>
      </c>
      <c r="F72" s="34" t="s">
        <v>226</v>
      </c>
      <c r="G72" s="34" t="s">
        <v>242</v>
      </c>
      <c r="H72" s="34" t="s">
        <v>214</v>
      </c>
      <c r="I72" s="35" t="str">
        <f>VLOOKUP(H72,人員與團隊!$A$4:$D$27,3,FALSE)</f>
        <v>北區服務</v>
      </c>
      <c r="J72" s="34" t="s">
        <v>356</v>
      </c>
      <c r="K72" s="33">
        <v>46123.966666666667</v>
      </c>
      <c r="L72" s="33"/>
      <c r="M72" s="36">
        <f t="shared" si="5"/>
        <v>213.99999999557622</v>
      </c>
      <c r="N72" s="37" t="str">
        <f t="shared" si="6"/>
        <v/>
      </c>
      <c r="O72" s="36">
        <f>VLOOKUP(G72,SLA標準!$A$4:$C$7,2,FALSE)</f>
        <v>240</v>
      </c>
      <c r="P72" s="37">
        <f>VLOOKUP(G72,SLA標準!$A$4:$C$7,3,FALSE)</f>
        <v>24</v>
      </c>
      <c r="Q72" s="35" t="str">
        <f t="shared" si="7"/>
        <v>逾期</v>
      </c>
      <c r="R72" s="34" t="s">
        <v>47</v>
      </c>
      <c r="S72" s="35" t="str">
        <f t="shared" si="8"/>
        <v>否</v>
      </c>
      <c r="T72" s="36" t="str">
        <f>IFERROR(VLOOKUP(A72,滿意度調查!$B$4:$D$570,3,FALSE),"")</f>
        <v/>
      </c>
      <c r="U72" s="35" t="str">
        <f t="shared" si="9"/>
        <v>2026-04</v>
      </c>
      <c r="V72" s="38">
        <f>IF(J72="已結案",0,(使用說明!$B$7-B72)*24)</f>
        <v>1933.3666666665813</v>
      </c>
    </row>
    <row r="73" spans="1:22">
      <c r="A73" s="32" t="s">
        <v>401</v>
      </c>
      <c r="B73" s="33">
        <v>46124.341666666667</v>
      </c>
      <c r="C73" s="34" t="s">
        <v>391</v>
      </c>
      <c r="D73" s="34" t="s">
        <v>218</v>
      </c>
      <c r="E73" s="34" t="s">
        <v>245</v>
      </c>
      <c r="F73" s="34" t="s">
        <v>358</v>
      </c>
      <c r="G73" s="34" t="s">
        <v>242</v>
      </c>
      <c r="H73" s="34" t="s">
        <v>222</v>
      </c>
      <c r="I73" s="35" t="str">
        <f>VLOOKUP(H73,人員與團隊!$A$4:$D$27,3,FALSE)</f>
        <v>北區服務</v>
      </c>
      <c r="J73" s="34" t="s">
        <v>215</v>
      </c>
      <c r="K73" s="33">
        <v>46124.642361111109</v>
      </c>
      <c r="L73" s="33">
        <v>46126.09218039352</v>
      </c>
      <c r="M73" s="36">
        <f t="shared" si="5"/>
        <v>432.9999999969732</v>
      </c>
      <c r="N73" s="37">
        <f t="shared" si="6"/>
        <v>42.01232944446383</v>
      </c>
      <c r="O73" s="36">
        <f>VLOOKUP(G73,SLA標準!$A$4:$C$7,2,FALSE)</f>
        <v>240</v>
      </c>
      <c r="P73" s="37">
        <f>VLOOKUP(G73,SLA標準!$A$4:$C$7,3,FALSE)</f>
        <v>24</v>
      </c>
      <c r="Q73" s="35" t="str">
        <f t="shared" si="7"/>
        <v>逾期</v>
      </c>
      <c r="R73" s="34" t="s">
        <v>47</v>
      </c>
      <c r="S73" s="35" t="str">
        <f t="shared" si="8"/>
        <v>是</v>
      </c>
      <c r="T73" s="36">
        <f>IFERROR(VLOOKUP(A73,滿意度調查!$B$4:$D$570,3,FALSE),"")</f>
        <v>3</v>
      </c>
      <c r="U73" s="35" t="str">
        <f t="shared" si="9"/>
        <v>2026-04</v>
      </c>
      <c r="V73" s="38">
        <f>IF(J73="已結案",0,(使用說明!$B$7-B73)*24)</f>
        <v>0</v>
      </c>
    </row>
    <row r="74" spans="1:22">
      <c r="A74" s="32" t="s">
        <v>402</v>
      </c>
      <c r="B74" s="33">
        <v>46124.368055555555</v>
      </c>
      <c r="C74" s="34" t="s">
        <v>403</v>
      </c>
      <c r="D74" s="34" t="s">
        <v>225</v>
      </c>
      <c r="E74" s="34" t="s">
        <v>235</v>
      </c>
      <c r="F74" s="34" t="s">
        <v>253</v>
      </c>
      <c r="G74" s="34" t="s">
        <v>242</v>
      </c>
      <c r="H74" s="34" t="s">
        <v>372</v>
      </c>
      <c r="I74" s="35" t="str">
        <f>VLOOKUP(H74,人員與團隊!$A$4:$D$27,3,FALSE)</f>
        <v>南區服務</v>
      </c>
      <c r="J74" s="34" t="s">
        <v>215</v>
      </c>
      <c r="K74" s="33">
        <v>46124.463194444441</v>
      </c>
      <c r="L74" s="33">
        <v>46124.99940414352</v>
      </c>
      <c r="M74" s="36">
        <f t="shared" si="5"/>
        <v>136.99999999604188</v>
      </c>
      <c r="N74" s="37">
        <f t="shared" si="6"/>
        <v>15.152366111171432</v>
      </c>
      <c r="O74" s="36">
        <f>VLOOKUP(G74,SLA標準!$A$4:$C$7,2,FALSE)</f>
        <v>240</v>
      </c>
      <c r="P74" s="37">
        <f>VLOOKUP(G74,SLA標準!$A$4:$C$7,3,FALSE)</f>
        <v>24</v>
      </c>
      <c r="Q74" s="35" t="str">
        <f t="shared" si="7"/>
        <v>達標</v>
      </c>
      <c r="R74" s="34" t="s">
        <v>41</v>
      </c>
      <c r="S74" s="35" t="str">
        <f t="shared" si="8"/>
        <v>否</v>
      </c>
      <c r="T74" s="36" t="str">
        <f>IFERROR(VLOOKUP(A74,滿意度調查!$B$4:$D$570,3,FALSE),"")</f>
        <v/>
      </c>
      <c r="U74" s="35" t="str">
        <f t="shared" si="9"/>
        <v>2026-04</v>
      </c>
      <c r="V74" s="38">
        <f>IF(J74="已結案",0,(使用說明!$B$7-B74)*24)</f>
        <v>0</v>
      </c>
    </row>
    <row r="75" spans="1:22">
      <c r="A75" s="32" t="s">
        <v>404</v>
      </c>
      <c r="B75" s="33">
        <v>46124.433333333334</v>
      </c>
      <c r="C75" s="34" t="s">
        <v>405</v>
      </c>
      <c r="D75" s="34" t="s">
        <v>240</v>
      </c>
      <c r="E75" s="34" t="s">
        <v>245</v>
      </c>
      <c r="F75" s="34" t="s">
        <v>246</v>
      </c>
      <c r="G75" s="34" t="s">
        <v>350</v>
      </c>
      <c r="H75" s="34" t="s">
        <v>315</v>
      </c>
      <c r="I75" s="35" t="str">
        <f>VLOOKUP(H75,人員與團隊!$A$4:$D$27,3,FALSE)</f>
        <v>北區服務</v>
      </c>
      <c r="J75" s="34" t="s">
        <v>215</v>
      </c>
      <c r="K75" s="33">
        <v>46124.467361111114</v>
      </c>
      <c r="L75" s="33">
        <v>46125.416539699072</v>
      </c>
      <c r="M75" s="36">
        <f t="shared" si="5"/>
        <v>49.000000002561137</v>
      </c>
      <c r="N75" s="37">
        <f t="shared" si="6"/>
        <v>23.596952777705155</v>
      </c>
      <c r="O75" s="36">
        <f>VLOOKUP(G75,SLA標準!$A$4:$C$7,2,FALSE)</f>
        <v>30</v>
      </c>
      <c r="P75" s="37">
        <f>VLOOKUP(G75,SLA標準!$A$4:$C$7,3,FALSE)</f>
        <v>4</v>
      </c>
      <c r="Q75" s="35" t="str">
        <f t="shared" si="7"/>
        <v>逾期</v>
      </c>
      <c r="R75" s="34" t="s">
        <v>47</v>
      </c>
      <c r="S75" s="35" t="str">
        <f t="shared" si="8"/>
        <v>是</v>
      </c>
      <c r="T75" s="36">
        <f>IFERROR(VLOOKUP(A75,滿意度調查!$B$4:$D$570,3,FALSE),"")</f>
        <v>2</v>
      </c>
      <c r="U75" s="35" t="str">
        <f t="shared" si="9"/>
        <v>2026-04</v>
      </c>
      <c r="V75" s="38">
        <f>IF(J75="已結案",0,(使用說明!$B$7-B75)*24)</f>
        <v>0</v>
      </c>
    </row>
    <row r="76" spans="1:22">
      <c r="A76" s="32" t="s">
        <v>406</v>
      </c>
      <c r="B76" s="33">
        <v>46124.506944444445</v>
      </c>
      <c r="C76" s="34" t="s">
        <v>407</v>
      </c>
      <c r="D76" s="34" t="s">
        <v>210</v>
      </c>
      <c r="E76" s="34" t="s">
        <v>230</v>
      </c>
      <c r="F76" s="34" t="s">
        <v>339</v>
      </c>
      <c r="G76" s="34" t="s">
        <v>242</v>
      </c>
      <c r="H76" s="34" t="s">
        <v>408</v>
      </c>
      <c r="I76" s="35" t="str">
        <f>VLOOKUP(H76,人員與團隊!$A$4:$D$27,3,FALSE)</f>
        <v>線上服務</v>
      </c>
      <c r="J76" s="34" t="s">
        <v>356</v>
      </c>
      <c r="K76" s="33">
        <v>46124.592361111114</v>
      </c>
      <c r="L76" s="33"/>
      <c r="M76" s="36">
        <f t="shared" si="5"/>
        <v>123.00000000279397</v>
      </c>
      <c r="N76" s="37" t="str">
        <f t="shared" si="6"/>
        <v/>
      </c>
      <c r="O76" s="36">
        <f>VLOOKUP(G76,SLA標準!$A$4:$C$7,2,FALSE)</f>
        <v>240</v>
      </c>
      <c r="P76" s="37">
        <f>VLOOKUP(G76,SLA標準!$A$4:$C$7,3,FALSE)</f>
        <v>24</v>
      </c>
      <c r="Q76" s="35" t="str">
        <f t="shared" si="7"/>
        <v>逾期</v>
      </c>
      <c r="R76" s="34" t="s">
        <v>41</v>
      </c>
      <c r="S76" s="35" t="str">
        <f t="shared" si="8"/>
        <v>否</v>
      </c>
      <c r="T76" s="36" t="str">
        <f>IFERROR(VLOOKUP(A76,滿意度調查!$B$4:$D$570,3,FALSE),"")</f>
        <v/>
      </c>
      <c r="U76" s="35" t="str">
        <f t="shared" si="9"/>
        <v>2026-04</v>
      </c>
      <c r="V76" s="38">
        <f>IF(J76="已結案",0,(使用說明!$B$7-B76)*24)</f>
        <v>1916.8333333333139</v>
      </c>
    </row>
    <row r="77" spans="1:22">
      <c r="A77" s="32" t="s">
        <v>409</v>
      </c>
      <c r="B77" s="33">
        <v>46124.611805555556</v>
      </c>
      <c r="C77" s="34" t="s">
        <v>309</v>
      </c>
      <c r="D77" s="34" t="s">
        <v>225</v>
      </c>
      <c r="E77" s="34" t="s">
        <v>265</v>
      </c>
      <c r="F77" s="34" t="s">
        <v>304</v>
      </c>
      <c r="G77" s="34" t="s">
        <v>242</v>
      </c>
      <c r="H77" s="34" t="s">
        <v>250</v>
      </c>
      <c r="I77" s="35" t="str">
        <f>VLOOKUP(H77,人員與團隊!$A$4:$D$27,3,FALSE)</f>
        <v>南區服務</v>
      </c>
      <c r="J77" s="34" t="s">
        <v>215</v>
      </c>
      <c r="K77" s="33">
        <v>46124.761805555558</v>
      </c>
      <c r="L77" s="33">
        <v>46125.091378807869</v>
      </c>
      <c r="M77" s="36">
        <f t="shared" si="5"/>
        <v>216.00000000209548</v>
      </c>
      <c r="N77" s="37">
        <f t="shared" si="6"/>
        <v>11.509758055501152</v>
      </c>
      <c r="O77" s="36">
        <f>VLOOKUP(G77,SLA標準!$A$4:$C$7,2,FALSE)</f>
        <v>240</v>
      </c>
      <c r="P77" s="37">
        <f>VLOOKUP(G77,SLA標準!$A$4:$C$7,3,FALSE)</f>
        <v>24</v>
      </c>
      <c r="Q77" s="35" t="str">
        <f t="shared" si="7"/>
        <v>達標</v>
      </c>
      <c r="R77" s="34" t="s">
        <v>47</v>
      </c>
      <c r="S77" s="35" t="str">
        <f t="shared" si="8"/>
        <v>是</v>
      </c>
      <c r="T77" s="36">
        <f>IFERROR(VLOOKUP(A77,滿意度調查!$B$4:$D$570,3,FALSE),"")</f>
        <v>4</v>
      </c>
      <c r="U77" s="35" t="str">
        <f t="shared" si="9"/>
        <v>2026-04</v>
      </c>
      <c r="V77" s="38">
        <f>IF(J77="已結案",0,(使用說明!$B$7-B77)*24)</f>
        <v>0</v>
      </c>
    </row>
    <row r="78" spans="1:22">
      <c r="A78" s="32" t="s">
        <v>410</v>
      </c>
      <c r="B78" s="33">
        <v>46124.693055555559</v>
      </c>
      <c r="C78" s="34" t="s">
        <v>411</v>
      </c>
      <c r="D78" s="34" t="s">
        <v>218</v>
      </c>
      <c r="E78" s="34" t="s">
        <v>219</v>
      </c>
      <c r="F78" s="34" t="s">
        <v>371</v>
      </c>
      <c r="G78" s="34" t="s">
        <v>221</v>
      </c>
      <c r="H78" s="34" t="s">
        <v>361</v>
      </c>
      <c r="I78" s="35" t="str">
        <f>VLOOKUP(H78,人員與團隊!$A$4:$D$27,3,FALSE)</f>
        <v>南區服務</v>
      </c>
      <c r="J78" s="34" t="s">
        <v>356</v>
      </c>
      <c r="K78" s="33">
        <v>46124.754861111112</v>
      </c>
      <c r="L78" s="33"/>
      <c r="M78" s="36">
        <f t="shared" si="5"/>
        <v>88.999999996740371</v>
      </c>
      <c r="N78" s="37" t="str">
        <f t="shared" si="6"/>
        <v/>
      </c>
      <c r="O78" s="36">
        <f>VLOOKUP(G78,SLA標準!$A$4:$C$7,2,FALSE)</f>
        <v>60</v>
      </c>
      <c r="P78" s="37">
        <f>VLOOKUP(G78,SLA標準!$A$4:$C$7,3,FALSE)</f>
        <v>8</v>
      </c>
      <c r="Q78" s="35" t="str">
        <f t="shared" si="7"/>
        <v>逾期</v>
      </c>
      <c r="R78" s="34" t="s">
        <v>41</v>
      </c>
      <c r="S78" s="35" t="str">
        <f t="shared" si="8"/>
        <v>否</v>
      </c>
      <c r="T78" s="36" t="str">
        <f>IFERROR(VLOOKUP(A78,滿意度調查!$B$4:$D$570,3,FALSE),"")</f>
        <v/>
      </c>
      <c r="U78" s="35" t="str">
        <f t="shared" si="9"/>
        <v>2026-04</v>
      </c>
      <c r="V78" s="38">
        <f>IF(J78="已結案",0,(使用說明!$B$7-B78)*24)</f>
        <v>1912.3666666665813</v>
      </c>
    </row>
    <row r="79" spans="1:22">
      <c r="A79" s="32" t="s">
        <v>412</v>
      </c>
      <c r="B79" s="33">
        <v>46124.698611111111</v>
      </c>
      <c r="C79" s="34" t="s">
        <v>413</v>
      </c>
      <c r="D79" s="34" t="s">
        <v>218</v>
      </c>
      <c r="E79" s="34" t="s">
        <v>265</v>
      </c>
      <c r="F79" s="34" t="s">
        <v>266</v>
      </c>
      <c r="G79" s="34" t="s">
        <v>242</v>
      </c>
      <c r="H79" s="34" t="s">
        <v>310</v>
      </c>
      <c r="I79" s="35" t="str">
        <f>VLOOKUP(H79,人員與團隊!$A$4:$D$27,3,FALSE)</f>
        <v>線上服務</v>
      </c>
      <c r="J79" s="34" t="s">
        <v>215</v>
      </c>
      <c r="K79" s="33">
        <v>46124.934027777781</v>
      </c>
      <c r="L79" s="33">
        <v>46125.772984282405</v>
      </c>
      <c r="M79" s="36">
        <f t="shared" si="5"/>
        <v>339.00000000488944</v>
      </c>
      <c r="N79" s="37">
        <f t="shared" si="6"/>
        <v>25.784956111048814</v>
      </c>
      <c r="O79" s="36">
        <f>VLOOKUP(G79,SLA標準!$A$4:$C$7,2,FALSE)</f>
        <v>240</v>
      </c>
      <c r="P79" s="37">
        <f>VLOOKUP(G79,SLA標準!$A$4:$C$7,3,FALSE)</f>
        <v>24</v>
      </c>
      <c r="Q79" s="35" t="str">
        <f t="shared" si="7"/>
        <v>逾期</v>
      </c>
      <c r="R79" s="34" t="s">
        <v>47</v>
      </c>
      <c r="S79" s="35" t="str">
        <f t="shared" si="8"/>
        <v>是</v>
      </c>
      <c r="T79" s="36">
        <f>IFERROR(VLOOKUP(A79,滿意度調查!$B$4:$D$570,3,FALSE),"")</f>
        <v>4</v>
      </c>
      <c r="U79" s="35" t="str">
        <f t="shared" si="9"/>
        <v>2026-04</v>
      </c>
      <c r="V79" s="38">
        <f>IF(J79="已結案",0,(使用說明!$B$7-B79)*24)</f>
        <v>0</v>
      </c>
    </row>
    <row r="80" spans="1:22">
      <c r="A80" s="32" t="s">
        <v>414</v>
      </c>
      <c r="B80" s="33">
        <v>46124.754861111112</v>
      </c>
      <c r="C80" s="34" t="s">
        <v>415</v>
      </c>
      <c r="D80" s="34" t="s">
        <v>225</v>
      </c>
      <c r="E80" s="34" t="s">
        <v>219</v>
      </c>
      <c r="F80" s="34" t="s">
        <v>220</v>
      </c>
      <c r="G80" s="34" t="s">
        <v>242</v>
      </c>
      <c r="H80" s="34" t="s">
        <v>361</v>
      </c>
      <c r="I80" s="35" t="str">
        <f>VLOOKUP(H80,人員與團隊!$A$4:$D$27,3,FALSE)</f>
        <v>南區服務</v>
      </c>
      <c r="J80" s="34" t="s">
        <v>275</v>
      </c>
      <c r="K80" s="33">
        <v>46124.868055555555</v>
      </c>
      <c r="L80" s="33"/>
      <c r="M80" s="36">
        <f t="shared" si="5"/>
        <v>162.9999999969732</v>
      </c>
      <c r="N80" s="37" t="str">
        <f t="shared" si="6"/>
        <v/>
      </c>
      <c r="O80" s="36">
        <f>VLOOKUP(G80,SLA標準!$A$4:$C$7,2,FALSE)</f>
        <v>240</v>
      </c>
      <c r="P80" s="37">
        <f>VLOOKUP(G80,SLA標準!$A$4:$C$7,3,FALSE)</f>
        <v>24</v>
      </c>
      <c r="Q80" s="35" t="str">
        <f t="shared" si="7"/>
        <v>逾期</v>
      </c>
      <c r="R80" s="34" t="s">
        <v>47</v>
      </c>
      <c r="S80" s="35" t="str">
        <f t="shared" si="8"/>
        <v>否</v>
      </c>
      <c r="T80" s="36" t="str">
        <f>IFERROR(VLOOKUP(A80,滿意度調查!$B$4:$D$570,3,FALSE),"")</f>
        <v/>
      </c>
      <c r="U80" s="35" t="str">
        <f t="shared" si="9"/>
        <v>2026-04</v>
      </c>
      <c r="V80" s="38">
        <f>IF(J80="已結案",0,(使用說明!$B$7-B80)*24)</f>
        <v>1910.8833333333023</v>
      </c>
    </row>
    <row r="81" spans="1:22">
      <c r="A81" s="32" t="s">
        <v>416</v>
      </c>
      <c r="B81" s="33">
        <v>46124.832638888889</v>
      </c>
      <c r="C81" s="34" t="s">
        <v>417</v>
      </c>
      <c r="D81" s="34" t="s">
        <v>218</v>
      </c>
      <c r="E81" s="34" t="s">
        <v>235</v>
      </c>
      <c r="F81" s="34" t="s">
        <v>253</v>
      </c>
      <c r="G81" s="34" t="s">
        <v>242</v>
      </c>
      <c r="H81" s="34" t="s">
        <v>372</v>
      </c>
      <c r="I81" s="35" t="str">
        <f>VLOOKUP(H81,人員與團隊!$A$4:$D$27,3,FALSE)</f>
        <v>南區服務</v>
      </c>
      <c r="J81" s="34" t="s">
        <v>215</v>
      </c>
      <c r="K81" s="33">
        <v>46125.084722222222</v>
      </c>
      <c r="L81" s="33">
        <v>46125.512485706022</v>
      </c>
      <c r="M81" s="36">
        <f t="shared" si="5"/>
        <v>362.99999999930151</v>
      </c>
      <c r="N81" s="37">
        <f t="shared" si="6"/>
        <v>16.316323611186817</v>
      </c>
      <c r="O81" s="36">
        <f>VLOOKUP(G81,SLA標準!$A$4:$C$7,2,FALSE)</f>
        <v>240</v>
      </c>
      <c r="P81" s="37">
        <f>VLOOKUP(G81,SLA標準!$A$4:$C$7,3,FALSE)</f>
        <v>24</v>
      </c>
      <c r="Q81" s="35" t="str">
        <f t="shared" si="7"/>
        <v>逾期</v>
      </c>
      <c r="R81" s="34" t="s">
        <v>41</v>
      </c>
      <c r="S81" s="35" t="str">
        <f t="shared" si="8"/>
        <v>是</v>
      </c>
      <c r="T81" s="36">
        <f>IFERROR(VLOOKUP(A81,滿意度調查!$B$4:$D$570,3,FALSE),"")</f>
        <v>3</v>
      </c>
      <c r="U81" s="35" t="str">
        <f t="shared" si="9"/>
        <v>2026-04</v>
      </c>
      <c r="V81" s="38">
        <f>IF(J81="已結案",0,(使用說明!$B$7-B81)*24)</f>
        <v>0</v>
      </c>
    </row>
    <row r="82" spans="1:22">
      <c r="A82" s="32" t="s">
        <v>418</v>
      </c>
      <c r="B82" s="33">
        <v>46125.334027777775</v>
      </c>
      <c r="C82" s="34" t="s">
        <v>261</v>
      </c>
      <c r="D82" s="34" t="s">
        <v>240</v>
      </c>
      <c r="E82" s="34" t="s">
        <v>211</v>
      </c>
      <c r="F82" s="34" t="s">
        <v>334</v>
      </c>
      <c r="G82" s="34" t="s">
        <v>242</v>
      </c>
      <c r="H82" s="34" t="s">
        <v>267</v>
      </c>
      <c r="I82" s="35" t="str">
        <f>VLOOKUP(H82,人員與團隊!$A$4:$D$27,3,FALSE)</f>
        <v>南區服務</v>
      </c>
      <c r="J82" s="34" t="s">
        <v>215</v>
      </c>
      <c r="K82" s="33">
        <v>46125.447222222225</v>
      </c>
      <c r="L82" s="33">
        <v>46125.474545520832</v>
      </c>
      <c r="M82" s="36">
        <f t="shared" si="5"/>
        <v>163.00000000745058</v>
      </c>
      <c r="N82" s="37">
        <f t="shared" si="6"/>
        <v>3.3724258333677426</v>
      </c>
      <c r="O82" s="36">
        <f>VLOOKUP(G82,SLA標準!$A$4:$C$7,2,FALSE)</f>
        <v>240</v>
      </c>
      <c r="P82" s="37">
        <f>VLOOKUP(G82,SLA標準!$A$4:$C$7,3,FALSE)</f>
        <v>24</v>
      </c>
      <c r="Q82" s="35" t="str">
        <f t="shared" si="7"/>
        <v>達標</v>
      </c>
      <c r="R82" s="34" t="s">
        <v>47</v>
      </c>
      <c r="S82" s="35" t="str">
        <f t="shared" si="8"/>
        <v>是</v>
      </c>
      <c r="T82" s="36">
        <f>IFERROR(VLOOKUP(A82,滿意度調查!$B$4:$D$570,3,FALSE),"")</f>
        <v>5</v>
      </c>
      <c r="U82" s="35" t="str">
        <f t="shared" si="9"/>
        <v>2026-04</v>
      </c>
      <c r="V82" s="38">
        <f>IF(J82="已結案",0,(使用說明!$B$7-B82)*24)</f>
        <v>0</v>
      </c>
    </row>
    <row r="83" spans="1:22">
      <c r="A83" s="32" t="s">
        <v>419</v>
      </c>
      <c r="B83" s="33">
        <v>46125.521527777775</v>
      </c>
      <c r="C83" s="34" t="s">
        <v>420</v>
      </c>
      <c r="D83" s="34" t="s">
        <v>210</v>
      </c>
      <c r="E83" s="34" t="s">
        <v>265</v>
      </c>
      <c r="F83" s="34" t="s">
        <v>301</v>
      </c>
      <c r="G83" s="34" t="s">
        <v>242</v>
      </c>
      <c r="H83" s="34" t="s">
        <v>372</v>
      </c>
      <c r="I83" s="35" t="str">
        <f>VLOOKUP(H83,人員與團隊!$A$4:$D$27,3,FALSE)</f>
        <v>南區服務</v>
      </c>
      <c r="J83" s="34" t="s">
        <v>215</v>
      </c>
      <c r="K83" s="33">
        <v>46125.606944444444</v>
      </c>
      <c r="L83" s="33">
        <v>46126.070090023146</v>
      </c>
      <c r="M83" s="36">
        <f t="shared" si="5"/>
        <v>123.00000000279397</v>
      </c>
      <c r="N83" s="37">
        <f t="shared" si="6"/>
        <v>13.16549388889689</v>
      </c>
      <c r="O83" s="36">
        <f>VLOOKUP(G83,SLA標準!$A$4:$C$7,2,FALSE)</f>
        <v>240</v>
      </c>
      <c r="P83" s="37">
        <f>VLOOKUP(G83,SLA標準!$A$4:$C$7,3,FALSE)</f>
        <v>24</v>
      </c>
      <c r="Q83" s="35" t="str">
        <f t="shared" si="7"/>
        <v>達標</v>
      </c>
      <c r="R83" s="34" t="s">
        <v>47</v>
      </c>
      <c r="S83" s="35" t="str">
        <f t="shared" si="8"/>
        <v>是</v>
      </c>
      <c r="T83" s="36">
        <f>IFERROR(VLOOKUP(A83,滿意度調查!$B$4:$D$570,3,FALSE),"")</f>
        <v>5</v>
      </c>
      <c r="U83" s="35" t="str">
        <f t="shared" si="9"/>
        <v>2026-04</v>
      </c>
      <c r="V83" s="38">
        <f>IF(J83="已結案",0,(使用說明!$B$7-B83)*24)</f>
        <v>0</v>
      </c>
    </row>
    <row r="84" spans="1:22">
      <c r="A84" s="32" t="s">
        <v>421</v>
      </c>
      <c r="B84" s="33">
        <v>46125.545138888891</v>
      </c>
      <c r="C84" s="34" t="s">
        <v>291</v>
      </c>
      <c r="D84" s="34" t="s">
        <v>240</v>
      </c>
      <c r="E84" s="34" t="s">
        <v>211</v>
      </c>
      <c r="F84" s="34" t="s">
        <v>334</v>
      </c>
      <c r="G84" s="34" t="s">
        <v>221</v>
      </c>
      <c r="H84" s="34" t="s">
        <v>262</v>
      </c>
      <c r="I84" s="35" t="str">
        <f>VLOOKUP(H84,人員與團隊!$A$4:$D$27,3,FALSE)</f>
        <v>南區服務</v>
      </c>
      <c r="J84" s="34" t="s">
        <v>215</v>
      </c>
      <c r="K84" s="33">
        <v>46125.586111111108</v>
      </c>
      <c r="L84" s="33">
        <v>46125.688159375</v>
      </c>
      <c r="M84" s="36">
        <f t="shared" si="5"/>
        <v>58.999999993247911</v>
      </c>
      <c r="N84" s="37">
        <f t="shared" si="6"/>
        <v>3.432491666637361</v>
      </c>
      <c r="O84" s="36">
        <f>VLOOKUP(G84,SLA標準!$A$4:$C$7,2,FALSE)</f>
        <v>60</v>
      </c>
      <c r="P84" s="37">
        <f>VLOOKUP(G84,SLA標準!$A$4:$C$7,3,FALSE)</f>
        <v>8</v>
      </c>
      <c r="Q84" s="35" t="str">
        <f t="shared" si="7"/>
        <v>達標</v>
      </c>
      <c r="R84" s="34" t="s">
        <v>47</v>
      </c>
      <c r="S84" s="35" t="str">
        <f t="shared" si="8"/>
        <v>是</v>
      </c>
      <c r="T84" s="36">
        <f>IFERROR(VLOOKUP(A84,滿意度調查!$B$4:$D$570,3,FALSE),"")</f>
        <v>5</v>
      </c>
      <c r="U84" s="35" t="str">
        <f t="shared" si="9"/>
        <v>2026-04</v>
      </c>
      <c r="V84" s="38">
        <f>IF(J84="已結案",0,(使用說明!$B$7-B84)*24)</f>
        <v>0</v>
      </c>
    </row>
    <row r="85" spans="1:22">
      <c r="A85" s="32" t="s">
        <v>422</v>
      </c>
      <c r="B85" s="33">
        <v>46125.728472222225</v>
      </c>
      <c r="C85" s="34" t="s">
        <v>423</v>
      </c>
      <c r="D85" s="34" t="s">
        <v>218</v>
      </c>
      <c r="E85" s="34" t="s">
        <v>235</v>
      </c>
      <c r="F85" s="34" t="s">
        <v>253</v>
      </c>
      <c r="G85" s="34" t="s">
        <v>242</v>
      </c>
      <c r="H85" s="34" t="s">
        <v>361</v>
      </c>
      <c r="I85" s="35" t="str">
        <f>VLOOKUP(H85,人員與團隊!$A$4:$D$27,3,FALSE)</f>
        <v>南區服務</v>
      </c>
      <c r="J85" s="34" t="s">
        <v>215</v>
      </c>
      <c r="K85" s="33">
        <v>46125.90347222222</v>
      </c>
      <c r="L85" s="33">
        <v>46125.983032199074</v>
      </c>
      <c r="M85" s="36">
        <f t="shared" si="5"/>
        <v>251.99999999371357</v>
      </c>
      <c r="N85" s="37">
        <f t="shared" si="6"/>
        <v>6.1094394443789497</v>
      </c>
      <c r="O85" s="36">
        <f>VLOOKUP(G85,SLA標準!$A$4:$C$7,2,FALSE)</f>
        <v>240</v>
      </c>
      <c r="P85" s="37">
        <f>VLOOKUP(G85,SLA標準!$A$4:$C$7,3,FALSE)</f>
        <v>24</v>
      </c>
      <c r="Q85" s="35" t="str">
        <f t="shared" si="7"/>
        <v>逾期</v>
      </c>
      <c r="R85" s="34" t="s">
        <v>47</v>
      </c>
      <c r="S85" s="35" t="str">
        <f t="shared" si="8"/>
        <v>是</v>
      </c>
      <c r="T85" s="36">
        <f>IFERROR(VLOOKUP(A85,滿意度調查!$B$4:$D$570,3,FALSE),"")</f>
        <v>3</v>
      </c>
      <c r="U85" s="35" t="str">
        <f t="shared" si="9"/>
        <v>2026-04</v>
      </c>
      <c r="V85" s="38">
        <f>IF(J85="已結案",0,(使用說明!$B$7-B85)*24)</f>
        <v>0</v>
      </c>
    </row>
    <row r="86" spans="1:22">
      <c r="A86" s="32" t="s">
        <v>424</v>
      </c>
      <c r="B86" s="33">
        <v>46125.791666666664</v>
      </c>
      <c r="C86" s="34" t="s">
        <v>425</v>
      </c>
      <c r="D86" s="34" t="s">
        <v>210</v>
      </c>
      <c r="E86" s="34" t="s">
        <v>230</v>
      </c>
      <c r="F86" s="34" t="s">
        <v>231</v>
      </c>
      <c r="G86" s="34" t="s">
        <v>221</v>
      </c>
      <c r="H86" s="34" t="s">
        <v>372</v>
      </c>
      <c r="I86" s="35" t="str">
        <f>VLOOKUP(H86,人員與團隊!$A$4:$D$27,3,FALSE)</f>
        <v>南區服務</v>
      </c>
      <c r="J86" s="34" t="s">
        <v>215</v>
      </c>
      <c r="K86" s="33">
        <v>46125.803472222222</v>
      </c>
      <c r="L86" s="33">
        <v>46126.351205185187</v>
      </c>
      <c r="M86" s="36">
        <f t="shared" si="5"/>
        <v>17.000000003026798</v>
      </c>
      <c r="N86" s="37">
        <f t="shared" si="6"/>
        <v>13.428924444539007</v>
      </c>
      <c r="O86" s="36">
        <f>VLOOKUP(G86,SLA標準!$A$4:$C$7,2,FALSE)</f>
        <v>60</v>
      </c>
      <c r="P86" s="37">
        <f>VLOOKUP(G86,SLA標準!$A$4:$C$7,3,FALSE)</f>
        <v>8</v>
      </c>
      <c r="Q86" s="35" t="str">
        <f t="shared" si="7"/>
        <v>逾期</v>
      </c>
      <c r="R86" s="34" t="s">
        <v>47</v>
      </c>
      <c r="S86" s="35" t="str">
        <f t="shared" si="8"/>
        <v>是</v>
      </c>
      <c r="T86" s="36">
        <f>IFERROR(VLOOKUP(A86,滿意度調查!$B$4:$D$570,3,FALSE),"")</f>
        <v>3</v>
      </c>
      <c r="U86" s="35" t="str">
        <f t="shared" si="9"/>
        <v>2026-04</v>
      </c>
      <c r="V86" s="38">
        <f>IF(J86="已結案",0,(使用說明!$B$7-B86)*24)</f>
        <v>0</v>
      </c>
    </row>
    <row r="87" spans="1:22">
      <c r="A87" s="32" t="s">
        <v>426</v>
      </c>
      <c r="B87" s="33">
        <v>46125.804861111108</v>
      </c>
      <c r="C87" s="34" t="s">
        <v>427</v>
      </c>
      <c r="D87" s="34" t="s">
        <v>218</v>
      </c>
      <c r="E87" s="34" t="s">
        <v>235</v>
      </c>
      <c r="F87" s="34" t="s">
        <v>236</v>
      </c>
      <c r="G87" s="34" t="s">
        <v>242</v>
      </c>
      <c r="H87" s="34" t="s">
        <v>340</v>
      </c>
      <c r="I87" s="35" t="str">
        <f>VLOOKUP(H87,人員與團隊!$A$4:$D$27,3,FALSE)</f>
        <v>北區服務</v>
      </c>
      <c r="J87" s="34" t="s">
        <v>215</v>
      </c>
      <c r="K87" s="33">
        <v>46125.949305555558</v>
      </c>
      <c r="L87" s="33">
        <v>46126.445056076387</v>
      </c>
      <c r="M87" s="36">
        <f t="shared" si="5"/>
        <v>208.00000000745058</v>
      </c>
      <c r="N87" s="37">
        <f t="shared" si="6"/>
        <v>15.364679166697897</v>
      </c>
      <c r="O87" s="36">
        <f>VLOOKUP(G87,SLA標準!$A$4:$C$7,2,FALSE)</f>
        <v>240</v>
      </c>
      <c r="P87" s="37">
        <f>VLOOKUP(G87,SLA標準!$A$4:$C$7,3,FALSE)</f>
        <v>24</v>
      </c>
      <c r="Q87" s="35" t="str">
        <f t="shared" si="7"/>
        <v>達標</v>
      </c>
      <c r="R87" s="34" t="s">
        <v>47</v>
      </c>
      <c r="S87" s="35" t="str">
        <f t="shared" si="8"/>
        <v>是</v>
      </c>
      <c r="T87" s="36">
        <f>IFERROR(VLOOKUP(A87,滿意度調查!$B$4:$D$570,3,FALSE),"")</f>
        <v>5</v>
      </c>
      <c r="U87" s="35" t="str">
        <f t="shared" si="9"/>
        <v>2026-04</v>
      </c>
      <c r="V87" s="38">
        <f>IF(J87="已結案",0,(使用說明!$B$7-B87)*24)</f>
        <v>0</v>
      </c>
    </row>
    <row r="88" spans="1:22">
      <c r="A88" s="32" t="s">
        <v>428</v>
      </c>
      <c r="B88" s="33">
        <v>46126.461805555555</v>
      </c>
      <c r="C88" s="34" t="s">
        <v>429</v>
      </c>
      <c r="D88" s="34" t="s">
        <v>240</v>
      </c>
      <c r="E88" s="34" t="s">
        <v>211</v>
      </c>
      <c r="F88" s="34" t="s">
        <v>212</v>
      </c>
      <c r="G88" s="34" t="s">
        <v>213</v>
      </c>
      <c r="H88" s="34" t="s">
        <v>262</v>
      </c>
      <c r="I88" s="35" t="str">
        <f>VLOOKUP(H88,人員與團隊!$A$4:$D$27,3,FALSE)</f>
        <v>南區服務</v>
      </c>
      <c r="J88" s="34" t="s">
        <v>215</v>
      </c>
      <c r="K88" s="33">
        <v>46126.795138888891</v>
      </c>
      <c r="L88" s="33">
        <v>46126.710073402777</v>
      </c>
      <c r="M88" s="36">
        <f t="shared" si="5"/>
        <v>480.00000000349246</v>
      </c>
      <c r="N88" s="37">
        <f t="shared" si="6"/>
        <v>5.9584283333388157</v>
      </c>
      <c r="O88" s="36">
        <f>VLOOKUP(G88,SLA標準!$A$4:$C$7,2,FALSE)</f>
        <v>480</v>
      </c>
      <c r="P88" s="37">
        <f>VLOOKUP(G88,SLA標準!$A$4:$C$7,3,FALSE)</f>
        <v>48</v>
      </c>
      <c r="Q88" s="35" t="str">
        <f t="shared" si="7"/>
        <v>逾期</v>
      </c>
      <c r="R88" s="34" t="s">
        <v>41</v>
      </c>
      <c r="S88" s="35" t="str">
        <f t="shared" si="8"/>
        <v>是</v>
      </c>
      <c r="T88" s="36">
        <f>IFERROR(VLOOKUP(A88,滿意度調查!$B$4:$D$570,3,FALSE),"")</f>
        <v>4</v>
      </c>
      <c r="U88" s="35" t="str">
        <f t="shared" si="9"/>
        <v>2026-04</v>
      </c>
      <c r="V88" s="38">
        <f>IF(J88="已結案",0,(使用說明!$B$7-B88)*24)</f>
        <v>0</v>
      </c>
    </row>
    <row r="89" spans="1:22">
      <c r="A89" s="32" t="s">
        <v>430</v>
      </c>
      <c r="B89" s="33">
        <v>46126.559027777781</v>
      </c>
      <c r="C89" s="34" t="s">
        <v>333</v>
      </c>
      <c r="D89" s="34" t="s">
        <v>210</v>
      </c>
      <c r="E89" s="34" t="s">
        <v>230</v>
      </c>
      <c r="F89" s="34" t="s">
        <v>231</v>
      </c>
      <c r="G89" s="34" t="s">
        <v>242</v>
      </c>
      <c r="H89" s="34" t="s">
        <v>372</v>
      </c>
      <c r="I89" s="35" t="str">
        <f>VLOOKUP(H89,人員與團隊!$A$4:$D$27,3,FALSE)</f>
        <v>南區服務</v>
      </c>
      <c r="J89" s="34" t="s">
        <v>215</v>
      </c>
      <c r="K89" s="33">
        <v>46126.63958333333</v>
      </c>
      <c r="L89" s="33">
        <v>46127.517211261576</v>
      </c>
      <c r="M89" s="36">
        <f t="shared" si="5"/>
        <v>115.99999999045394</v>
      </c>
      <c r="N89" s="37">
        <f t="shared" si="6"/>
        <v>22.9964036110905</v>
      </c>
      <c r="O89" s="36">
        <f>VLOOKUP(G89,SLA標準!$A$4:$C$7,2,FALSE)</f>
        <v>240</v>
      </c>
      <c r="P89" s="37">
        <f>VLOOKUP(G89,SLA標準!$A$4:$C$7,3,FALSE)</f>
        <v>24</v>
      </c>
      <c r="Q89" s="35" t="str">
        <f t="shared" si="7"/>
        <v>達標</v>
      </c>
      <c r="R89" s="34" t="s">
        <v>41</v>
      </c>
      <c r="S89" s="35" t="str">
        <f t="shared" si="8"/>
        <v>是</v>
      </c>
      <c r="T89" s="36">
        <f>IFERROR(VLOOKUP(A89,滿意度調查!$B$4:$D$570,3,FALSE),"")</f>
        <v>4</v>
      </c>
      <c r="U89" s="35" t="str">
        <f t="shared" si="9"/>
        <v>2026-04</v>
      </c>
      <c r="V89" s="38">
        <f>IF(J89="已結案",0,(使用說明!$B$7-B89)*24)</f>
        <v>0</v>
      </c>
    </row>
    <row r="90" spans="1:22">
      <c r="A90" s="32" t="s">
        <v>431</v>
      </c>
      <c r="B90" s="33">
        <v>46126.561111111114</v>
      </c>
      <c r="C90" s="34" t="s">
        <v>432</v>
      </c>
      <c r="D90" s="34" t="s">
        <v>225</v>
      </c>
      <c r="E90" s="34" t="s">
        <v>245</v>
      </c>
      <c r="F90" s="34" t="s">
        <v>278</v>
      </c>
      <c r="G90" s="34" t="s">
        <v>242</v>
      </c>
      <c r="H90" s="34" t="s">
        <v>267</v>
      </c>
      <c r="I90" s="35" t="str">
        <f>VLOOKUP(H90,人員與團隊!$A$4:$D$27,3,FALSE)</f>
        <v>南區服務</v>
      </c>
      <c r="J90" s="34" t="s">
        <v>215</v>
      </c>
      <c r="K90" s="33">
        <v>46126.617361111108</v>
      </c>
      <c r="L90" s="33">
        <v>46127.456273680553</v>
      </c>
      <c r="M90" s="36">
        <f t="shared" si="5"/>
        <v>80.999999991618097</v>
      </c>
      <c r="N90" s="37">
        <f t="shared" si="6"/>
        <v>21.48390166653553</v>
      </c>
      <c r="O90" s="36">
        <f>VLOOKUP(G90,SLA標準!$A$4:$C$7,2,FALSE)</f>
        <v>240</v>
      </c>
      <c r="P90" s="37">
        <f>VLOOKUP(G90,SLA標準!$A$4:$C$7,3,FALSE)</f>
        <v>24</v>
      </c>
      <c r="Q90" s="35" t="str">
        <f t="shared" si="7"/>
        <v>達標</v>
      </c>
      <c r="R90" s="34" t="s">
        <v>41</v>
      </c>
      <c r="S90" s="35" t="str">
        <f t="shared" si="8"/>
        <v>是</v>
      </c>
      <c r="T90" s="36">
        <f>IFERROR(VLOOKUP(A90,滿意度調查!$B$4:$D$570,3,FALSE),"")</f>
        <v>4</v>
      </c>
      <c r="U90" s="35" t="str">
        <f t="shared" si="9"/>
        <v>2026-04</v>
      </c>
      <c r="V90" s="38">
        <f>IF(J90="已結案",0,(使用說明!$B$7-B90)*24)</f>
        <v>0</v>
      </c>
    </row>
    <row r="91" spans="1:22">
      <c r="A91" s="32" t="s">
        <v>433</v>
      </c>
      <c r="B91" s="33">
        <v>46126.609027777777</v>
      </c>
      <c r="C91" s="34" t="s">
        <v>434</v>
      </c>
      <c r="D91" s="34" t="s">
        <v>210</v>
      </c>
      <c r="E91" s="34" t="s">
        <v>230</v>
      </c>
      <c r="F91" s="34" t="s">
        <v>320</v>
      </c>
      <c r="G91" s="34" t="s">
        <v>242</v>
      </c>
      <c r="H91" s="34" t="s">
        <v>381</v>
      </c>
      <c r="I91" s="35" t="str">
        <f>VLOOKUP(H91,人員與團隊!$A$4:$D$27,3,FALSE)</f>
        <v>線上服務</v>
      </c>
      <c r="J91" s="34" t="s">
        <v>215</v>
      </c>
      <c r="K91" s="33">
        <v>46126.679166666669</v>
      </c>
      <c r="L91" s="33">
        <v>46127.640722430559</v>
      </c>
      <c r="M91" s="36">
        <f t="shared" si="5"/>
        <v>101.00000000442378</v>
      </c>
      <c r="N91" s="37">
        <f t="shared" si="6"/>
        <v>24.76067166676512</v>
      </c>
      <c r="O91" s="36">
        <f>VLOOKUP(G91,SLA標準!$A$4:$C$7,2,FALSE)</f>
        <v>240</v>
      </c>
      <c r="P91" s="37">
        <f>VLOOKUP(G91,SLA標準!$A$4:$C$7,3,FALSE)</f>
        <v>24</v>
      </c>
      <c r="Q91" s="35" t="str">
        <f t="shared" si="7"/>
        <v>逾期</v>
      </c>
      <c r="R91" s="34" t="s">
        <v>47</v>
      </c>
      <c r="S91" s="35" t="str">
        <f t="shared" si="8"/>
        <v>否</v>
      </c>
      <c r="T91" s="36" t="str">
        <f>IFERROR(VLOOKUP(A91,滿意度調查!$B$4:$D$570,3,FALSE),"")</f>
        <v/>
      </c>
      <c r="U91" s="35" t="str">
        <f t="shared" si="9"/>
        <v>2026-04</v>
      </c>
      <c r="V91" s="38">
        <f>IF(J91="已結案",0,(使用說明!$B$7-B91)*24)</f>
        <v>0</v>
      </c>
    </row>
    <row r="92" spans="1:22">
      <c r="A92" s="32" t="s">
        <v>435</v>
      </c>
      <c r="B92" s="33">
        <v>46126.850694444445</v>
      </c>
      <c r="C92" s="34" t="s">
        <v>436</v>
      </c>
      <c r="D92" s="34" t="s">
        <v>210</v>
      </c>
      <c r="E92" s="34" t="s">
        <v>230</v>
      </c>
      <c r="F92" s="34" t="s">
        <v>272</v>
      </c>
      <c r="G92" s="34" t="s">
        <v>213</v>
      </c>
      <c r="H92" s="34" t="s">
        <v>384</v>
      </c>
      <c r="I92" s="35" t="str">
        <f>VLOOKUP(H92,人員與團隊!$A$4:$D$27,3,FALSE)</f>
        <v>線上服務</v>
      </c>
      <c r="J92" s="34" t="s">
        <v>215</v>
      </c>
      <c r="K92" s="33">
        <v>46127.019444444442</v>
      </c>
      <c r="L92" s="33">
        <v>46127.411067800924</v>
      </c>
      <c r="M92" s="36">
        <f t="shared" si="5"/>
        <v>242.99999999580905</v>
      </c>
      <c r="N92" s="37">
        <f t="shared" si="6"/>
        <v>13.448960555484518</v>
      </c>
      <c r="O92" s="36">
        <f>VLOOKUP(G92,SLA標準!$A$4:$C$7,2,FALSE)</f>
        <v>480</v>
      </c>
      <c r="P92" s="37">
        <f>VLOOKUP(G92,SLA標準!$A$4:$C$7,3,FALSE)</f>
        <v>48</v>
      </c>
      <c r="Q92" s="35" t="str">
        <f t="shared" si="7"/>
        <v>達標</v>
      </c>
      <c r="R92" s="34" t="s">
        <v>47</v>
      </c>
      <c r="S92" s="35" t="str">
        <f t="shared" si="8"/>
        <v>是</v>
      </c>
      <c r="T92" s="36">
        <f>IFERROR(VLOOKUP(A92,滿意度調查!$B$4:$D$570,3,FALSE),"")</f>
        <v>4</v>
      </c>
      <c r="U92" s="35" t="str">
        <f t="shared" si="9"/>
        <v>2026-04</v>
      </c>
      <c r="V92" s="38">
        <f>IF(J92="已結案",0,(使用說明!$B$7-B92)*24)</f>
        <v>0</v>
      </c>
    </row>
    <row r="93" spans="1:22">
      <c r="A93" s="32" t="s">
        <v>437</v>
      </c>
      <c r="B93" s="33">
        <v>46127.34652777778</v>
      </c>
      <c r="C93" s="34" t="s">
        <v>438</v>
      </c>
      <c r="D93" s="34" t="s">
        <v>225</v>
      </c>
      <c r="E93" s="34" t="s">
        <v>230</v>
      </c>
      <c r="F93" s="34" t="s">
        <v>272</v>
      </c>
      <c r="G93" s="34" t="s">
        <v>242</v>
      </c>
      <c r="H93" s="34" t="s">
        <v>361</v>
      </c>
      <c r="I93" s="35" t="str">
        <f>VLOOKUP(H93,人員與團隊!$A$4:$D$27,3,FALSE)</f>
        <v>南區服務</v>
      </c>
      <c r="J93" s="34" t="s">
        <v>215</v>
      </c>
      <c r="K93" s="33">
        <v>46127.441666666666</v>
      </c>
      <c r="L93" s="33">
        <v>46128.080977858794</v>
      </c>
      <c r="M93" s="36">
        <f t="shared" si="5"/>
        <v>136.99999999604188</v>
      </c>
      <c r="N93" s="37">
        <f t="shared" si="6"/>
        <v>17.626801944337785</v>
      </c>
      <c r="O93" s="36">
        <f>VLOOKUP(G93,SLA標準!$A$4:$C$7,2,FALSE)</f>
        <v>240</v>
      </c>
      <c r="P93" s="37">
        <f>VLOOKUP(G93,SLA標準!$A$4:$C$7,3,FALSE)</f>
        <v>24</v>
      </c>
      <c r="Q93" s="35" t="str">
        <f t="shared" si="7"/>
        <v>達標</v>
      </c>
      <c r="R93" s="34" t="s">
        <v>47</v>
      </c>
      <c r="S93" s="35" t="str">
        <f t="shared" si="8"/>
        <v>是</v>
      </c>
      <c r="T93" s="36">
        <f>IFERROR(VLOOKUP(A93,滿意度調查!$B$4:$D$570,3,FALSE),"")</f>
        <v>4</v>
      </c>
      <c r="U93" s="35" t="str">
        <f t="shared" si="9"/>
        <v>2026-04</v>
      </c>
      <c r="V93" s="38">
        <f>IF(J93="已結案",0,(使用說明!$B$7-B93)*24)</f>
        <v>0</v>
      </c>
    </row>
    <row r="94" spans="1:22">
      <c r="A94" s="32" t="s">
        <v>439</v>
      </c>
      <c r="B94" s="33">
        <v>46127.416666666664</v>
      </c>
      <c r="C94" s="34" t="s">
        <v>261</v>
      </c>
      <c r="D94" s="34" t="s">
        <v>218</v>
      </c>
      <c r="E94" s="34" t="s">
        <v>235</v>
      </c>
      <c r="F94" s="34" t="s">
        <v>241</v>
      </c>
      <c r="G94" s="34" t="s">
        <v>213</v>
      </c>
      <c r="H94" s="34" t="s">
        <v>237</v>
      </c>
      <c r="I94" s="35" t="str">
        <f>VLOOKUP(H94,人員與團隊!$A$4:$D$27,3,FALSE)</f>
        <v>北區服務</v>
      </c>
      <c r="J94" s="34" t="s">
        <v>215</v>
      </c>
      <c r="K94" s="33">
        <v>46127.65902777778</v>
      </c>
      <c r="L94" s="33">
        <v>46127.825672962965</v>
      </c>
      <c r="M94" s="36">
        <f t="shared" si="5"/>
        <v>349.0000000060536</v>
      </c>
      <c r="N94" s="37">
        <f t="shared" si="6"/>
        <v>9.8161511112120934</v>
      </c>
      <c r="O94" s="36">
        <f>VLOOKUP(G94,SLA標準!$A$4:$C$7,2,FALSE)</f>
        <v>480</v>
      </c>
      <c r="P94" s="37">
        <f>VLOOKUP(G94,SLA標準!$A$4:$C$7,3,FALSE)</f>
        <v>48</v>
      </c>
      <c r="Q94" s="35" t="str">
        <f t="shared" si="7"/>
        <v>達標</v>
      </c>
      <c r="R94" s="34" t="s">
        <v>41</v>
      </c>
      <c r="S94" s="35" t="str">
        <f t="shared" si="8"/>
        <v>是</v>
      </c>
      <c r="T94" s="36">
        <f>IFERROR(VLOOKUP(A94,滿意度調查!$B$4:$D$570,3,FALSE),"")</f>
        <v>4</v>
      </c>
      <c r="U94" s="35" t="str">
        <f t="shared" si="9"/>
        <v>2026-04</v>
      </c>
      <c r="V94" s="38">
        <f>IF(J94="已結案",0,(使用說明!$B$7-B94)*24)</f>
        <v>0</v>
      </c>
    </row>
    <row r="95" spans="1:22">
      <c r="A95" s="32" t="s">
        <v>440</v>
      </c>
      <c r="B95" s="33">
        <v>46127.438194444447</v>
      </c>
      <c r="C95" s="34" t="s">
        <v>441</v>
      </c>
      <c r="D95" s="34" t="s">
        <v>225</v>
      </c>
      <c r="E95" s="34" t="s">
        <v>230</v>
      </c>
      <c r="F95" s="34" t="s">
        <v>272</v>
      </c>
      <c r="G95" s="34" t="s">
        <v>213</v>
      </c>
      <c r="H95" s="34" t="s">
        <v>381</v>
      </c>
      <c r="I95" s="35" t="str">
        <f>VLOOKUP(H95,人員與團隊!$A$4:$D$27,3,FALSE)</f>
        <v>線上服務</v>
      </c>
      <c r="J95" s="34" t="s">
        <v>215</v>
      </c>
      <c r="K95" s="33">
        <v>46127.648611111108</v>
      </c>
      <c r="L95" s="33">
        <v>46128.400477326388</v>
      </c>
      <c r="M95" s="36">
        <f t="shared" si="5"/>
        <v>302.99999999231659</v>
      </c>
      <c r="N95" s="37">
        <f t="shared" si="6"/>
        <v>23.094789166585542</v>
      </c>
      <c r="O95" s="36">
        <f>VLOOKUP(G95,SLA標準!$A$4:$C$7,2,FALSE)</f>
        <v>480</v>
      </c>
      <c r="P95" s="37">
        <f>VLOOKUP(G95,SLA標準!$A$4:$C$7,3,FALSE)</f>
        <v>48</v>
      </c>
      <c r="Q95" s="35" t="str">
        <f t="shared" si="7"/>
        <v>達標</v>
      </c>
      <c r="R95" s="34" t="s">
        <v>47</v>
      </c>
      <c r="S95" s="35" t="str">
        <f t="shared" si="8"/>
        <v>否</v>
      </c>
      <c r="T95" s="36" t="str">
        <f>IFERROR(VLOOKUP(A95,滿意度調查!$B$4:$D$570,3,FALSE),"")</f>
        <v/>
      </c>
      <c r="U95" s="35" t="str">
        <f t="shared" si="9"/>
        <v>2026-04</v>
      </c>
      <c r="V95" s="38">
        <f>IF(J95="已結案",0,(使用說明!$B$7-B95)*24)</f>
        <v>0</v>
      </c>
    </row>
    <row r="96" spans="1:22">
      <c r="A96" s="32" t="s">
        <v>442</v>
      </c>
      <c r="B96" s="33">
        <v>46127.45208333333</v>
      </c>
      <c r="C96" s="34" t="s">
        <v>443</v>
      </c>
      <c r="D96" s="34" t="s">
        <v>225</v>
      </c>
      <c r="E96" s="34" t="s">
        <v>211</v>
      </c>
      <c r="F96" s="34" t="s">
        <v>334</v>
      </c>
      <c r="G96" s="34" t="s">
        <v>242</v>
      </c>
      <c r="H96" s="34" t="s">
        <v>250</v>
      </c>
      <c r="I96" s="35" t="str">
        <f>VLOOKUP(H96,人員與團隊!$A$4:$D$27,3,FALSE)</f>
        <v>南區服務</v>
      </c>
      <c r="J96" s="34" t="s">
        <v>215</v>
      </c>
      <c r="K96" s="33">
        <v>46127.508333333331</v>
      </c>
      <c r="L96" s="33">
        <v>46127.605572835651</v>
      </c>
      <c r="M96" s="36">
        <f t="shared" si="5"/>
        <v>81.000000002095476</v>
      </c>
      <c r="N96" s="37">
        <f t="shared" si="6"/>
        <v>3.6837480557151139</v>
      </c>
      <c r="O96" s="36">
        <f>VLOOKUP(G96,SLA標準!$A$4:$C$7,2,FALSE)</f>
        <v>240</v>
      </c>
      <c r="P96" s="37">
        <f>VLOOKUP(G96,SLA標準!$A$4:$C$7,3,FALSE)</f>
        <v>24</v>
      </c>
      <c r="Q96" s="35" t="str">
        <f t="shared" si="7"/>
        <v>達標</v>
      </c>
      <c r="R96" s="34" t="s">
        <v>47</v>
      </c>
      <c r="S96" s="35" t="str">
        <f t="shared" si="8"/>
        <v>是</v>
      </c>
      <c r="T96" s="36">
        <f>IFERROR(VLOOKUP(A96,滿意度調查!$B$4:$D$570,3,FALSE),"")</f>
        <v>4</v>
      </c>
      <c r="U96" s="35" t="str">
        <f t="shared" si="9"/>
        <v>2026-04</v>
      </c>
      <c r="V96" s="38">
        <f>IF(J96="已結案",0,(使用說明!$B$7-B96)*24)</f>
        <v>0</v>
      </c>
    </row>
    <row r="97" spans="1:22">
      <c r="A97" s="32" t="s">
        <v>444</v>
      </c>
      <c r="B97" s="33">
        <v>46127.470138888886</v>
      </c>
      <c r="C97" s="34" t="s">
        <v>445</v>
      </c>
      <c r="D97" s="34" t="s">
        <v>225</v>
      </c>
      <c r="E97" s="34" t="s">
        <v>235</v>
      </c>
      <c r="F97" s="34" t="s">
        <v>241</v>
      </c>
      <c r="G97" s="34" t="s">
        <v>242</v>
      </c>
      <c r="H97" s="34" t="s">
        <v>227</v>
      </c>
      <c r="I97" s="35" t="str">
        <f>VLOOKUP(H97,人員與團隊!$A$4:$D$27,3,FALSE)</f>
        <v>北區服務</v>
      </c>
      <c r="J97" s="34" t="s">
        <v>215</v>
      </c>
      <c r="K97" s="33">
        <v>46127.588888888888</v>
      </c>
      <c r="L97" s="33">
        <v>46127.999836817129</v>
      </c>
      <c r="M97" s="36">
        <f t="shared" si="5"/>
        <v>171.00000000209548</v>
      </c>
      <c r="N97" s="37">
        <f t="shared" si="6"/>
        <v>12.712750277831219</v>
      </c>
      <c r="O97" s="36">
        <f>VLOOKUP(G97,SLA標準!$A$4:$C$7,2,FALSE)</f>
        <v>240</v>
      </c>
      <c r="P97" s="37">
        <f>VLOOKUP(G97,SLA標準!$A$4:$C$7,3,FALSE)</f>
        <v>24</v>
      </c>
      <c r="Q97" s="35" t="str">
        <f t="shared" si="7"/>
        <v>達標</v>
      </c>
      <c r="R97" s="34" t="s">
        <v>41</v>
      </c>
      <c r="S97" s="35" t="str">
        <f t="shared" si="8"/>
        <v>是</v>
      </c>
      <c r="T97" s="36">
        <f>IFERROR(VLOOKUP(A97,滿意度調查!$B$4:$D$570,3,FALSE),"")</f>
        <v>4</v>
      </c>
      <c r="U97" s="35" t="str">
        <f t="shared" si="9"/>
        <v>2026-04</v>
      </c>
      <c r="V97" s="38">
        <f>IF(J97="已結案",0,(使用說明!$B$7-B97)*24)</f>
        <v>0</v>
      </c>
    </row>
    <row r="98" spans="1:22">
      <c r="A98" s="32" t="s">
        <v>446</v>
      </c>
      <c r="B98" s="33">
        <v>46127.48333333333</v>
      </c>
      <c r="C98" s="34" t="s">
        <v>447</v>
      </c>
      <c r="D98" s="34" t="s">
        <v>225</v>
      </c>
      <c r="E98" s="34" t="s">
        <v>219</v>
      </c>
      <c r="F98" s="34" t="s">
        <v>249</v>
      </c>
      <c r="G98" s="34" t="s">
        <v>242</v>
      </c>
      <c r="H98" s="34" t="s">
        <v>274</v>
      </c>
      <c r="I98" s="35" t="str">
        <f>VLOOKUP(H98,人員與團隊!$A$4:$D$27,3,FALSE)</f>
        <v>南區服務</v>
      </c>
      <c r="J98" s="34" t="s">
        <v>215</v>
      </c>
      <c r="K98" s="33">
        <v>46127.556944444441</v>
      </c>
      <c r="L98" s="33">
        <v>46128.385856030094</v>
      </c>
      <c r="M98" s="36">
        <f t="shared" si="5"/>
        <v>105.99999999976717</v>
      </c>
      <c r="N98" s="37">
        <f t="shared" si="6"/>
        <v>21.660544722341001</v>
      </c>
      <c r="O98" s="36">
        <f>VLOOKUP(G98,SLA標準!$A$4:$C$7,2,FALSE)</f>
        <v>240</v>
      </c>
      <c r="P98" s="37">
        <f>VLOOKUP(G98,SLA標準!$A$4:$C$7,3,FALSE)</f>
        <v>24</v>
      </c>
      <c r="Q98" s="35" t="str">
        <f t="shared" si="7"/>
        <v>達標</v>
      </c>
      <c r="R98" s="34" t="s">
        <v>47</v>
      </c>
      <c r="S98" s="35" t="str">
        <f t="shared" si="8"/>
        <v>是</v>
      </c>
      <c r="T98" s="36">
        <f>IFERROR(VLOOKUP(A98,滿意度調查!$B$4:$D$570,3,FALSE),"")</f>
        <v>5</v>
      </c>
      <c r="U98" s="35" t="str">
        <f t="shared" si="9"/>
        <v>2026-04</v>
      </c>
      <c r="V98" s="38">
        <f>IF(J98="已結案",0,(使用說明!$B$7-B98)*24)</f>
        <v>0</v>
      </c>
    </row>
    <row r="99" spans="1:22">
      <c r="A99" s="32" t="s">
        <v>448</v>
      </c>
      <c r="B99" s="33">
        <v>46127.487500000003</v>
      </c>
      <c r="C99" s="34" t="s">
        <v>449</v>
      </c>
      <c r="D99" s="34" t="s">
        <v>210</v>
      </c>
      <c r="E99" s="34" t="s">
        <v>245</v>
      </c>
      <c r="F99" s="34" t="s">
        <v>282</v>
      </c>
      <c r="G99" s="34" t="s">
        <v>242</v>
      </c>
      <c r="H99" s="34" t="s">
        <v>279</v>
      </c>
      <c r="I99" s="35" t="str">
        <f>VLOOKUP(H99,人員與團隊!$A$4:$D$27,3,FALSE)</f>
        <v>南區服務</v>
      </c>
      <c r="J99" s="34" t="s">
        <v>215</v>
      </c>
      <c r="K99" s="33">
        <v>46127.51458333333</v>
      </c>
      <c r="L99" s="33">
        <v>46128.566150763887</v>
      </c>
      <c r="M99" s="36">
        <f t="shared" si="5"/>
        <v>38.999999990919605</v>
      </c>
      <c r="N99" s="37">
        <f t="shared" si="6"/>
        <v>25.887618333217688</v>
      </c>
      <c r="O99" s="36">
        <f>VLOOKUP(G99,SLA標準!$A$4:$C$7,2,FALSE)</f>
        <v>240</v>
      </c>
      <c r="P99" s="37">
        <f>VLOOKUP(G99,SLA標準!$A$4:$C$7,3,FALSE)</f>
        <v>24</v>
      </c>
      <c r="Q99" s="35" t="str">
        <f t="shared" si="7"/>
        <v>逾期</v>
      </c>
      <c r="R99" s="34" t="s">
        <v>41</v>
      </c>
      <c r="S99" s="35" t="str">
        <f t="shared" si="8"/>
        <v>是</v>
      </c>
      <c r="T99" s="36">
        <f>IFERROR(VLOOKUP(A99,滿意度調查!$B$4:$D$570,3,FALSE),"")</f>
        <v>3</v>
      </c>
      <c r="U99" s="35" t="str">
        <f t="shared" si="9"/>
        <v>2026-04</v>
      </c>
      <c r="V99" s="38">
        <f>IF(J99="已結案",0,(使用說明!$B$7-B99)*24)</f>
        <v>0</v>
      </c>
    </row>
    <row r="100" spans="1:22">
      <c r="A100" s="32" t="s">
        <v>450</v>
      </c>
      <c r="B100" s="33">
        <v>46127.56527777778</v>
      </c>
      <c r="C100" s="34" t="s">
        <v>438</v>
      </c>
      <c r="D100" s="34" t="s">
        <v>210</v>
      </c>
      <c r="E100" s="34" t="s">
        <v>211</v>
      </c>
      <c r="F100" s="34" t="s">
        <v>331</v>
      </c>
      <c r="G100" s="34" t="s">
        <v>242</v>
      </c>
      <c r="H100" s="34" t="s">
        <v>408</v>
      </c>
      <c r="I100" s="35" t="str">
        <f>VLOOKUP(H100,人員與團隊!$A$4:$D$27,3,FALSE)</f>
        <v>線上服務</v>
      </c>
      <c r="J100" s="34" t="s">
        <v>215</v>
      </c>
      <c r="K100" s="33">
        <v>46127.636111111111</v>
      </c>
      <c r="L100" s="33">
        <v>46127.791437060187</v>
      </c>
      <c r="M100" s="36">
        <f t="shared" si="5"/>
        <v>101.99999999720603</v>
      </c>
      <c r="N100" s="37">
        <f t="shared" si="6"/>
        <v>5.427822777768597</v>
      </c>
      <c r="O100" s="36">
        <f>VLOOKUP(G100,SLA標準!$A$4:$C$7,2,FALSE)</f>
        <v>240</v>
      </c>
      <c r="P100" s="37">
        <f>VLOOKUP(G100,SLA標準!$A$4:$C$7,3,FALSE)</f>
        <v>24</v>
      </c>
      <c r="Q100" s="35" t="str">
        <f t="shared" si="7"/>
        <v>達標</v>
      </c>
      <c r="R100" s="34" t="s">
        <v>41</v>
      </c>
      <c r="S100" s="35" t="str">
        <f t="shared" si="8"/>
        <v>是</v>
      </c>
      <c r="T100" s="36">
        <f>IFERROR(VLOOKUP(A100,滿意度調查!$B$4:$D$570,3,FALSE),"")</f>
        <v>4</v>
      </c>
      <c r="U100" s="35" t="str">
        <f t="shared" si="9"/>
        <v>2026-04</v>
      </c>
      <c r="V100" s="38">
        <f>IF(J100="已結案",0,(使用說明!$B$7-B100)*24)</f>
        <v>0</v>
      </c>
    </row>
    <row r="101" spans="1:22">
      <c r="A101" s="32" t="s">
        <v>451</v>
      </c>
      <c r="B101" s="33">
        <v>46127.624305555553</v>
      </c>
      <c r="C101" s="34" t="s">
        <v>229</v>
      </c>
      <c r="D101" s="34" t="s">
        <v>225</v>
      </c>
      <c r="E101" s="34" t="s">
        <v>245</v>
      </c>
      <c r="F101" s="34" t="s">
        <v>358</v>
      </c>
      <c r="G101" s="34" t="s">
        <v>221</v>
      </c>
      <c r="H101" s="34" t="s">
        <v>279</v>
      </c>
      <c r="I101" s="35" t="str">
        <f>VLOOKUP(H101,人員與團隊!$A$4:$D$27,3,FALSE)</f>
        <v>南區服務</v>
      </c>
      <c r="J101" s="34" t="s">
        <v>356</v>
      </c>
      <c r="K101" s="33">
        <v>46127.65</v>
      </c>
      <c r="L101" s="33"/>
      <c r="M101" s="36">
        <f t="shared" si="5"/>
        <v>37.000000005355105</v>
      </c>
      <c r="N101" s="37" t="str">
        <f t="shared" si="6"/>
        <v/>
      </c>
      <c r="O101" s="36">
        <f>VLOOKUP(G101,SLA標準!$A$4:$C$7,2,FALSE)</f>
        <v>60</v>
      </c>
      <c r="P101" s="37">
        <f>VLOOKUP(G101,SLA標準!$A$4:$C$7,3,FALSE)</f>
        <v>8</v>
      </c>
      <c r="Q101" s="35" t="str">
        <f t="shared" si="7"/>
        <v>逾期</v>
      </c>
      <c r="R101" s="34" t="s">
        <v>47</v>
      </c>
      <c r="S101" s="35" t="str">
        <f t="shared" si="8"/>
        <v>否</v>
      </c>
      <c r="T101" s="36" t="str">
        <f>IFERROR(VLOOKUP(A101,滿意度調查!$B$4:$D$570,3,FALSE),"")</f>
        <v/>
      </c>
      <c r="U101" s="35" t="str">
        <f t="shared" si="9"/>
        <v>2026-04</v>
      </c>
      <c r="V101" s="38">
        <f>IF(J101="已結案",0,(使用說明!$B$7-B101)*24)</f>
        <v>1842.016666666721</v>
      </c>
    </row>
    <row r="102" spans="1:22">
      <c r="A102" s="32" t="s">
        <v>452</v>
      </c>
      <c r="B102" s="33">
        <v>46127.647916666669</v>
      </c>
      <c r="C102" s="34" t="s">
        <v>453</v>
      </c>
      <c r="D102" s="34" t="s">
        <v>240</v>
      </c>
      <c r="E102" s="34" t="s">
        <v>211</v>
      </c>
      <c r="F102" s="34" t="s">
        <v>334</v>
      </c>
      <c r="G102" s="34" t="s">
        <v>221</v>
      </c>
      <c r="H102" s="34" t="s">
        <v>361</v>
      </c>
      <c r="I102" s="35" t="str">
        <f>VLOOKUP(H102,人員與團隊!$A$4:$D$27,3,FALSE)</f>
        <v>南區服務</v>
      </c>
      <c r="J102" s="34" t="s">
        <v>356</v>
      </c>
      <c r="K102" s="33">
        <v>46127.675000000003</v>
      </c>
      <c r="L102" s="33"/>
      <c r="M102" s="36">
        <f t="shared" si="5"/>
        <v>39.000000001396984</v>
      </c>
      <c r="N102" s="37" t="str">
        <f t="shared" si="6"/>
        <v/>
      </c>
      <c r="O102" s="36">
        <f>VLOOKUP(G102,SLA標準!$A$4:$C$7,2,FALSE)</f>
        <v>60</v>
      </c>
      <c r="P102" s="37">
        <f>VLOOKUP(G102,SLA標準!$A$4:$C$7,3,FALSE)</f>
        <v>8</v>
      </c>
      <c r="Q102" s="35" t="str">
        <f t="shared" si="7"/>
        <v>逾期</v>
      </c>
      <c r="R102" s="34" t="s">
        <v>47</v>
      </c>
      <c r="S102" s="35" t="str">
        <f t="shared" si="8"/>
        <v>否</v>
      </c>
      <c r="T102" s="36" t="str">
        <f>IFERROR(VLOOKUP(A102,滿意度調查!$B$4:$D$570,3,FALSE),"")</f>
        <v/>
      </c>
      <c r="U102" s="35" t="str">
        <f t="shared" si="9"/>
        <v>2026-04</v>
      </c>
      <c r="V102" s="38">
        <f>IF(J102="已結案",0,(使用說明!$B$7-B102)*24)</f>
        <v>1841.4499999999534</v>
      </c>
    </row>
    <row r="103" spans="1:22">
      <c r="A103" s="32" t="s">
        <v>454</v>
      </c>
      <c r="B103" s="33">
        <v>46127.668749999997</v>
      </c>
      <c r="C103" s="34" t="s">
        <v>344</v>
      </c>
      <c r="D103" s="34" t="s">
        <v>210</v>
      </c>
      <c r="E103" s="34" t="s">
        <v>265</v>
      </c>
      <c r="F103" s="34" t="s">
        <v>301</v>
      </c>
      <c r="G103" s="34" t="s">
        <v>242</v>
      </c>
      <c r="H103" s="34" t="s">
        <v>279</v>
      </c>
      <c r="I103" s="35" t="str">
        <f>VLOOKUP(H103,人員與團隊!$A$4:$D$27,3,FALSE)</f>
        <v>南區服務</v>
      </c>
      <c r="J103" s="34" t="s">
        <v>215</v>
      </c>
      <c r="K103" s="33">
        <v>46127.736805555556</v>
      </c>
      <c r="L103" s="33">
        <v>46128.072754884262</v>
      </c>
      <c r="M103" s="36">
        <f t="shared" si="5"/>
        <v>98.000000005122274</v>
      </c>
      <c r="N103" s="37">
        <f t="shared" si="6"/>
        <v>9.6961172223673202</v>
      </c>
      <c r="O103" s="36">
        <f>VLOOKUP(G103,SLA標準!$A$4:$C$7,2,FALSE)</f>
        <v>240</v>
      </c>
      <c r="P103" s="37">
        <f>VLOOKUP(G103,SLA標準!$A$4:$C$7,3,FALSE)</f>
        <v>24</v>
      </c>
      <c r="Q103" s="35" t="str">
        <f t="shared" si="7"/>
        <v>達標</v>
      </c>
      <c r="R103" s="34" t="s">
        <v>41</v>
      </c>
      <c r="S103" s="35" t="str">
        <f t="shared" si="8"/>
        <v>否</v>
      </c>
      <c r="T103" s="36" t="str">
        <f>IFERROR(VLOOKUP(A103,滿意度調查!$B$4:$D$570,3,FALSE),"")</f>
        <v/>
      </c>
      <c r="U103" s="35" t="str">
        <f t="shared" si="9"/>
        <v>2026-04</v>
      </c>
      <c r="V103" s="38">
        <f>IF(J103="已結案",0,(使用說明!$B$7-B103)*24)</f>
        <v>0</v>
      </c>
    </row>
    <row r="104" spans="1:22">
      <c r="A104" s="32" t="s">
        <v>455</v>
      </c>
      <c r="B104" s="33">
        <v>46127.737500000003</v>
      </c>
      <c r="C104" s="34" t="s">
        <v>456</v>
      </c>
      <c r="D104" s="34" t="s">
        <v>218</v>
      </c>
      <c r="E104" s="34" t="s">
        <v>265</v>
      </c>
      <c r="F104" s="34" t="s">
        <v>304</v>
      </c>
      <c r="G104" s="34" t="s">
        <v>242</v>
      </c>
      <c r="H104" s="34" t="s">
        <v>222</v>
      </c>
      <c r="I104" s="35" t="str">
        <f>VLOOKUP(H104,人員與團隊!$A$4:$D$27,3,FALSE)</f>
        <v>北區服務</v>
      </c>
      <c r="J104" s="34" t="s">
        <v>215</v>
      </c>
      <c r="K104" s="33">
        <v>46127.884027777778</v>
      </c>
      <c r="L104" s="33">
        <v>46128.511010196758</v>
      </c>
      <c r="M104" s="36">
        <f t="shared" si="5"/>
        <v>210.99999999627471</v>
      </c>
      <c r="N104" s="37">
        <f t="shared" si="6"/>
        <v>18.564244722132571</v>
      </c>
      <c r="O104" s="36">
        <f>VLOOKUP(G104,SLA標準!$A$4:$C$7,2,FALSE)</f>
        <v>240</v>
      </c>
      <c r="P104" s="37">
        <f>VLOOKUP(G104,SLA標準!$A$4:$C$7,3,FALSE)</f>
        <v>24</v>
      </c>
      <c r="Q104" s="35" t="str">
        <f t="shared" si="7"/>
        <v>達標</v>
      </c>
      <c r="R104" s="34" t="s">
        <v>47</v>
      </c>
      <c r="S104" s="35" t="str">
        <f t="shared" si="8"/>
        <v>是</v>
      </c>
      <c r="T104" s="36">
        <f>IFERROR(VLOOKUP(A104,滿意度調查!$B$4:$D$570,3,FALSE),"")</f>
        <v>5</v>
      </c>
      <c r="U104" s="35" t="str">
        <f t="shared" si="9"/>
        <v>2026-04</v>
      </c>
      <c r="V104" s="38">
        <f>IF(J104="已結案",0,(使用說明!$B$7-B104)*24)</f>
        <v>0</v>
      </c>
    </row>
    <row r="105" spans="1:22">
      <c r="A105" s="32" t="s">
        <v>457</v>
      </c>
      <c r="B105" s="33">
        <v>46127.818749999999</v>
      </c>
      <c r="C105" s="34" t="s">
        <v>458</v>
      </c>
      <c r="D105" s="34" t="s">
        <v>210</v>
      </c>
      <c r="E105" s="34" t="s">
        <v>245</v>
      </c>
      <c r="F105" s="34" t="s">
        <v>246</v>
      </c>
      <c r="G105" s="34" t="s">
        <v>242</v>
      </c>
      <c r="H105" s="34" t="s">
        <v>325</v>
      </c>
      <c r="I105" s="35" t="str">
        <f>VLOOKUP(H105,人員與團隊!$A$4:$D$27,3,FALSE)</f>
        <v>線上服務</v>
      </c>
      <c r="J105" s="34" t="s">
        <v>215</v>
      </c>
      <c r="K105" s="33">
        <v>46127.850694444445</v>
      </c>
      <c r="L105" s="33">
        <v>46129.320732870372</v>
      </c>
      <c r="M105" s="36">
        <f t="shared" si="5"/>
        <v>46.000000003259629</v>
      </c>
      <c r="N105" s="37">
        <f t="shared" si="6"/>
        <v>36.047588888963219</v>
      </c>
      <c r="O105" s="36">
        <f>VLOOKUP(G105,SLA標準!$A$4:$C$7,2,FALSE)</f>
        <v>240</v>
      </c>
      <c r="P105" s="37">
        <f>VLOOKUP(G105,SLA標準!$A$4:$C$7,3,FALSE)</f>
        <v>24</v>
      </c>
      <c r="Q105" s="35" t="str">
        <f t="shared" si="7"/>
        <v>逾期</v>
      </c>
      <c r="R105" s="34" t="s">
        <v>47</v>
      </c>
      <c r="S105" s="35" t="str">
        <f t="shared" si="8"/>
        <v>是</v>
      </c>
      <c r="T105" s="36">
        <f>IFERROR(VLOOKUP(A105,滿意度調查!$B$4:$D$570,3,FALSE),"")</f>
        <v>3</v>
      </c>
      <c r="U105" s="35" t="str">
        <f t="shared" si="9"/>
        <v>2026-04</v>
      </c>
      <c r="V105" s="38">
        <f>IF(J105="已結案",0,(使用說明!$B$7-B105)*24)</f>
        <v>0</v>
      </c>
    </row>
    <row r="106" spans="1:22">
      <c r="A106" s="32" t="s">
        <v>459</v>
      </c>
      <c r="B106" s="33">
        <v>46127.836805555555</v>
      </c>
      <c r="C106" s="34" t="s">
        <v>460</v>
      </c>
      <c r="D106" s="34" t="s">
        <v>210</v>
      </c>
      <c r="E106" s="34" t="s">
        <v>235</v>
      </c>
      <c r="F106" s="34" t="s">
        <v>298</v>
      </c>
      <c r="G106" s="34" t="s">
        <v>242</v>
      </c>
      <c r="H106" s="34" t="s">
        <v>267</v>
      </c>
      <c r="I106" s="35" t="str">
        <f>VLOOKUP(H106,人員與團隊!$A$4:$D$27,3,FALSE)</f>
        <v>南區服務</v>
      </c>
      <c r="J106" s="34" t="s">
        <v>215</v>
      </c>
      <c r="K106" s="33">
        <v>46127.872916666667</v>
      </c>
      <c r="L106" s="33">
        <v>46128.529727129629</v>
      </c>
      <c r="M106" s="36">
        <f t="shared" si="5"/>
        <v>52.000000001862645</v>
      </c>
      <c r="N106" s="37">
        <f t="shared" si="6"/>
        <v>16.630117777793203</v>
      </c>
      <c r="O106" s="36">
        <f>VLOOKUP(G106,SLA標準!$A$4:$C$7,2,FALSE)</f>
        <v>240</v>
      </c>
      <c r="P106" s="37">
        <f>VLOOKUP(G106,SLA標準!$A$4:$C$7,3,FALSE)</f>
        <v>24</v>
      </c>
      <c r="Q106" s="35" t="str">
        <f t="shared" si="7"/>
        <v>達標</v>
      </c>
      <c r="R106" s="34" t="s">
        <v>47</v>
      </c>
      <c r="S106" s="35" t="str">
        <f t="shared" si="8"/>
        <v>否</v>
      </c>
      <c r="T106" s="36" t="str">
        <f>IFERROR(VLOOKUP(A106,滿意度調查!$B$4:$D$570,3,FALSE),"")</f>
        <v/>
      </c>
      <c r="U106" s="35" t="str">
        <f t="shared" si="9"/>
        <v>2026-04</v>
      </c>
      <c r="V106" s="38">
        <f>IF(J106="已結案",0,(使用說明!$B$7-B106)*24)</f>
        <v>0</v>
      </c>
    </row>
    <row r="107" spans="1:22">
      <c r="A107" s="32" t="s">
        <v>461</v>
      </c>
      <c r="B107" s="33">
        <v>46128.394444444442</v>
      </c>
      <c r="C107" s="34" t="s">
        <v>462</v>
      </c>
      <c r="D107" s="34" t="s">
        <v>225</v>
      </c>
      <c r="E107" s="34" t="s">
        <v>245</v>
      </c>
      <c r="F107" s="34" t="s">
        <v>282</v>
      </c>
      <c r="G107" s="34" t="s">
        <v>242</v>
      </c>
      <c r="H107" s="34" t="s">
        <v>232</v>
      </c>
      <c r="I107" s="35" t="str">
        <f>VLOOKUP(H107,人員與團隊!$A$4:$D$27,3,FALSE)</f>
        <v>北區服務</v>
      </c>
      <c r="J107" s="34" t="s">
        <v>215</v>
      </c>
      <c r="K107" s="33">
        <v>46128.553472222222</v>
      </c>
      <c r="L107" s="33">
        <v>46129.528593449075</v>
      </c>
      <c r="M107" s="36">
        <f t="shared" si="5"/>
        <v>229.00000000256114</v>
      </c>
      <c r="N107" s="37">
        <f t="shared" si="6"/>
        <v>27.219576111179776</v>
      </c>
      <c r="O107" s="36">
        <f>VLOOKUP(G107,SLA標準!$A$4:$C$7,2,FALSE)</f>
        <v>240</v>
      </c>
      <c r="P107" s="37">
        <f>VLOOKUP(G107,SLA標準!$A$4:$C$7,3,FALSE)</f>
        <v>24</v>
      </c>
      <c r="Q107" s="35" t="str">
        <f t="shared" si="7"/>
        <v>逾期</v>
      </c>
      <c r="R107" s="34" t="s">
        <v>47</v>
      </c>
      <c r="S107" s="35" t="str">
        <f t="shared" si="8"/>
        <v>否</v>
      </c>
      <c r="T107" s="36" t="str">
        <f>IFERROR(VLOOKUP(A107,滿意度調查!$B$4:$D$570,3,FALSE),"")</f>
        <v/>
      </c>
      <c r="U107" s="35" t="str">
        <f t="shared" si="9"/>
        <v>2026-04</v>
      </c>
      <c r="V107" s="38">
        <f>IF(J107="已結案",0,(使用說明!$B$7-B107)*24)</f>
        <v>0</v>
      </c>
    </row>
    <row r="108" spans="1:22">
      <c r="A108" s="32" t="s">
        <v>463</v>
      </c>
      <c r="B108" s="33">
        <v>46128.597916666666</v>
      </c>
      <c r="C108" s="34" t="s">
        <v>464</v>
      </c>
      <c r="D108" s="34" t="s">
        <v>210</v>
      </c>
      <c r="E108" s="34" t="s">
        <v>230</v>
      </c>
      <c r="F108" s="34" t="s">
        <v>272</v>
      </c>
      <c r="G108" s="34" t="s">
        <v>213</v>
      </c>
      <c r="H108" s="34" t="s">
        <v>222</v>
      </c>
      <c r="I108" s="35" t="str">
        <f>VLOOKUP(H108,人員與團隊!$A$4:$D$27,3,FALSE)</f>
        <v>北區服務</v>
      </c>
      <c r="J108" s="34" t="s">
        <v>215</v>
      </c>
      <c r="K108" s="33">
        <v>46128.748611111114</v>
      </c>
      <c r="L108" s="33">
        <v>46130.142730428241</v>
      </c>
      <c r="M108" s="36">
        <f t="shared" si="5"/>
        <v>217.0000000053551</v>
      </c>
      <c r="N108" s="37">
        <f t="shared" si="6"/>
        <v>37.075530277797952</v>
      </c>
      <c r="O108" s="36">
        <f>VLOOKUP(G108,SLA標準!$A$4:$C$7,2,FALSE)</f>
        <v>480</v>
      </c>
      <c r="P108" s="37">
        <f>VLOOKUP(G108,SLA標準!$A$4:$C$7,3,FALSE)</f>
        <v>48</v>
      </c>
      <c r="Q108" s="35" t="str">
        <f t="shared" si="7"/>
        <v>達標</v>
      </c>
      <c r="R108" s="34" t="s">
        <v>47</v>
      </c>
      <c r="S108" s="35" t="str">
        <f t="shared" si="8"/>
        <v>是</v>
      </c>
      <c r="T108" s="36">
        <f>IFERROR(VLOOKUP(A108,滿意度調查!$B$4:$D$570,3,FALSE),"")</f>
        <v>5</v>
      </c>
      <c r="U108" s="35" t="str">
        <f t="shared" si="9"/>
        <v>2026-04</v>
      </c>
      <c r="V108" s="38">
        <f>IF(J108="已結案",0,(使用說明!$B$7-B108)*24)</f>
        <v>0</v>
      </c>
    </row>
    <row r="109" spans="1:22">
      <c r="A109" s="32" t="s">
        <v>465</v>
      </c>
      <c r="B109" s="33">
        <v>46128.613194444442</v>
      </c>
      <c r="C109" s="34" t="s">
        <v>449</v>
      </c>
      <c r="D109" s="34" t="s">
        <v>225</v>
      </c>
      <c r="E109" s="34" t="s">
        <v>235</v>
      </c>
      <c r="F109" s="34" t="s">
        <v>253</v>
      </c>
      <c r="G109" s="34" t="s">
        <v>213</v>
      </c>
      <c r="H109" s="34" t="s">
        <v>274</v>
      </c>
      <c r="I109" s="35" t="str">
        <f>VLOOKUP(H109,人員與團隊!$A$4:$D$27,3,FALSE)</f>
        <v>南區服務</v>
      </c>
      <c r="J109" s="34" t="s">
        <v>215</v>
      </c>
      <c r="K109" s="33">
        <v>46128.758333333331</v>
      </c>
      <c r="L109" s="33">
        <v>46129.390216585649</v>
      </c>
      <c r="M109" s="36">
        <f t="shared" si="5"/>
        <v>209.00000000023283</v>
      </c>
      <c r="N109" s="37">
        <f t="shared" si="6"/>
        <v>18.648531388957053</v>
      </c>
      <c r="O109" s="36">
        <f>VLOOKUP(G109,SLA標準!$A$4:$C$7,2,FALSE)</f>
        <v>480</v>
      </c>
      <c r="P109" s="37">
        <f>VLOOKUP(G109,SLA標準!$A$4:$C$7,3,FALSE)</f>
        <v>48</v>
      </c>
      <c r="Q109" s="35" t="str">
        <f t="shared" si="7"/>
        <v>達標</v>
      </c>
      <c r="R109" s="34" t="s">
        <v>47</v>
      </c>
      <c r="S109" s="35" t="str">
        <f t="shared" si="8"/>
        <v>否</v>
      </c>
      <c r="T109" s="36" t="str">
        <f>IFERROR(VLOOKUP(A109,滿意度調查!$B$4:$D$570,3,FALSE),"")</f>
        <v/>
      </c>
      <c r="U109" s="35" t="str">
        <f t="shared" si="9"/>
        <v>2026-04</v>
      </c>
      <c r="V109" s="38">
        <f>IF(J109="已結案",0,(使用說明!$B$7-B109)*24)</f>
        <v>0</v>
      </c>
    </row>
    <row r="110" spans="1:22">
      <c r="A110" s="32" t="s">
        <v>466</v>
      </c>
      <c r="B110" s="33">
        <v>46128.615972222222</v>
      </c>
      <c r="C110" s="34" t="s">
        <v>467</v>
      </c>
      <c r="D110" s="34" t="s">
        <v>225</v>
      </c>
      <c r="E110" s="34" t="s">
        <v>235</v>
      </c>
      <c r="F110" s="34" t="s">
        <v>253</v>
      </c>
      <c r="G110" s="34" t="s">
        <v>242</v>
      </c>
      <c r="H110" s="34" t="s">
        <v>340</v>
      </c>
      <c r="I110" s="35" t="str">
        <f>VLOOKUP(H110,人員與團隊!$A$4:$D$27,3,FALSE)</f>
        <v>北區服務</v>
      </c>
      <c r="J110" s="34" t="s">
        <v>215</v>
      </c>
      <c r="K110" s="33">
        <v>46128.693749999999</v>
      </c>
      <c r="L110" s="33">
        <v>46128.987315092592</v>
      </c>
      <c r="M110" s="36">
        <f t="shared" si="5"/>
        <v>111.99999999837019</v>
      </c>
      <c r="N110" s="37">
        <f t="shared" si="6"/>
        <v>8.9122288888902403</v>
      </c>
      <c r="O110" s="36">
        <f>VLOOKUP(G110,SLA標準!$A$4:$C$7,2,FALSE)</f>
        <v>240</v>
      </c>
      <c r="P110" s="37">
        <f>VLOOKUP(G110,SLA標準!$A$4:$C$7,3,FALSE)</f>
        <v>24</v>
      </c>
      <c r="Q110" s="35" t="str">
        <f t="shared" si="7"/>
        <v>達標</v>
      </c>
      <c r="R110" s="34" t="s">
        <v>47</v>
      </c>
      <c r="S110" s="35" t="str">
        <f t="shared" si="8"/>
        <v>否</v>
      </c>
      <c r="T110" s="36" t="str">
        <f>IFERROR(VLOOKUP(A110,滿意度調查!$B$4:$D$570,3,FALSE),"")</f>
        <v/>
      </c>
      <c r="U110" s="35" t="str">
        <f t="shared" si="9"/>
        <v>2026-04</v>
      </c>
      <c r="V110" s="38">
        <f>IF(J110="已結案",0,(使用說明!$B$7-B110)*24)</f>
        <v>0</v>
      </c>
    </row>
    <row r="111" spans="1:22">
      <c r="A111" s="32" t="s">
        <v>468</v>
      </c>
      <c r="B111" s="33">
        <v>46128.626388888886</v>
      </c>
      <c r="C111" s="34" t="s">
        <v>469</v>
      </c>
      <c r="D111" s="34" t="s">
        <v>210</v>
      </c>
      <c r="E111" s="34" t="s">
        <v>265</v>
      </c>
      <c r="F111" s="34" t="s">
        <v>266</v>
      </c>
      <c r="G111" s="34" t="s">
        <v>213</v>
      </c>
      <c r="H111" s="34" t="s">
        <v>384</v>
      </c>
      <c r="I111" s="35" t="str">
        <f>VLOOKUP(H111,人員與團隊!$A$4:$D$27,3,FALSE)</f>
        <v>線上服務</v>
      </c>
      <c r="J111" s="34" t="s">
        <v>215</v>
      </c>
      <c r="K111" s="33">
        <v>46128.824305555558</v>
      </c>
      <c r="L111" s="33">
        <v>46129.366544675926</v>
      </c>
      <c r="M111" s="36">
        <f t="shared" si="5"/>
        <v>285.00000000698492</v>
      </c>
      <c r="N111" s="37">
        <f t="shared" si="6"/>
        <v>17.763738888956141</v>
      </c>
      <c r="O111" s="36">
        <f>VLOOKUP(G111,SLA標準!$A$4:$C$7,2,FALSE)</f>
        <v>480</v>
      </c>
      <c r="P111" s="37">
        <f>VLOOKUP(G111,SLA標準!$A$4:$C$7,3,FALSE)</f>
        <v>48</v>
      </c>
      <c r="Q111" s="35" t="str">
        <f t="shared" si="7"/>
        <v>達標</v>
      </c>
      <c r="R111" s="34" t="s">
        <v>41</v>
      </c>
      <c r="S111" s="35" t="str">
        <f t="shared" si="8"/>
        <v>是</v>
      </c>
      <c r="T111" s="36">
        <f>IFERROR(VLOOKUP(A111,滿意度調查!$B$4:$D$570,3,FALSE),"")</f>
        <v>4</v>
      </c>
      <c r="U111" s="35" t="str">
        <f t="shared" si="9"/>
        <v>2026-04</v>
      </c>
      <c r="V111" s="38">
        <f>IF(J111="已結案",0,(使用說明!$B$7-B111)*24)</f>
        <v>0</v>
      </c>
    </row>
    <row r="112" spans="1:22">
      <c r="A112" s="32" t="s">
        <v>470</v>
      </c>
      <c r="B112" s="33">
        <v>46128.688888888886</v>
      </c>
      <c r="C112" s="34" t="s">
        <v>471</v>
      </c>
      <c r="D112" s="34" t="s">
        <v>225</v>
      </c>
      <c r="E112" s="34" t="s">
        <v>219</v>
      </c>
      <c r="F112" s="34" t="s">
        <v>371</v>
      </c>
      <c r="G112" s="34" t="s">
        <v>221</v>
      </c>
      <c r="H112" s="34" t="s">
        <v>243</v>
      </c>
      <c r="I112" s="35" t="str">
        <f>VLOOKUP(H112,人員與團隊!$A$4:$D$27,3,FALSE)</f>
        <v>南區服務</v>
      </c>
      <c r="J112" s="34" t="s">
        <v>215</v>
      </c>
      <c r="K112" s="33">
        <v>46128.706944444442</v>
      </c>
      <c r="L112" s="33">
        <v>46129.158945636576</v>
      </c>
      <c r="M112" s="36">
        <f t="shared" si="5"/>
        <v>26.000000000931323</v>
      </c>
      <c r="N112" s="37">
        <f t="shared" si="6"/>
        <v>11.281361944566015</v>
      </c>
      <c r="O112" s="36">
        <f>VLOOKUP(G112,SLA標準!$A$4:$C$7,2,FALSE)</f>
        <v>60</v>
      </c>
      <c r="P112" s="37">
        <f>VLOOKUP(G112,SLA標準!$A$4:$C$7,3,FALSE)</f>
        <v>8</v>
      </c>
      <c r="Q112" s="35" t="str">
        <f t="shared" si="7"/>
        <v>逾期</v>
      </c>
      <c r="R112" s="34" t="s">
        <v>47</v>
      </c>
      <c r="S112" s="35" t="str">
        <f t="shared" si="8"/>
        <v>是</v>
      </c>
      <c r="T112" s="36">
        <f>IFERROR(VLOOKUP(A112,滿意度調查!$B$4:$D$570,3,FALSE),"")</f>
        <v>3</v>
      </c>
      <c r="U112" s="35" t="str">
        <f t="shared" si="9"/>
        <v>2026-04</v>
      </c>
      <c r="V112" s="38">
        <f>IF(J112="已結案",0,(使用說明!$B$7-B112)*24)</f>
        <v>0</v>
      </c>
    </row>
    <row r="113" spans="1:22">
      <c r="A113" s="32" t="s">
        <v>472</v>
      </c>
      <c r="B113" s="33">
        <v>46128.738194444442</v>
      </c>
      <c r="C113" s="34" t="s">
        <v>473</v>
      </c>
      <c r="D113" s="34" t="s">
        <v>225</v>
      </c>
      <c r="E113" s="34" t="s">
        <v>230</v>
      </c>
      <c r="F113" s="34" t="s">
        <v>320</v>
      </c>
      <c r="G113" s="34" t="s">
        <v>221</v>
      </c>
      <c r="H113" s="34" t="s">
        <v>243</v>
      </c>
      <c r="I113" s="35" t="str">
        <f>VLOOKUP(H113,人員與團隊!$A$4:$D$27,3,FALSE)</f>
        <v>南區服務</v>
      </c>
      <c r="J113" s="34" t="s">
        <v>215</v>
      </c>
      <c r="K113" s="33">
        <v>46128.751388888886</v>
      </c>
      <c r="L113" s="33">
        <v>46129.574187060185</v>
      </c>
      <c r="M113" s="36">
        <f t="shared" si="5"/>
        <v>18.999999999068677</v>
      </c>
      <c r="N113" s="37">
        <f t="shared" si="6"/>
        <v>20.063822777825408</v>
      </c>
      <c r="O113" s="36">
        <f>VLOOKUP(G113,SLA標準!$A$4:$C$7,2,FALSE)</f>
        <v>60</v>
      </c>
      <c r="P113" s="37">
        <f>VLOOKUP(G113,SLA標準!$A$4:$C$7,3,FALSE)</f>
        <v>8</v>
      </c>
      <c r="Q113" s="35" t="str">
        <f t="shared" si="7"/>
        <v>逾期</v>
      </c>
      <c r="R113" s="34" t="s">
        <v>47</v>
      </c>
      <c r="S113" s="35" t="str">
        <f t="shared" si="8"/>
        <v>是</v>
      </c>
      <c r="T113" s="36">
        <f>IFERROR(VLOOKUP(A113,滿意度調查!$B$4:$D$570,3,FALSE),"")</f>
        <v>3</v>
      </c>
      <c r="U113" s="35" t="str">
        <f t="shared" si="9"/>
        <v>2026-04</v>
      </c>
      <c r="V113" s="38">
        <f>IF(J113="已結案",0,(使用說明!$B$7-B113)*24)</f>
        <v>0</v>
      </c>
    </row>
    <row r="114" spans="1:22">
      <c r="A114" s="32" t="s">
        <v>474</v>
      </c>
      <c r="B114" s="33">
        <v>46128.78125</v>
      </c>
      <c r="C114" s="34" t="s">
        <v>467</v>
      </c>
      <c r="D114" s="34" t="s">
        <v>210</v>
      </c>
      <c r="E114" s="34" t="s">
        <v>230</v>
      </c>
      <c r="F114" s="34" t="s">
        <v>339</v>
      </c>
      <c r="G114" s="34" t="s">
        <v>221</v>
      </c>
      <c r="H114" s="34" t="s">
        <v>340</v>
      </c>
      <c r="I114" s="35" t="str">
        <f>VLOOKUP(H114,人員與團隊!$A$4:$D$27,3,FALSE)</f>
        <v>北區服務</v>
      </c>
      <c r="J114" s="34" t="s">
        <v>215</v>
      </c>
      <c r="K114" s="33">
        <v>46128.802777777775</v>
      </c>
      <c r="L114" s="33">
        <v>46129.234014664355</v>
      </c>
      <c r="M114" s="36">
        <f t="shared" si="5"/>
        <v>30.99999999627471</v>
      </c>
      <c r="N114" s="37">
        <f t="shared" si="6"/>
        <v>10.866351944510825</v>
      </c>
      <c r="O114" s="36">
        <f>VLOOKUP(G114,SLA標準!$A$4:$C$7,2,FALSE)</f>
        <v>60</v>
      </c>
      <c r="P114" s="37">
        <f>VLOOKUP(G114,SLA標準!$A$4:$C$7,3,FALSE)</f>
        <v>8</v>
      </c>
      <c r="Q114" s="35" t="str">
        <f t="shared" si="7"/>
        <v>逾期</v>
      </c>
      <c r="R114" s="34" t="s">
        <v>47</v>
      </c>
      <c r="S114" s="35" t="str">
        <f t="shared" si="8"/>
        <v>是</v>
      </c>
      <c r="T114" s="36">
        <f>IFERROR(VLOOKUP(A114,滿意度調查!$B$4:$D$570,3,FALSE),"")</f>
        <v>4</v>
      </c>
      <c r="U114" s="35" t="str">
        <f t="shared" si="9"/>
        <v>2026-04</v>
      </c>
      <c r="V114" s="38">
        <f>IF(J114="已結案",0,(使用說明!$B$7-B114)*24)</f>
        <v>0</v>
      </c>
    </row>
    <row r="115" spans="1:22">
      <c r="A115" s="32" t="s">
        <v>475</v>
      </c>
      <c r="B115" s="33">
        <v>46128.836111111108</v>
      </c>
      <c r="C115" s="34" t="s">
        <v>476</v>
      </c>
      <c r="D115" s="34" t="s">
        <v>218</v>
      </c>
      <c r="E115" s="34" t="s">
        <v>235</v>
      </c>
      <c r="F115" s="34" t="s">
        <v>298</v>
      </c>
      <c r="G115" s="34" t="s">
        <v>242</v>
      </c>
      <c r="H115" s="34" t="s">
        <v>274</v>
      </c>
      <c r="I115" s="35" t="str">
        <f>VLOOKUP(H115,人員與團隊!$A$4:$D$27,3,FALSE)</f>
        <v>南區服務</v>
      </c>
      <c r="J115" s="34" t="s">
        <v>215</v>
      </c>
      <c r="K115" s="33">
        <v>46129.017361111109</v>
      </c>
      <c r="L115" s="33">
        <v>46129.612325196758</v>
      </c>
      <c r="M115" s="36">
        <f t="shared" si="5"/>
        <v>261.00000000209548</v>
      </c>
      <c r="N115" s="37">
        <f t="shared" si="6"/>
        <v>18.629138055606745</v>
      </c>
      <c r="O115" s="36">
        <f>VLOOKUP(G115,SLA標準!$A$4:$C$7,2,FALSE)</f>
        <v>240</v>
      </c>
      <c r="P115" s="37">
        <f>VLOOKUP(G115,SLA標準!$A$4:$C$7,3,FALSE)</f>
        <v>24</v>
      </c>
      <c r="Q115" s="35" t="str">
        <f t="shared" si="7"/>
        <v>逾期</v>
      </c>
      <c r="R115" s="34" t="s">
        <v>47</v>
      </c>
      <c r="S115" s="35" t="str">
        <f t="shared" si="8"/>
        <v>否</v>
      </c>
      <c r="T115" s="36" t="str">
        <f>IFERROR(VLOOKUP(A115,滿意度調查!$B$4:$D$570,3,FALSE),"")</f>
        <v/>
      </c>
      <c r="U115" s="35" t="str">
        <f t="shared" si="9"/>
        <v>2026-04</v>
      </c>
      <c r="V115" s="38">
        <f>IF(J115="已結案",0,(使用說明!$B$7-B115)*24)</f>
        <v>0</v>
      </c>
    </row>
    <row r="116" spans="1:22">
      <c r="A116" s="32" t="s">
        <v>477</v>
      </c>
      <c r="B116" s="33">
        <v>46128.861805555556</v>
      </c>
      <c r="C116" s="34" t="s">
        <v>478</v>
      </c>
      <c r="D116" s="34" t="s">
        <v>210</v>
      </c>
      <c r="E116" s="34" t="s">
        <v>265</v>
      </c>
      <c r="F116" s="34" t="s">
        <v>479</v>
      </c>
      <c r="G116" s="34" t="s">
        <v>242</v>
      </c>
      <c r="H116" s="34" t="s">
        <v>254</v>
      </c>
      <c r="I116" s="35" t="str">
        <f>VLOOKUP(H116,人員與團隊!$A$4:$D$27,3,FALSE)</f>
        <v>線上服務</v>
      </c>
      <c r="J116" s="34" t="s">
        <v>215</v>
      </c>
      <c r="K116" s="33">
        <v>46128.900694444441</v>
      </c>
      <c r="L116" s="33">
        <v>46129.519960983795</v>
      </c>
      <c r="M116" s="36">
        <f t="shared" si="5"/>
        <v>55.999999993946403</v>
      </c>
      <c r="N116" s="37">
        <f t="shared" si="6"/>
        <v>15.795730277721304</v>
      </c>
      <c r="O116" s="36">
        <f>VLOOKUP(G116,SLA標準!$A$4:$C$7,2,FALSE)</f>
        <v>240</v>
      </c>
      <c r="P116" s="37">
        <f>VLOOKUP(G116,SLA標準!$A$4:$C$7,3,FALSE)</f>
        <v>24</v>
      </c>
      <c r="Q116" s="35" t="str">
        <f t="shared" si="7"/>
        <v>達標</v>
      </c>
      <c r="R116" s="34" t="s">
        <v>47</v>
      </c>
      <c r="S116" s="35" t="str">
        <f t="shared" si="8"/>
        <v>是</v>
      </c>
      <c r="T116" s="36">
        <f>IFERROR(VLOOKUP(A116,滿意度調查!$B$4:$D$570,3,FALSE),"")</f>
        <v>5</v>
      </c>
      <c r="U116" s="35" t="str">
        <f t="shared" si="9"/>
        <v>2026-04</v>
      </c>
      <c r="V116" s="38">
        <f>IF(J116="已結案",0,(使用說明!$B$7-B116)*24)</f>
        <v>0</v>
      </c>
    </row>
    <row r="117" spans="1:22">
      <c r="A117" s="32" t="s">
        <v>480</v>
      </c>
      <c r="B117" s="33">
        <v>46129.433333333334</v>
      </c>
      <c r="C117" s="34" t="s">
        <v>481</v>
      </c>
      <c r="D117" s="34" t="s">
        <v>218</v>
      </c>
      <c r="E117" s="34" t="s">
        <v>245</v>
      </c>
      <c r="F117" s="34" t="s">
        <v>358</v>
      </c>
      <c r="G117" s="34" t="s">
        <v>242</v>
      </c>
      <c r="H117" s="34" t="s">
        <v>267</v>
      </c>
      <c r="I117" s="35" t="str">
        <f>VLOOKUP(H117,人員與團隊!$A$4:$D$27,3,FALSE)</f>
        <v>南區服務</v>
      </c>
      <c r="J117" s="34" t="s">
        <v>215</v>
      </c>
      <c r="K117" s="33">
        <v>46129.656944444447</v>
      </c>
      <c r="L117" s="33">
        <v>46130.566931724534</v>
      </c>
      <c r="M117" s="36">
        <f t="shared" si="5"/>
        <v>322.00000000186265</v>
      </c>
      <c r="N117" s="37">
        <f t="shared" si="6"/>
        <v>27.206361388787627</v>
      </c>
      <c r="O117" s="36">
        <f>VLOOKUP(G117,SLA標準!$A$4:$C$7,2,FALSE)</f>
        <v>240</v>
      </c>
      <c r="P117" s="37">
        <f>VLOOKUP(G117,SLA標準!$A$4:$C$7,3,FALSE)</f>
        <v>24</v>
      </c>
      <c r="Q117" s="35" t="str">
        <f t="shared" si="7"/>
        <v>逾期</v>
      </c>
      <c r="R117" s="34" t="s">
        <v>47</v>
      </c>
      <c r="S117" s="35" t="str">
        <f t="shared" si="8"/>
        <v>否</v>
      </c>
      <c r="T117" s="36" t="str">
        <f>IFERROR(VLOOKUP(A117,滿意度調查!$B$4:$D$570,3,FALSE),"")</f>
        <v/>
      </c>
      <c r="U117" s="35" t="str">
        <f t="shared" si="9"/>
        <v>2026-04</v>
      </c>
      <c r="V117" s="38">
        <f>IF(J117="已結案",0,(使用說明!$B$7-B117)*24)</f>
        <v>0</v>
      </c>
    </row>
    <row r="118" spans="1:22">
      <c r="A118" s="32" t="s">
        <v>482</v>
      </c>
      <c r="B118" s="33">
        <v>46129.5625</v>
      </c>
      <c r="C118" s="34" t="s">
        <v>417</v>
      </c>
      <c r="D118" s="34" t="s">
        <v>218</v>
      </c>
      <c r="E118" s="34" t="s">
        <v>211</v>
      </c>
      <c r="F118" s="34" t="s">
        <v>331</v>
      </c>
      <c r="G118" s="34" t="s">
        <v>213</v>
      </c>
      <c r="H118" s="34" t="s">
        <v>372</v>
      </c>
      <c r="I118" s="35" t="str">
        <f>VLOOKUP(H118,人員與團隊!$A$4:$D$27,3,FALSE)</f>
        <v>南區服務</v>
      </c>
      <c r="J118" s="34" t="s">
        <v>215</v>
      </c>
      <c r="K118" s="33">
        <v>46129.922222222223</v>
      </c>
      <c r="L118" s="33">
        <v>46129.852832731478</v>
      </c>
      <c r="M118" s="36">
        <f t="shared" si="5"/>
        <v>518.00000000162981</v>
      </c>
      <c r="N118" s="37">
        <f t="shared" si="6"/>
        <v>6.9679855554713868</v>
      </c>
      <c r="O118" s="36">
        <f>VLOOKUP(G118,SLA標準!$A$4:$C$7,2,FALSE)</f>
        <v>480</v>
      </c>
      <c r="P118" s="37">
        <f>VLOOKUP(G118,SLA標準!$A$4:$C$7,3,FALSE)</f>
        <v>48</v>
      </c>
      <c r="Q118" s="35" t="str">
        <f t="shared" si="7"/>
        <v>逾期</v>
      </c>
      <c r="R118" s="34" t="s">
        <v>47</v>
      </c>
      <c r="S118" s="35" t="str">
        <f t="shared" si="8"/>
        <v>否</v>
      </c>
      <c r="T118" s="36" t="str">
        <f>IFERROR(VLOOKUP(A118,滿意度調查!$B$4:$D$570,3,FALSE),"")</f>
        <v/>
      </c>
      <c r="U118" s="35" t="str">
        <f t="shared" si="9"/>
        <v>2026-04</v>
      </c>
      <c r="V118" s="38">
        <f>IF(J118="已結案",0,(使用說明!$B$7-B118)*24)</f>
        <v>0</v>
      </c>
    </row>
    <row r="119" spans="1:22">
      <c r="A119" s="32" t="s">
        <v>483</v>
      </c>
      <c r="B119" s="33">
        <v>46129.571527777778</v>
      </c>
      <c r="C119" s="34" t="s">
        <v>484</v>
      </c>
      <c r="D119" s="34" t="s">
        <v>240</v>
      </c>
      <c r="E119" s="34" t="s">
        <v>235</v>
      </c>
      <c r="F119" s="34" t="s">
        <v>241</v>
      </c>
      <c r="G119" s="34" t="s">
        <v>242</v>
      </c>
      <c r="H119" s="34" t="s">
        <v>227</v>
      </c>
      <c r="I119" s="35" t="str">
        <f>VLOOKUP(H119,人員與團隊!$A$4:$D$27,3,FALSE)</f>
        <v>北區服務</v>
      </c>
      <c r="J119" s="34" t="s">
        <v>356</v>
      </c>
      <c r="K119" s="33">
        <v>46129.806250000001</v>
      </c>
      <c r="L119" s="33"/>
      <c r="M119" s="36">
        <f t="shared" si="5"/>
        <v>338.00000000162981</v>
      </c>
      <c r="N119" s="37" t="str">
        <f t="shared" si="6"/>
        <v/>
      </c>
      <c r="O119" s="36">
        <f>VLOOKUP(G119,SLA標準!$A$4:$C$7,2,FALSE)</f>
        <v>240</v>
      </c>
      <c r="P119" s="37">
        <f>VLOOKUP(G119,SLA標準!$A$4:$C$7,3,FALSE)</f>
        <v>24</v>
      </c>
      <c r="Q119" s="35" t="str">
        <f t="shared" si="7"/>
        <v>逾期</v>
      </c>
      <c r="R119" s="34" t="s">
        <v>47</v>
      </c>
      <c r="S119" s="35" t="str">
        <f t="shared" si="8"/>
        <v>否</v>
      </c>
      <c r="T119" s="36" t="str">
        <f>IFERROR(VLOOKUP(A119,滿意度調查!$B$4:$D$570,3,FALSE),"")</f>
        <v/>
      </c>
      <c r="U119" s="35" t="str">
        <f t="shared" si="9"/>
        <v>2026-04</v>
      </c>
      <c r="V119" s="38">
        <f>IF(J119="已結案",0,(使用說明!$B$7-B119)*24)</f>
        <v>1795.2833333333256</v>
      </c>
    </row>
    <row r="120" spans="1:22">
      <c r="A120" s="32" t="s">
        <v>485</v>
      </c>
      <c r="B120" s="33">
        <v>46129.625</v>
      </c>
      <c r="C120" s="34" t="s">
        <v>394</v>
      </c>
      <c r="D120" s="34" t="s">
        <v>210</v>
      </c>
      <c r="E120" s="34" t="s">
        <v>265</v>
      </c>
      <c r="F120" s="34" t="s">
        <v>479</v>
      </c>
      <c r="G120" s="34" t="s">
        <v>242</v>
      </c>
      <c r="H120" s="34" t="s">
        <v>381</v>
      </c>
      <c r="I120" s="35" t="str">
        <f>VLOOKUP(H120,人員與團隊!$A$4:$D$27,3,FALSE)</f>
        <v>線上服務</v>
      </c>
      <c r="J120" s="34" t="s">
        <v>215</v>
      </c>
      <c r="K120" s="33">
        <v>46129.670138888891</v>
      </c>
      <c r="L120" s="33">
        <v>46130.217437129628</v>
      </c>
      <c r="M120" s="36">
        <f t="shared" si="5"/>
        <v>65.000000002328306</v>
      </c>
      <c r="N120" s="37">
        <f t="shared" si="6"/>
        <v>14.218491111067124</v>
      </c>
      <c r="O120" s="36">
        <f>VLOOKUP(G120,SLA標準!$A$4:$C$7,2,FALSE)</f>
        <v>240</v>
      </c>
      <c r="P120" s="37">
        <f>VLOOKUP(G120,SLA標準!$A$4:$C$7,3,FALSE)</f>
        <v>24</v>
      </c>
      <c r="Q120" s="35" t="str">
        <f t="shared" si="7"/>
        <v>達標</v>
      </c>
      <c r="R120" s="34" t="s">
        <v>41</v>
      </c>
      <c r="S120" s="35" t="str">
        <f t="shared" si="8"/>
        <v>是</v>
      </c>
      <c r="T120" s="36">
        <f>IFERROR(VLOOKUP(A120,滿意度調查!$B$4:$D$570,3,FALSE),"")</f>
        <v>4</v>
      </c>
      <c r="U120" s="35" t="str">
        <f t="shared" si="9"/>
        <v>2026-04</v>
      </c>
      <c r="V120" s="38">
        <f>IF(J120="已結案",0,(使用說明!$B$7-B120)*24)</f>
        <v>0</v>
      </c>
    </row>
    <row r="121" spans="1:22">
      <c r="A121" s="32" t="s">
        <v>486</v>
      </c>
      <c r="B121" s="33">
        <v>46129.756944444445</v>
      </c>
      <c r="C121" s="34" t="s">
        <v>487</v>
      </c>
      <c r="D121" s="34" t="s">
        <v>210</v>
      </c>
      <c r="E121" s="34" t="s">
        <v>230</v>
      </c>
      <c r="F121" s="34" t="s">
        <v>272</v>
      </c>
      <c r="G121" s="34" t="s">
        <v>242</v>
      </c>
      <c r="H121" s="34" t="s">
        <v>310</v>
      </c>
      <c r="I121" s="35" t="str">
        <f>VLOOKUP(H121,人員與團隊!$A$4:$D$27,3,FALSE)</f>
        <v>線上服務</v>
      </c>
      <c r="J121" s="34" t="s">
        <v>215</v>
      </c>
      <c r="K121" s="33">
        <v>46129.785416666666</v>
      </c>
      <c r="L121" s="33">
        <v>46130.36716814815</v>
      </c>
      <c r="M121" s="36">
        <f t="shared" si="5"/>
        <v>40.999999997438863</v>
      </c>
      <c r="N121" s="37">
        <f t="shared" si="6"/>
        <v>14.645368888915982</v>
      </c>
      <c r="O121" s="36">
        <f>VLOOKUP(G121,SLA標準!$A$4:$C$7,2,FALSE)</f>
        <v>240</v>
      </c>
      <c r="P121" s="37">
        <f>VLOOKUP(G121,SLA標準!$A$4:$C$7,3,FALSE)</f>
        <v>24</v>
      </c>
      <c r="Q121" s="35" t="str">
        <f t="shared" si="7"/>
        <v>達標</v>
      </c>
      <c r="R121" s="34" t="s">
        <v>47</v>
      </c>
      <c r="S121" s="35" t="str">
        <f t="shared" si="8"/>
        <v>否</v>
      </c>
      <c r="T121" s="36" t="str">
        <f>IFERROR(VLOOKUP(A121,滿意度調查!$B$4:$D$570,3,FALSE),"")</f>
        <v/>
      </c>
      <c r="U121" s="35" t="str">
        <f t="shared" si="9"/>
        <v>2026-04</v>
      </c>
      <c r="V121" s="38">
        <f>IF(J121="已結案",0,(使用說明!$B$7-B121)*24)</f>
        <v>0</v>
      </c>
    </row>
    <row r="122" spans="1:22">
      <c r="A122" s="32" t="s">
        <v>488</v>
      </c>
      <c r="B122" s="33">
        <v>46129.82916666667</v>
      </c>
      <c r="C122" s="34" t="s">
        <v>489</v>
      </c>
      <c r="D122" s="34" t="s">
        <v>225</v>
      </c>
      <c r="E122" s="34" t="s">
        <v>219</v>
      </c>
      <c r="F122" s="34" t="s">
        <v>371</v>
      </c>
      <c r="G122" s="34" t="s">
        <v>242</v>
      </c>
      <c r="H122" s="34" t="s">
        <v>232</v>
      </c>
      <c r="I122" s="35" t="str">
        <f>VLOOKUP(H122,人員與團隊!$A$4:$D$27,3,FALSE)</f>
        <v>北區服務</v>
      </c>
      <c r="J122" s="34" t="s">
        <v>215</v>
      </c>
      <c r="K122" s="33">
        <v>46129.965277777781</v>
      </c>
      <c r="L122" s="33">
        <v>46130.66490773148</v>
      </c>
      <c r="M122" s="36">
        <f t="shared" si="5"/>
        <v>195.99999999976717</v>
      </c>
      <c r="N122" s="37">
        <f t="shared" si="6"/>
        <v>20.057785555429291</v>
      </c>
      <c r="O122" s="36">
        <f>VLOOKUP(G122,SLA標準!$A$4:$C$7,2,FALSE)</f>
        <v>240</v>
      </c>
      <c r="P122" s="37">
        <f>VLOOKUP(G122,SLA標準!$A$4:$C$7,3,FALSE)</f>
        <v>24</v>
      </c>
      <c r="Q122" s="35" t="str">
        <f t="shared" si="7"/>
        <v>達標</v>
      </c>
      <c r="R122" s="34" t="s">
        <v>47</v>
      </c>
      <c r="S122" s="35" t="str">
        <f t="shared" si="8"/>
        <v>否</v>
      </c>
      <c r="T122" s="36" t="str">
        <f>IFERROR(VLOOKUP(A122,滿意度調查!$B$4:$D$570,3,FALSE),"")</f>
        <v/>
      </c>
      <c r="U122" s="35" t="str">
        <f t="shared" si="9"/>
        <v>2026-04</v>
      </c>
      <c r="V122" s="38">
        <f>IF(J122="已結案",0,(使用說明!$B$7-B122)*24)</f>
        <v>0</v>
      </c>
    </row>
    <row r="123" spans="1:22">
      <c r="A123" s="32" t="s">
        <v>490</v>
      </c>
      <c r="B123" s="33">
        <v>46130.347222222219</v>
      </c>
      <c r="C123" s="34" t="s">
        <v>491</v>
      </c>
      <c r="D123" s="34" t="s">
        <v>210</v>
      </c>
      <c r="E123" s="34" t="s">
        <v>245</v>
      </c>
      <c r="F123" s="34" t="s">
        <v>358</v>
      </c>
      <c r="G123" s="34" t="s">
        <v>213</v>
      </c>
      <c r="H123" s="34" t="s">
        <v>384</v>
      </c>
      <c r="I123" s="35" t="str">
        <f>VLOOKUP(H123,人員與團隊!$A$4:$D$27,3,FALSE)</f>
        <v>線上服務</v>
      </c>
      <c r="J123" s="34" t="s">
        <v>215</v>
      </c>
      <c r="K123" s="33">
        <v>46130.418749999997</v>
      </c>
      <c r="L123" s="33">
        <v>46131.073479907405</v>
      </c>
      <c r="M123" s="36">
        <f t="shared" si="5"/>
        <v>103.00000000046566</v>
      </c>
      <c r="N123" s="37">
        <f t="shared" si="6"/>
        <v>17.430184444470797</v>
      </c>
      <c r="O123" s="36">
        <f>VLOOKUP(G123,SLA標準!$A$4:$C$7,2,FALSE)</f>
        <v>480</v>
      </c>
      <c r="P123" s="37">
        <f>VLOOKUP(G123,SLA標準!$A$4:$C$7,3,FALSE)</f>
        <v>48</v>
      </c>
      <c r="Q123" s="35" t="str">
        <f t="shared" si="7"/>
        <v>達標</v>
      </c>
      <c r="R123" s="34" t="s">
        <v>41</v>
      </c>
      <c r="S123" s="35" t="str">
        <f t="shared" si="8"/>
        <v>是</v>
      </c>
      <c r="T123" s="36">
        <f>IFERROR(VLOOKUP(A123,滿意度調查!$B$4:$D$570,3,FALSE),"")</f>
        <v>4</v>
      </c>
      <c r="U123" s="35" t="str">
        <f t="shared" si="9"/>
        <v>2026-04</v>
      </c>
      <c r="V123" s="38">
        <f>IF(J123="已結案",0,(使用說明!$B$7-B123)*24)</f>
        <v>0</v>
      </c>
    </row>
    <row r="124" spans="1:22">
      <c r="A124" s="32" t="s">
        <v>492</v>
      </c>
      <c r="B124" s="33">
        <v>46130.411805555559</v>
      </c>
      <c r="C124" s="34" t="s">
        <v>460</v>
      </c>
      <c r="D124" s="34" t="s">
        <v>225</v>
      </c>
      <c r="E124" s="34" t="s">
        <v>230</v>
      </c>
      <c r="F124" s="34" t="s">
        <v>272</v>
      </c>
      <c r="G124" s="34" t="s">
        <v>242</v>
      </c>
      <c r="H124" s="34" t="s">
        <v>315</v>
      </c>
      <c r="I124" s="35" t="str">
        <f>VLOOKUP(H124,人員與團隊!$A$4:$D$27,3,FALSE)</f>
        <v>北區服務</v>
      </c>
      <c r="J124" s="34" t="s">
        <v>215</v>
      </c>
      <c r="K124" s="33">
        <v>46130.490277777775</v>
      </c>
      <c r="L124" s="33">
        <v>46131.24742146991</v>
      </c>
      <c r="M124" s="36">
        <f t="shared" si="5"/>
        <v>112.99999999115244</v>
      </c>
      <c r="N124" s="37">
        <f t="shared" si="6"/>
        <v>20.054781944432762</v>
      </c>
      <c r="O124" s="36">
        <f>VLOOKUP(G124,SLA標準!$A$4:$C$7,2,FALSE)</f>
        <v>240</v>
      </c>
      <c r="P124" s="37">
        <f>VLOOKUP(G124,SLA標準!$A$4:$C$7,3,FALSE)</f>
        <v>24</v>
      </c>
      <c r="Q124" s="35" t="str">
        <f t="shared" si="7"/>
        <v>達標</v>
      </c>
      <c r="R124" s="34" t="s">
        <v>47</v>
      </c>
      <c r="S124" s="35" t="str">
        <f t="shared" si="8"/>
        <v>否</v>
      </c>
      <c r="T124" s="36" t="str">
        <f>IFERROR(VLOOKUP(A124,滿意度調查!$B$4:$D$570,3,FALSE),"")</f>
        <v/>
      </c>
      <c r="U124" s="35" t="str">
        <f t="shared" si="9"/>
        <v>2026-04</v>
      </c>
      <c r="V124" s="38">
        <f>IF(J124="已結案",0,(使用說明!$B$7-B124)*24)</f>
        <v>0</v>
      </c>
    </row>
    <row r="125" spans="1:22">
      <c r="A125" s="32" t="s">
        <v>493</v>
      </c>
      <c r="B125" s="33">
        <v>46130.622916666667</v>
      </c>
      <c r="C125" s="34" t="s">
        <v>360</v>
      </c>
      <c r="D125" s="34" t="s">
        <v>210</v>
      </c>
      <c r="E125" s="34" t="s">
        <v>230</v>
      </c>
      <c r="F125" s="34" t="s">
        <v>272</v>
      </c>
      <c r="G125" s="34" t="s">
        <v>242</v>
      </c>
      <c r="H125" s="34" t="s">
        <v>237</v>
      </c>
      <c r="I125" s="35" t="str">
        <f>VLOOKUP(H125,人員與團隊!$A$4:$D$27,3,FALSE)</f>
        <v>北區服務</v>
      </c>
      <c r="J125" s="34" t="s">
        <v>215</v>
      </c>
      <c r="K125" s="33">
        <v>46130.688194444447</v>
      </c>
      <c r="L125" s="33">
        <v>46131.316776493055</v>
      </c>
      <c r="M125" s="36">
        <f t="shared" si="5"/>
        <v>94.000000002561137</v>
      </c>
      <c r="N125" s="37">
        <f t="shared" si="6"/>
        <v>16.652635833306704</v>
      </c>
      <c r="O125" s="36">
        <f>VLOOKUP(G125,SLA標準!$A$4:$C$7,2,FALSE)</f>
        <v>240</v>
      </c>
      <c r="P125" s="37">
        <f>VLOOKUP(G125,SLA標準!$A$4:$C$7,3,FALSE)</f>
        <v>24</v>
      </c>
      <c r="Q125" s="35" t="str">
        <f t="shared" si="7"/>
        <v>達標</v>
      </c>
      <c r="R125" s="34" t="s">
        <v>47</v>
      </c>
      <c r="S125" s="35" t="str">
        <f t="shared" si="8"/>
        <v>是</v>
      </c>
      <c r="T125" s="36">
        <f>IFERROR(VLOOKUP(A125,滿意度調查!$B$4:$D$570,3,FALSE),"")</f>
        <v>4</v>
      </c>
      <c r="U125" s="35" t="str">
        <f t="shared" si="9"/>
        <v>2026-04</v>
      </c>
      <c r="V125" s="38">
        <f>IF(J125="已結案",0,(使用說明!$B$7-B125)*24)</f>
        <v>0</v>
      </c>
    </row>
    <row r="126" spans="1:22">
      <c r="A126" s="32" t="s">
        <v>494</v>
      </c>
      <c r="B126" s="33">
        <v>46130.649305555555</v>
      </c>
      <c r="C126" s="34" t="s">
        <v>495</v>
      </c>
      <c r="D126" s="34" t="s">
        <v>225</v>
      </c>
      <c r="E126" s="34" t="s">
        <v>265</v>
      </c>
      <c r="F126" s="34" t="s">
        <v>266</v>
      </c>
      <c r="G126" s="34" t="s">
        <v>242</v>
      </c>
      <c r="H126" s="34" t="s">
        <v>274</v>
      </c>
      <c r="I126" s="35" t="str">
        <f>VLOOKUP(H126,人員與團隊!$A$4:$D$27,3,FALSE)</f>
        <v>南區服務</v>
      </c>
      <c r="J126" s="34" t="s">
        <v>215</v>
      </c>
      <c r="K126" s="33">
        <v>46130.788194444445</v>
      </c>
      <c r="L126" s="33">
        <v>46131.052921400464</v>
      </c>
      <c r="M126" s="36">
        <f t="shared" si="5"/>
        <v>200.00000000232831</v>
      </c>
      <c r="N126" s="37">
        <f t="shared" si="6"/>
        <v>9.6867802778142504</v>
      </c>
      <c r="O126" s="36">
        <f>VLOOKUP(G126,SLA標準!$A$4:$C$7,2,FALSE)</f>
        <v>240</v>
      </c>
      <c r="P126" s="37">
        <f>VLOOKUP(G126,SLA標準!$A$4:$C$7,3,FALSE)</f>
        <v>24</v>
      </c>
      <c r="Q126" s="35" t="str">
        <f t="shared" si="7"/>
        <v>達標</v>
      </c>
      <c r="R126" s="34" t="s">
        <v>47</v>
      </c>
      <c r="S126" s="35" t="str">
        <f t="shared" si="8"/>
        <v>否</v>
      </c>
      <c r="T126" s="36" t="str">
        <f>IFERROR(VLOOKUP(A126,滿意度調查!$B$4:$D$570,3,FALSE),"")</f>
        <v/>
      </c>
      <c r="U126" s="35" t="str">
        <f t="shared" si="9"/>
        <v>2026-04</v>
      </c>
      <c r="V126" s="38">
        <f>IF(J126="已結案",0,(使用說明!$B$7-B126)*24)</f>
        <v>0</v>
      </c>
    </row>
    <row r="127" spans="1:22">
      <c r="A127" s="32" t="s">
        <v>496</v>
      </c>
      <c r="B127" s="33">
        <v>46130.683333333334</v>
      </c>
      <c r="C127" s="34" t="s">
        <v>497</v>
      </c>
      <c r="D127" s="34" t="s">
        <v>210</v>
      </c>
      <c r="E127" s="34" t="s">
        <v>265</v>
      </c>
      <c r="F127" s="34" t="s">
        <v>301</v>
      </c>
      <c r="G127" s="34" t="s">
        <v>350</v>
      </c>
      <c r="H127" s="34" t="s">
        <v>310</v>
      </c>
      <c r="I127" s="35" t="str">
        <f>VLOOKUP(H127,人員與團隊!$A$4:$D$27,3,FALSE)</f>
        <v>線上服務</v>
      </c>
      <c r="J127" s="34" t="s">
        <v>215</v>
      </c>
      <c r="K127" s="33">
        <v>46130.688888888886</v>
      </c>
      <c r="L127" s="33">
        <v>46131.277093483797</v>
      </c>
      <c r="M127" s="36">
        <f t="shared" si="5"/>
        <v>7.9999999946448952</v>
      </c>
      <c r="N127" s="37">
        <f t="shared" si="6"/>
        <v>14.250243611109909</v>
      </c>
      <c r="O127" s="36">
        <f>VLOOKUP(G127,SLA標準!$A$4:$C$7,2,FALSE)</f>
        <v>30</v>
      </c>
      <c r="P127" s="37">
        <f>VLOOKUP(G127,SLA標準!$A$4:$C$7,3,FALSE)</f>
        <v>4</v>
      </c>
      <c r="Q127" s="35" t="str">
        <f t="shared" si="7"/>
        <v>逾期</v>
      </c>
      <c r="R127" s="34" t="s">
        <v>47</v>
      </c>
      <c r="S127" s="35" t="str">
        <f t="shared" si="8"/>
        <v>是</v>
      </c>
      <c r="T127" s="36">
        <f>IFERROR(VLOOKUP(A127,滿意度調查!$B$4:$D$570,3,FALSE),"")</f>
        <v>3</v>
      </c>
      <c r="U127" s="35" t="str">
        <f t="shared" si="9"/>
        <v>2026-04</v>
      </c>
      <c r="V127" s="38">
        <f>IF(J127="已結案",0,(使用說明!$B$7-B127)*24)</f>
        <v>0</v>
      </c>
    </row>
    <row r="128" spans="1:22">
      <c r="A128" s="32" t="s">
        <v>498</v>
      </c>
      <c r="B128" s="33">
        <v>46130.7</v>
      </c>
      <c r="C128" s="34" t="s">
        <v>209</v>
      </c>
      <c r="D128" s="34" t="s">
        <v>225</v>
      </c>
      <c r="E128" s="34" t="s">
        <v>245</v>
      </c>
      <c r="F128" s="34" t="s">
        <v>246</v>
      </c>
      <c r="G128" s="34" t="s">
        <v>242</v>
      </c>
      <c r="H128" s="34" t="s">
        <v>315</v>
      </c>
      <c r="I128" s="35" t="str">
        <f>VLOOKUP(H128,人員與團隊!$A$4:$D$27,3,FALSE)</f>
        <v>北區服務</v>
      </c>
      <c r="J128" s="34" t="s">
        <v>215</v>
      </c>
      <c r="K128" s="33">
        <v>46130.786111111112</v>
      </c>
      <c r="L128" s="33">
        <v>46132.52723576389</v>
      </c>
      <c r="M128" s="36">
        <f t="shared" si="5"/>
        <v>124.0000000060536</v>
      </c>
      <c r="N128" s="37">
        <f t="shared" si="6"/>
        <v>43.853658333420753</v>
      </c>
      <c r="O128" s="36">
        <f>VLOOKUP(G128,SLA標準!$A$4:$C$7,2,FALSE)</f>
        <v>240</v>
      </c>
      <c r="P128" s="37">
        <f>VLOOKUP(G128,SLA標準!$A$4:$C$7,3,FALSE)</f>
        <v>24</v>
      </c>
      <c r="Q128" s="35" t="str">
        <f t="shared" si="7"/>
        <v>逾期</v>
      </c>
      <c r="R128" s="34" t="s">
        <v>47</v>
      </c>
      <c r="S128" s="35" t="str">
        <f t="shared" si="8"/>
        <v>是</v>
      </c>
      <c r="T128" s="36">
        <f>IFERROR(VLOOKUP(A128,滿意度調查!$B$4:$D$570,3,FALSE),"")</f>
        <v>3</v>
      </c>
      <c r="U128" s="35" t="str">
        <f t="shared" si="9"/>
        <v>2026-04</v>
      </c>
      <c r="V128" s="38">
        <f>IF(J128="已結案",0,(使用說明!$B$7-B128)*24)</f>
        <v>0</v>
      </c>
    </row>
    <row r="129" spans="1:22">
      <c r="A129" s="32" t="s">
        <v>499</v>
      </c>
      <c r="B129" s="33">
        <v>46130.724999999999</v>
      </c>
      <c r="C129" s="34" t="s">
        <v>500</v>
      </c>
      <c r="D129" s="34" t="s">
        <v>240</v>
      </c>
      <c r="E129" s="34" t="s">
        <v>211</v>
      </c>
      <c r="F129" s="34" t="s">
        <v>334</v>
      </c>
      <c r="G129" s="34" t="s">
        <v>242</v>
      </c>
      <c r="H129" s="34" t="s">
        <v>274</v>
      </c>
      <c r="I129" s="35" t="str">
        <f>VLOOKUP(H129,人員與團隊!$A$4:$D$27,3,FALSE)</f>
        <v>南區服務</v>
      </c>
      <c r="J129" s="34" t="s">
        <v>215</v>
      </c>
      <c r="K129" s="33">
        <v>46130.931250000001</v>
      </c>
      <c r="L129" s="33">
        <v>46131.029994872682</v>
      </c>
      <c r="M129" s="36">
        <f t="shared" si="5"/>
        <v>297.00000000419095</v>
      </c>
      <c r="N129" s="37">
        <f t="shared" si="6"/>
        <v>7.3198769444134086</v>
      </c>
      <c r="O129" s="36">
        <f>VLOOKUP(G129,SLA標準!$A$4:$C$7,2,FALSE)</f>
        <v>240</v>
      </c>
      <c r="P129" s="37">
        <f>VLOOKUP(G129,SLA標準!$A$4:$C$7,3,FALSE)</f>
        <v>24</v>
      </c>
      <c r="Q129" s="35" t="str">
        <f t="shared" si="7"/>
        <v>逾期</v>
      </c>
      <c r="R129" s="34" t="s">
        <v>47</v>
      </c>
      <c r="S129" s="35" t="str">
        <f t="shared" si="8"/>
        <v>是</v>
      </c>
      <c r="T129" s="36">
        <f>IFERROR(VLOOKUP(A129,滿意度調查!$B$4:$D$570,3,FALSE),"")</f>
        <v>4</v>
      </c>
      <c r="U129" s="35" t="str">
        <f t="shared" si="9"/>
        <v>2026-04</v>
      </c>
      <c r="V129" s="38">
        <f>IF(J129="已結案",0,(使用說明!$B$7-B129)*24)</f>
        <v>0</v>
      </c>
    </row>
    <row r="130" spans="1:22">
      <c r="A130" s="32" t="s">
        <v>501</v>
      </c>
      <c r="B130" s="33">
        <v>46130.734027777777</v>
      </c>
      <c r="C130" s="34" t="s">
        <v>502</v>
      </c>
      <c r="D130" s="34" t="s">
        <v>218</v>
      </c>
      <c r="E130" s="34" t="s">
        <v>211</v>
      </c>
      <c r="F130" s="34" t="s">
        <v>331</v>
      </c>
      <c r="G130" s="34" t="s">
        <v>242</v>
      </c>
      <c r="H130" s="34" t="s">
        <v>222</v>
      </c>
      <c r="I130" s="35" t="str">
        <f>VLOOKUP(H130,人員與團隊!$A$4:$D$27,3,FALSE)</f>
        <v>北區服務</v>
      </c>
      <c r="J130" s="34" t="s">
        <v>215</v>
      </c>
      <c r="K130" s="33">
        <v>46130.854861111111</v>
      </c>
      <c r="L130" s="33">
        <v>46130.972173587965</v>
      </c>
      <c r="M130" s="36">
        <f t="shared" si="5"/>
        <v>174.00000000139698</v>
      </c>
      <c r="N130" s="37">
        <f t="shared" si="6"/>
        <v>5.7154994445154443</v>
      </c>
      <c r="O130" s="36">
        <f>VLOOKUP(G130,SLA標準!$A$4:$C$7,2,FALSE)</f>
        <v>240</v>
      </c>
      <c r="P130" s="37">
        <f>VLOOKUP(G130,SLA標準!$A$4:$C$7,3,FALSE)</f>
        <v>24</v>
      </c>
      <c r="Q130" s="35" t="str">
        <f t="shared" si="7"/>
        <v>達標</v>
      </c>
      <c r="R130" s="34" t="s">
        <v>41</v>
      </c>
      <c r="S130" s="35" t="str">
        <f t="shared" si="8"/>
        <v>是</v>
      </c>
      <c r="T130" s="36">
        <f>IFERROR(VLOOKUP(A130,滿意度調查!$B$4:$D$570,3,FALSE),"")</f>
        <v>4</v>
      </c>
      <c r="U130" s="35" t="str">
        <f t="shared" si="9"/>
        <v>2026-04</v>
      </c>
      <c r="V130" s="38">
        <f>IF(J130="已結案",0,(使用說明!$B$7-B130)*24)</f>
        <v>0</v>
      </c>
    </row>
    <row r="131" spans="1:22">
      <c r="A131" s="32" t="s">
        <v>503</v>
      </c>
      <c r="B131" s="33">
        <v>46130.753472222219</v>
      </c>
      <c r="C131" s="34" t="s">
        <v>303</v>
      </c>
      <c r="D131" s="34" t="s">
        <v>218</v>
      </c>
      <c r="E131" s="34" t="s">
        <v>265</v>
      </c>
      <c r="F131" s="34" t="s">
        <v>304</v>
      </c>
      <c r="G131" s="34" t="s">
        <v>242</v>
      </c>
      <c r="H131" s="34" t="s">
        <v>232</v>
      </c>
      <c r="I131" s="35" t="str">
        <f>VLOOKUP(H131,人員與團隊!$A$4:$D$27,3,FALSE)</f>
        <v>北區服務</v>
      </c>
      <c r="J131" s="34" t="s">
        <v>215</v>
      </c>
      <c r="K131" s="33">
        <v>46130.884722222225</v>
      </c>
      <c r="L131" s="33">
        <v>46131.422905983796</v>
      </c>
      <c r="M131" s="36">
        <f t="shared" si="5"/>
        <v>189.0000000083819</v>
      </c>
      <c r="N131" s="37">
        <f t="shared" si="6"/>
        <v>16.06641027785372</v>
      </c>
      <c r="O131" s="36">
        <f>VLOOKUP(G131,SLA標準!$A$4:$C$7,2,FALSE)</f>
        <v>240</v>
      </c>
      <c r="P131" s="37">
        <f>VLOOKUP(G131,SLA標準!$A$4:$C$7,3,FALSE)</f>
        <v>24</v>
      </c>
      <c r="Q131" s="35" t="str">
        <f t="shared" si="7"/>
        <v>達標</v>
      </c>
      <c r="R131" s="34" t="s">
        <v>47</v>
      </c>
      <c r="S131" s="35" t="str">
        <f t="shared" si="8"/>
        <v>是</v>
      </c>
      <c r="T131" s="36">
        <f>IFERROR(VLOOKUP(A131,滿意度調查!$B$4:$D$570,3,FALSE),"")</f>
        <v>4</v>
      </c>
      <c r="U131" s="35" t="str">
        <f t="shared" si="9"/>
        <v>2026-04</v>
      </c>
      <c r="V131" s="38">
        <f>IF(J131="已結案",0,(使用說明!$B$7-B131)*24)</f>
        <v>0</v>
      </c>
    </row>
    <row r="132" spans="1:22">
      <c r="A132" s="32" t="s">
        <v>504</v>
      </c>
      <c r="B132" s="33">
        <v>46130.772916666669</v>
      </c>
      <c r="C132" s="34" t="s">
        <v>284</v>
      </c>
      <c r="D132" s="34" t="s">
        <v>210</v>
      </c>
      <c r="E132" s="34" t="s">
        <v>235</v>
      </c>
      <c r="F132" s="34" t="s">
        <v>236</v>
      </c>
      <c r="G132" s="34" t="s">
        <v>242</v>
      </c>
      <c r="H132" s="34" t="s">
        <v>305</v>
      </c>
      <c r="I132" s="35" t="str">
        <f>VLOOKUP(H132,人員與團隊!$A$4:$D$27,3,FALSE)</f>
        <v>線上服務</v>
      </c>
      <c r="J132" s="34" t="s">
        <v>215</v>
      </c>
      <c r="K132" s="33">
        <v>46130.847916666666</v>
      </c>
      <c r="L132" s="33">
        <v>46131.018142581015</v>
      </c>
      <c r="M132" s="36">
        <f t="shared" ref="M132:M195" si="10">IF(K132="","",(K132-B132)*1440)</f>
        <v>107.99999999580905</v>
      </c>
      <c r="N132" s="37">
        <f t="shared" ref="N132:N195" si="11">IF(L132="","",(L132-B132)*24)</f>
        <v>5.8854219443164766</v>
      </c>
      <c r="O132" s="36">
        <f>VLOOKUP(G132,SLA標準!$A$4:$C$7,2,FALSE)</f>
        <v>240</v>
      </c>
      <c r="P132" s="37">
        <f>VLOOKUP(G132,SLA標準!$A$4:$C$7,3,FALSE)</f>
        <v>24</v>
      </c>
      <c r="Q132" s="35" t="str">
        <f t="shared" ref="Q132:Q195" si="12">IF(J132="已結案",IF(AND(M132&lt;=O132,N132&lt;=P132),"達標","逾期"),IF(OR(M132&gt;O132,V132&gt;P132),"逾期","進行中"))</f>
        <v>達標</v>
      </c>
      <c r="R132" s="34" t="s">
        <v>47</v>
      </c>
      <c r="S132" s="35" t="str">
        <f t="shared" ref="S132:S195" si="13">IF(T132="","否","是")</f>
        <v>否</v>
      </c>
      <c r="T132" s="36" t="str">
        <f>IFERROR(VLOOKUP(A132,滿意度調查!$B$4:$D$570,3,FALSE),"")</f>
        <v/>
      </c>
      <c r="U132" s="35" t="str">
        <f t="shared" ref="U132:U195" si="14">TEXT(B132,"yyyy-mm")</f>
        <v>2026-04</v>
      </c>
      <c r="V132" s="38">
        <f>IF(J132="已結案",0,(使用說明!$B$7-B132)*24)</f>
        <v>0</v>
      </c>
    </row>
    <row r="133" spans="1:22">
      <c r="A133" s="32" t="s">
        <v>505</v>
      </c>
      <c r="B133" s="33">
        <v>46130.82916666667</v>
      </c>
      <c r="C133" s="34" t="s">
        <v>506</v>
      </c>
      <c r="D133" s="34" t="s">
        <v>210</v>
      </c>
      <c r="E133" s="34" t="s">
        <v>230</v>
      </c>
      <c r="F133" s="34" t="s">
        <v>339</v>
      </c>
      <c r="G133" s="34" t="s">
        <v>213</v>
      </c>
      <c r="H133" s="34" t="s">
        <v>214</v>
      </c>
      <c r="I133" s="35" t="str">
        <f>VLOOKUP(H133,人員與團隊!$A$4:$D$27,3,FALSE)</f>
        <v>北區服務</v>
      </c>
      <c r="J133" s="34" t="s">
        <v>215</v>
      </c>
      <c r="K133" s="33">
        <v>46130.906944444447</v>
      </c>
      <c r="L133" s="33">
        <v>46131.390192256942</v>
      </c>
      <c r="M133" s="36">
        <f t="shared" si="10"/>
        <v>111.99999999837019</v>
      </c>
      <c r="N133" s="37">
        <f t="shared" si="11"/>
        <v>13.464614166528918</v>
      </c>
      <c r="O133" s="36">
        <f>VLOOKUP(G133,SLA標準!$A$4:$C$7,2,FALSE)</f>
        <v>480</v>
      </c>
      <c r="P133" s="37">
        <f>VLOOKUP(G133,SLA標準!$A$4:$C$7,3,FALSE)</f>
        <v>48</v>
      </c>
      <c r="Q133" s="35" t="str">
        <f t="shared" si="12"/>
        <v>達標</v>
      </c>
      <c r="R133" s="34" t="s">
        <v>47</v>
      </c>
      <c r="S133" s="35" t="str">
        <f t="shared" si="13"/>
        <v>否</v>
      </c>
      <c r="T133" s="36" t="str">
        <f>IFERROR(VLOOKUP(A133,滿意度調查!$B$4:$D$570,3,FALSE),"")</f>
        <v/>
      </c>
      <c r="U133" s="35" t="str">
        <f t="shared" si="14"/>
        <v>2026-04</v>
      </c>
      <c r="V133" s="38">
        <f>IF(J133="已結案",0,(使用說明!$B$7-B133)*24)</f>
        <v>0</v>
      </c>
    </row>
    <row r="134" spans="1:22">
      <c r="A134" s="32" t="s">
        <v>507</v>
      </c>
      <c r="B134" s="33">
        <v>46131.351388888892</v>
      </c>
      <c r="C134" s="34" t="s">
        <v>508</v>
      </c>
      <c r="D134" s="34" t="s">
        <v>240</v>
      </c>
      <c r="E134" s="34" t="s">
        <v>219</v>
      </c>
      <c r="F134" s="34" t="s">
        <v>249</v>
      </c>
      <c r="G134" s="34" t="s">
        <v>242</v>
      </c>
      <c r="H134" s="34" t="s">
        <v>254</v>
      </c>
      <c r="I134" s="35" t="str">
        <f>VLOOKUP(H134,人員與團隊!$A$4:$D$27,3,FALSE)</f>
        <v>線上服務</v>
      </c>
      <c r="J134" s="34" t="s">
        <v>215</v>
      </c>
      <c r="K134" s="33">
        <v>46131.522916666669</v>
      </c>
      <c r="L134" s="33">
        <v>46132.14666165509</v>
      </c>
      <c r="M134" s="36">
        <f t="shared" si="10"/>
        <v>246.99999999837019</v>
      </c>
      <c r="N134" s="37">
        <f t="shared" si="11"/>
        <v>19.086546388745774</v>
      </c>
      <c r="O134" s="36">
        <f>VLOOKUP(G134,SLA標準!$A$4:$C$7,2,FALSE)</f>
        <v>240</v>
      </c>
      <c r="P134" s="37">
        <f>VLOOKUP(G134,SLA標準!$A$4:$C$7,3,FALSE)</f>
        <v>24</v>
      </c>
      <c r="Q134" s="35" t="str">
        <f t="shared" si="12"/>
        <v>逾期</v>
      </c>
      <c r="R134" s="34" t="s">
        <v>47</v>
      </c>
      <c r="S134" s="35" t="str">
        <f t="shared" si="13"/>
        <v>是</v>
      </c>
      <c r="T134" s="36">
        <f>IFERROR(VLOOKUP(A134,滿意度調查!$B$4:$D$570,3,FALSE),"")</f>
        <v>4</v>
      </c>
      <c r="U134" s="35" t="str">
        <f t="shared" si="14"/>
        <v>2026-04</v>
      </c>
      <c r="V134" s="38">
        <f>IF(J134="已結案",0,(使用說明!$B$7-B134)*24)</f>
        <v>0</v>
      </c>
    </row>
    <row r="135" spans="1:22">
      <c r="A135" s="32" t="s">
        <v>509</v>
      </c>
      <c r="B135" s="33">
        <v>46131.424305555556</v>
      </c>
      <c r="C135" s="34" t="s">
        <v>510</v>
      </c>
      <c r="D135" s="34" t="s">
        <v>218</v>
      </c>
      <c r="E135" s="34" t="s">
        <v>211</v>
      </c>
      <c r="F135" s="34" t="s">
        <v>334</v>
      </c>
      <c r="G135" s="34" t="s">
        <v>242</v>
      </c>
      <c r="H135" s="34" t="s">
        <v>250</v>
      </c>
      <c r="I135" s="35" t="str">
        <f>VLOOKUP(H135,人員與團隊!$A$4:$D$27,3,FALSE)</f>
        <v>南區服務</v>
      </c>
      <c r="J135" s="34" t="s">
        <v>215</v>
      </c>
      <c r="K135" s="33">
        <v>46131.582638888889</v>
      </c>
      <c r="L135" s="33">
        <v>46131.565232777779</v>
      </c>
      <c r="M135" s="36">
        <f t="shared" si="10"/>
        <v>227.99999999930151</v>
      </c>
      <c r="N135" s="37">
        <f t="shared" si="11"/>
        <v>3.3822533333441243</v>
      </c>
      <c r="O135" s="36">
        <f>VLOOKUP(G135,SLA標準!$A$4:$C$7,2,FALSE)</f>
        <v>240</v>
      </c>
      <c r="P135" s="37">
        <f>VLOOKUP(G135,SLA標準!$A$4:$C$7,3,FALSE)</f>
        <v>24</v>
      </c>
      <c r="Q135" s="35" t="str">
        <f t="shared" si="12"/>
        <v>達標</v>
      </c>
      <c r="R135" s="34" t="s">
        <v>47</v>
      </c>
      <c r="S135" s="35" t="str">
        <f t="shared" si="13"/>
        <v>是</v>
      </c>
      <c r="T135" s="36">
        <f>IFERROR(VLOOKUP(A135,滿意度調查!$B$4:$D$570,3,FALSE),"")</f>
        <v>5</v>
      </c>
      <c r="U135" s="35" t="str">
        <f t="shared" si="14"/>
        <v>2026-04</v>
      </c>
      <c r="V135" s="38">
        <f>IF(J135="已結案",0,(使用說明!$B$7-B135)*24)</f>
        <v>0</v>
      </c>
    </row>
    <row r="136" spans="1:22">
      <c r="A136" s="32" t="s">
        <v>511</v>
      </c>
      <c r="B136" s="33">
        <v>46131.51458333333</v>
      </c>
      <c r="C136" s="34" t="s">
        <v>512</v>
      </c>
      <c r="D136" s="34" t="s">
        <v>210</v>
      </c>
      <c r="E136" s="34" t="s">
        <v>230</v>
      </c>
      <c r="F136" s="34" t="s">
        <v>231</v>
      </c>
      <c r="G136" s="34" t="s">
        <v>221</v>
      </c>
      <c r="H136" s="34" t="s">
        <v>315</v>
      </c>
      <c r="I136" s="35" t="str">
        <f>VLOOKUP(H136,人員與團隊!$A$4:$D$27,3,FALSE)</f>
        <v>北區服務</v>
      </c>
      <c r="J136" s="34" t="s">
        <v>356</v>
      </c>
      <c r="K136" s="33">
        <v>46131.538194444445</v>
      </c>
      <c r="L136" s="33"/>
      <c r="M136" s="36">
        <f t="shared" si="10"/>
        <v>34.000000006053597</v>
      </c>
      <c r="N136" s="37" t="str">
        <f t="shared" si="11"/>
        <v/>
      </c>
      <c r="O136" s="36">
        <f>VLOOKUP(G136,SLA標準!$A$4:$C$7,2,FALSE)</f>
        <v>60</v>
      </c>
      <c r="P136" s="37">
        <f>VLOOKUP(G136,SLA標準!$A$4:$C$7,3,FALSE)</f>
        <v>8</v>
      </c>
      <c r="Q136" s="35" t="str">
        <f t="shared" si="12"/>
        <v>逾期</v>
      </c>
      <c r="R136" s="34" t="s">
        <v>47</v>
      </c>
      <c r="S136" s="35" t="str">
        <f t="shared" si="13"/>
        <v>否</v>
      </c>
      <c r="T136" s="36" t="str">
        <f>IFERROR(VLOOKUP(A136,滿意度調查!$B$4:$D$570,3,FALSE),"")</f>
        <v/>
      </c>
      <c r="U136" s="35" t="str">
        <f t="shared" si="14"/>
        <v>2026-04</v>
      </c>
      <c r="V136" s="38">
        <f>IF(J136="已結案",0,(使用說明!$B$7-B136)*24)</f>
        <v>1748.6500000000815</v>
      </c>
    </row>
    <row r="137" spans="1:22">
      <c r="A137" s="32" t="s">
        <v>513</v>
      </c>
      <c r="B137" s="33">
        <v>46131.534722222219</v>
      </c>
      <c r="C137" s="34" t="s">
        <v>464</v>
      </c>
      <c r="D137" s="34" t="s">
        <v>210</v>
      </c>
      <c r="E137" s="34" t="s">
        <v>230</v>
      </c>
      <c r="F137" s="34" t="s">
        <v>320</v>
      </c>
      <c r="G137" s="34" t="s">
        <v>242</v>
      </c>
      <c r="H137" s="34" t="s">
        <v>381</v>
      </c>
      <c r="I137" s="35" t="str">
        <f>VLOOKUP(H137,人員與團隊!$A$4:$D$27,3,FALSE)</f>
        <v>線上服務</v>
      </c>
      <c r="J137" s="34" t="s">
        <v>215</v>
      </c>
      <c r="K137" s="33">
        <v>46131.599305555559</v>
      </c>
      <c r="L137" s="33">
        <v>46132.249033287037</v>
      </c>
      <c r="M137" s="36">
        <f t="shared" si="10"/>
        <v>93.000000009778887</v>
      </c>
      <c r="N137" s="37">
        <f t="shared" si="11"/>
        <v>17.143465555622242</v>
      </c>
      <c r="O137" s="36">
        <f>VLOOKUP(G137,SLA標準!$A$4:$C$7,2,FALSE)</f>
        <v>240</v>
      </c>
      <c r="P137" s="37">
        <f>VLOOKUP(G137,SLA標準!$A$4:$C$7,3,FALSE)</f>
        <v>24</v>
      </c>
      <c r="Q137" s="35" t="str">
        <f t="shared" si="12"/>
        <v>達標</v>
      </c>
      <c r="R137" s="34" t="s">
        <v>47</v>
      </c>
      <c r="S137" s="35" t="str">
        <f t="shared" si="13"/>
        <v>是</v>
      </c>
      <c r="T137" s="36">
        <f>IFERROR(VLOOKUP(A137,滿意度調查!$B$4:$D$570,3,FALSE),"")</f>
        <v>5</v>
      </c>
      <c r="U137" s="35" t="str">
        <f t="shared" si="14"/>
        <v>2026-04</v>
      </c>
      <c r="V137" s="38">
        <f>IF(J137="已結案",0,(使用說明!$B$7-B137)*24)</f>
        <v>0</v>
      </c>
    </row>
    <row r="138" spans="1:22">
      <c r="A138" s="32" t="s">
        <v>514</v>
      </c>
      <c r="B138" s="33">
        <v>46131.6</v>
      </c>
      <c r="C138" s="34" t="s">
        <v>515</v>
      </c>
      <c r="D138" s="34" t="s">
        <v>210</v>
      </c>
      <c r="E138" s="34" t="s">
        <v>230</v>
      </c>
      <c r="F138" s="34" t="s">
        <v>231</v>
      </c>
      <c r="G138" s="34" t="s">
        <v>242</v>
      </c>
      <c r="H138" s="34" t="s">
        <v>243</v>
      </c>
      <c r="I138" s="35" t="str">
        <f>VLOOKUP(H138,人員與團隊!$A$4:$D$27,3,FALSE)</f>
        <v>南區服務</v>
      </c>
      <c r="J138" s="34" t="s">
        <v>215</v>
      </c>
      <c r="K138" s="33">
        <v>46131.660416666666</v>
      </c>
      <c r="L138" s="33">
        <v>46132.960717974536</v>
      </c>
      <c r="M138" s="36">
        <f t="shared" si="10"/>
        <v>87.000000000698492</v>
      </c>
      <c r="N138" s="37">
        <f t="shared" si="11"/>
        <v>32.65723138890462</v>
      </c>
      <c r="O138" s="36">
        <f>VLOOKUP(G138,SLA標準!$A$4:$C$7,2,FALSE)</f>
        <v>240</v>
      </c>
      <c r="P138" s="37">
        <f>VLOOKUP(G138,SLA標準!$A$4:$C$7,3,FALSE)</f>
        <v>24</v>
      </c>
      <c r="Q138" s="35" t="str">
        <f t="shared" si="12"/>
        <v>逾期</v>
      </c>
      <c r="R138" s="34" t="s">
        <v>47</v>
      </c>
      <c r="S138" s="35" t="str">
        <f t="shared" si="13"/>
        <v>否</v>
      </c>
      <c r="T138" s="36" t="str">
        <f>IFERROR(VLOOKUP(A138,滿意度調查!$B$4:$D$570,3,FALSE),"")</f>
        <v/>
      </c>
      <c r="U138" s="35" t="str">
        <f t="shared" si="14"/>
        <v>2026-04</v>
      </c>
      <c r="V138" s="38">
        <f>IF(J138="已結案",0,(使用說明!$B$7-B138)*24)</f>
        <v>0</v>
      </c>
    </row>
    <row r="139" spans="1:22">
      <c r="A139" s="32" t="s">
        <v>516</v>
      </c>
      <c r="B139" s="33">
        <v>46131.683333333334</v>
      </c>
      <c r="C139" s="34" t="s">
        <v>517</v>
      </c>
      <c r="D139" s="34" t="s">
        <v>225</v>
      </c>
      <c r="E139" s="34" t="s">
        <v>230</v>
      </c>
      <c r="F139" s="34" t="s">
        <v>339</v>
      </c>
      <c r="G139" s="34" t="s">
        <v>221</v>
      </c>
      <c r="H139" s="34" t="s">
        <v>237</v>
      </c>
      <c r="I139" s="35" t="str">
        <f>VLOOKUP(H139,人員與團隊!$A$4:$D$27,3,FALSE)</f>
        <v>北區服務</v>
      </c>
      <c r="J139" s="34" t="s">
        <v>356</v>
      </c>
      <c r="K139" s="33">
        <v>46131.70416666667</v>
      </c>
      <c r="L139" s="33"/>
      <c r="M139" s="36">
        <f t="shared" si="10"/>
        <v>30.00000000349246</v>
      </c>
      <c r="N139" s="37" t="str">
        <f t="shared" si="11"/>
        <v/>
      </c>
      <c r="O139" s="36">
        <f>VLOOKUP(G139,SLA標準!$A$4:$C$7,2,FALSE)</f>
        <v>60</v>
      </c>
      <c r="P139" s="37">
        <f>VLOOKUP(G139,SLA標準!$A$4:$C$7,3,FALSE)</f>
        <v>8</v>
      </c>
      <c r="Q139" s="35" t="str">
        <f t="shared" si="12"/>
        <v>逾期</v>
      </c>
      <c r="R139" s="34" t="s">
        <v>47</v>
      </c>
      <c r="S139" s="35" t="str">
        <f t="shared" si="13"/>
        <v>否</v>
      </c>
      <c r="T139" s="36" t="str">
        <f>IFERROR(VLOOKUP(A139,滿意度調查!$B$4:$D$570,3,FALSE),"")</f>
        <v/>
      </c>
      <c r="U139" s="35" t="str">
        <f t="shared" si="14"/>
        <v>2026-04</v>
      </c>
      <c r="V139" s="38">
        <f>IF(J139="已結案",0,(使用說明!$B$7-B139)*24)</f>
        <v>1744.5999999999767</v>
      </c>
    </row>
    <row r="140" spans="1:22">
      <c r="A140" s="32" t="s">
        <v>518</v>
      </c>
      <c r="B140" s="33">
        <v>46131.806944444441</v>
      </c>
      <c r="C140" s="34" t="s">
        <v>512</v>
      </c>
      <c r="D140" s="34" t="s">
        <v>210</v>
      </c>
      <c r="E140" s="34" t="s">
        <v>235</v>
      </c>
      <c r="F140" s="34" t="s">
        <v>253</v>
      </c>
      <c r="G140" s="34" t="s">
        <v>242</v>
      </c>
      <c r="H140" s="34" t="s">
        <v>325</v>
      </c>
      <c r="I140" s="35" t="str">
        <f>VLOOKUP(H140,人員與團隊!$A$4:$D$27,3,FALSE)</f>
        <v>線上服務</v>
      </c>
      <c r="J140" s="34" t="s">
        <v>215</v>
      </c>
      <c r="K140" s="33">
        <v>46131.905555555553</v>
      </c>
      <c r="L140" s="33">
        <v>46132.118457962963</v>
      </c>
      <c r="M140" s="36">
        <f t="shared" si="10"/>
        <v>142.00000000186265</v>
      </c>
      <c r="N140" s="37">
        <f t="shared" si="11"/>
        <v>7.4763244445202872</v>
      </c>
      <c r="O140" s="36">
        <f>VLOOKUP(G140,SLA標準!$A$4:$C$7,2,FALSE)</f>
        <v>240</v>
      </c>
      <c r="P140" s="37">
        <f>VLOOKUP(G140,SLA標準!$A$4:$C$7,3,FALSE)</f>
        <v>24</v>
      </c>
      <c r="Q140" s="35" t="str">
        <f t="shared" si="12"/>
        <v>達標</v>
      </c>
      <c r="R140" s="34" t="s">
        <v>47</v>
      </c>
      <c r="S140" s="35" t="str">
        <f t="shared" si="13"/>
        <v>否</v>
      </c>
      <c r="T140" s="36" t="str">
        <f>IFERROR(VLOOKUP(A140,滿意度調查!$B$4:$D$570,3,FALSE),"")</f>
        <v/>
      </c>
      <c r="U140" s="35" t="str">
        <f t="shared" si="14"/>
        <v>2026-04</v>
      </c>
      <c r="V140" s="38">
        <f>IF(J140="已結案",0,(使用說明!$B$7-B140)*24)</f>
        <v>0</v>
      </c>
    </row>
    <row r="141" spans="1:22">
      <c r="A141" s="32" t="s">
        <v>519</v>
      </c>
      <c r="B141" s="33">
        <v>46132.487500000003</v>
      </c>
      <c r="C141" s="34" t="s">
        <v>476</v>
      </c>
      <c r="D141" s="34" t="s">
        <v>210</v>
      </c>
      <c r="E141" s="34" t="s">
        <v>235</v>
      </c>
      <c r="F141" s="34" t="s">
        <v>298</v>
      </c>
      <c r="G141" s="34" t="s">
        <v>242</v>
      </c>
      <c r="H141" s="34" t="s">
        <v>254</v>
      </c>
      <c r="I141" s="35" t="str">
        <f>VLOOKUP(H141,人員與團隊!$A$4:$D$27,3,FALSE)</f>
        <v>線上服務</v>
      </c>
      <c r="J141" s="34" t="s">
        <v>215</v>
      </c>
      <c r="K141" s="33">
        <v>46132.568749999999</v>
      </c>
      <c r="L141" s="33">
        <v>46132.752435219911</v>
      </c>
      <c r="M141" s="36">
        <f t="shared" si="10"/>
        <v>116.99999999371357</v>
      </c>
      <c r="N141" s="37">
        <f t="shared" si="11"/>
        <v>6.3584452777868137</v>
      </c>
      <c r="O141" s="36">
        <f>VLOOKUP(G141,SLA標準!$A$4:$C$7,2,FALSE)</f>
        <v>240</v>
      </c>
      <c r="P141" s="37">
        <f>VLOOKUP(G141,SLA標準!$A$4:$C$7,3,FALSE)</f>
        <v>24</v>
      </c>
      <c r="Q141" s="35" t="str">
        <f t="shared" si="12"/>
        <v>達標</v>
      </c>
      <c r="R141" s="34" t="s">
        <v>47</v>
      </c>
      <c r="S141" s="35" t="str">
        <f t="shared" si="13"/>
        <v>是</v>
      </c>
      <c r="T141" s="36">
        <f>IFERROR(VLOOKUP(A141,滿意度調查!$B$4:$D$570,3,FALSE),"")</f>
        <v>5</v>
      </c>
      <c r="U141" s="35" t="str">
        <f t="shared" si="14"/>
        <v>2026-04</v>
      </c>
      <c r="V141" s="38">
        <f>IF(J141="已結案",0,(使用說明!$B$7-B141)*24)</f>
        <v>0</v>
      </c>
    </row>
    <row r="142" spans="1:22">
      <c r="A142" s="32" t="s">
        <v>520</v>
      </c>
      <c r="B142" s="33">
        <v>46132.673611111109</v>
      </c>
      <c r="C142" s="34" t="s">
        <v>521</v>
      </c>
      <c r="D142" s="34" t="s">
        <v>225</v>
      </c>
      <c r="E142" s="34" t="s">
        <v>245</v>
      </c>
      <c r="F142" s="34" t="s">
        <v>282</v>
      </c>
      <c r="G142" s="34" t="s">
        <v>350</v>
      </c>
      <c r="H142" s="34" t="s">
        <v>279</v>
      </c>
      <c r="I142" s="35" t="str">
        <f>VLOOKUP(H142,人員與團隊!$A$4:$D$27,3,FALSE)</f>
        <v>南區服務</v>
      </c>
      <c r="J142" s="34" t="s">
        <v>215</v>
      </c>
      <c r="K142" s="33">
        <v>46132.69027777778</v>
      </c>
      <c r="L142" s="33">
        <v>46133.303970960646</v>
      </c>
      <c r="M142" s="36">
        <f t="shared" si="10"/>
        <v>24.000000004889444</v>
      </c>
      <c r="N142" s="37">
        <f t="shared" si="11"/>
        <v>15.128636388864834</v>
      </c>
      <c r="O142" s="36">
        <f>VLOOKUP(G142,SLA標準!$A$4:$C$7,2,FALSE)</f>
        <v>30</v>
      </c>
      <c r="P142" s="37">
        <f>VLOOKUP(G142,SLA標準!$A$4:$C$7,3,FALSE)</f>
        <v>4</v>
      </c>
      <c r="Q142" s="35" t="str">
        <f t="shared" si="12"/>
        <v>逾期</v>
      </c>
      <c r="R142" s="34" t="s">
        <v>47</v>
      </c>
      <c r="S142" s="35" t="str">
        <f t="shared" si="13"/>
        <v>是</v>
      </c>
      <c r="T142" s="36">
        <f>IFERROR(VLOOKUP(A142,滿意度調查!$B$4:$D$570,3,FALSE),"")</f>
        <v>2</v>
      </c>
      <c r="U142" s="35" t="str">
        <f t="shared" si="14"/>
        <v>2026-04</v>
      </c>
      <c r="V142" s="38">
        <f>IF(J142="已結案",0,(使用說明!$B$7-B142)*24)</f>
        <v>0</v>
      </c>
    </row>
    <row r="143" spans="1:22">
      <c r="A143" s="32" t="s">
        <v>522</v>
      </c>
      <c r="B143" s="33">
        <v>46132.699305555558</v>
      </c>
      <c r="C143" s="34" t="s">
        <v>523</v>
      </c>
      <c r="D143" s="34" t="s">
        <v>210</v>
      </c>
      <c r="E143" s="34" t="s">
        <v>211</v>
      </c>
      <c r="F143" s="34" t="s">
        <v>226</v>
      </c>
      <c r="G143" s="34" t="s">
        <v>350</v>
      </c>
      <c r="H143" s="34" t="s">
        <v>361</v>
      </c>
      <c r="I143" s="35" t="str">
        <f>VLOOKUP(H143,人員與團隊!$A$4:$D$27,3,FALSE)</f>
        <v>南區服務</v>
      </c>
      <c r="J143" s="34" t="s">
        <v>215</v>
      </c>
      <c r="K143" s="33">
        <v>46132.70416666667</v>
      </c>
      <c r="L143" s="33">
        <v>46132.792050393517</v>
      </c>
      <c r="M143" s="36">
        <f t="shared" si="10"/>
        <v>7.0000000018626451</v>
      </c>
      <c r="N143" s="37">
        <f t="shared" si="11"/>
        <v>2.2258761110133491</v>
      </c>
      <c r="O143" s="36">
        <f>VLOOKUP(G143,SLA標準!$A$4:$C$7,2,FALSE)</f>
        <v>30</v>
      </c>
      <c r="P143" s="37">
        <f>VLOOKUP(G143,SLA標準!$A$4:$C$7,3,FALSE)</f>
        <v>4</v>
      </c>
      <c r="Q143" s="35" t="str">
        <f t="shared" si="12"/>
        <v>達標</v>
      </c>
      <c r="R143" s="34" t="s">
        <v>47</v>
      </c>
      <c r="S143" s="35" t="str">
        <f t="shared" si="13"/>
        <v>是</v>
      </c>
      <c r="T143" s="36">
        <f>IFERROR(VLOOKUP(A143,滿意度調查!$B$4:$D$570,3,FALSE),"")</f>
        <v>5</v>
      </c>
      <c r="U143" s="35" t="str">
        <f t="shared" si="14"/>
        <v>2026-04</v>
      </c>
      <c r="V143" s="38">
        <f>IF(J143="已結案",0,(使用說明!$B$7-B143)*24)</f>
        <v>0</v>
      </c>
    </row>
    <row r="144" spans="1:22">
      <c r="A144" s="32" t="s">
        <v>524</v>
      </c>
      <c r="B144" s="33">
        <v>46132.748611111114</v>
      </c>
      <c r="C144" s="34" t="s">
        <v>364</v>
      </c>
      <c r="D144" s="34" t="s">
        <v>218</v>
      </c>
      <c r="E144" s="34" t="s">
        <v>245</v>
      </c>
      <c r="F144" s="34" t="s">
        <v>282</v>
      </c>
      <c r="G144" s="34" t="s">
        <v>242</v>
      </c>
      <c r="H144" s="34" t="s">
        <v>274</v>
      </c>
      <c r="I144" s="35" t="str">
        <f>VLOOKUP(H144,人員與團隊!$A$4:$D$27,3,FALSE)</f>
        <v>南區服務</v>
      </c>
      <c r="J144" s="34" t="s">
        <v>215</v>
      </c>
      <c r="K144" s="33">
        <v>46133.004861111112</v>
      </c>
      <c r="L144" s="33">
        <v>46134.052751539355</v>
      </c>
      <c r="M144" s="36">
        <f t="shared" si="10"/>
        <v>368.99999999790452</v>
      </c>
      <c r="N144" s="37">
        <f t="shared" si="11"/>
        <v>31.299370277789421</v>
      </c>
      <c r="O144" s="36">
        <f>VLOOKUP(G144,SLA標準!$A$4:$C$7,2,FALSE)</f>
        <v>240</v>
      </c>
      <c r="P144" s="37">
        <f>VLOOKUP(G144,SLA標準!$A$4:$C$7,3,FALSE)</f>
        <v>24</v>
      </c>
      <c r="Q144" s="35" t="str">
        <f t="shared" si="12"/>
        <v>逾期</v>
      </c>
      <c r="R144" s="34" t="s">
        <v>47</v>
      </c>
      <c r="S144" s="35" t="str">
        <f t="shared" si="13"/>
        <v>是</v>
      </c>
      <c r="T144" s="36">
        <f>IFERROR(VLOOKUP(A144,滿意度調查!$B$4:$D$570,3,FALSE),"")</f>
        <v>4</v>
      </c>
      <c r="U144" s="35" t="str">
        <f t="shared" si="14"/>
        <v>2026-04</v>
      </c>
      <c r="V144" s="38">
        <f>IF(J144="已結案",0,(使用說明!$B$7-B144)*24)</f>
        <v>0</v>
      </c>
    </row>
    <row r="145" spans="1:22">
      <c r="A145" s="32" t="s">
        <v>525</v>
      </c>
      <c r="B145" s="33">
        <v>46132.798611111109</v>
      </c>
      <c r="C145" s="34" t="s">
        <v>469</v>
      </c>
      <c r="D145" s="34" t="s">
        <v>210</v>
      </c>
      <c r="E145" s="34" t="s">
        <v>211</v>
      </c>
      <c r="F145" s="34" t="s">
        <v>334</v>
      </c>
      <c r="G145" s="34" t="s">
        <v>242</v>
      </c>
      <c r="H145" s="34" t="s">
        <v>325</v>
      </c>
      <c r="I145" s="35" t="str">
        <f>VLOOKUP(H145,人員與團隊!$A$4:$D$27,3,FALSE)</f>
        <v>線上服務</v>
      </c>
      <c r="J145" s="34" t="s">
        <v>215</v>
      </c>
      <c r="K145" s="33">
        <v>46132.880555555559</v>
      </c>
      <c r="L145" s="33">
        <v>46132.894008391202</v>
      </c>
      <c r="M145" s="36">
        <f t="shared" si="10"/>
        <v>118.00000000745058</v>
      </c>
      <c r="N145" s="37">
        <f t="shared" si="11"/>
        <v>2.2895347222220153</v>
      </c>
      <c r="O145" s="36">
        <f>VLOOKUP(G145,SLA標準!$A$4:$C$7,2,FALSE)</f>
        <v>240</v>
      </c>
      <c r="P145" s="37">
        <f>VLOOKUP(G145,SLA標準!$A$4:$C$7,3,FALSE)</f>
        <v>24</v>
      </c>
      <c r="Q145" s="35" t="str">
        <f t="shared" si="12"/>
        <v>達標</v>
      </c>
      <c r="R145" s="34" t="s">
        <v>41</v>
      </c>
      <c r="S145" s="35" t="str">
        <f t="shared" si="13"/>
        <v>是</v>
      </c>
      <c r="T145" s="36">
        <f>IFERROR(VLOOKUP(A145,滿意度調查!$B$4:$D$570,3,FALSE),"")</f>
        <v>4</v>
      </c>
      <c r="U145" s="35" t="str">
        <f t="shared" si="14"/>
        <v>2026-04</v>
      </c>
      <c r="V145" s="38">
        <f>IF(J145="已結案",0,(使用說明!$B$7-B145)*24)</f>
        <v>0</v>
      </c>
    </row>
    <row r="146" spans="1:22">
      <c r="A146" s="32" t="s">
        <v>526</v>
      </c>
      <c r="B146" s="33">
        <v>46132.831250000003</v>
      </c>
      <c r="C146" s="34" t="s">
        <v>527</v>
      </c>
      <c r="D146" s="34" t="s">
        <v>210</v>
      </c>
      <c r="E146" s="34" t="s">
        <v>245</v>
      </c>
      <c r="F146" s="34" t="s">
        <v>282</v>
      </c>
      <c r="G146" s="34" t="s">
        <v>213</v>
      </c>
      <c r="H146" s="34" t="s">
        <v>310</v>
      </c>
      <c r="I146" s="35" t="str">
        <f>VLOOKUP(H146,人員與團隊!$A$4:$D$27,3,FALSE)</f>
        <v>線上服務</v>
      </c>
      <c r="J146" s="34" t="s">
        <v>215</v>
      </c>
      <c r="K146" s="33">
        <v>46132.888194444444</v>
      </c>
      <c r="L146" s="33">
        <v>46133.873938310186</v>
      </c>
      <c r="M146" s="36">
        <f t="shared" si="10"/>
        <v>81.999999994877726</v>
      </c>
      <c r="N146" s="37">
        <f t="shared" si="11"/>
        <v>25.024519444385078</v>
      </c>
      <c r="O146" s="36">
        <f>VLOOKUP(G146,SLA標準!$A$4:$C$7,2,FALSE)</f>
        <v>480</v>
      </c>
      <c r="P146" s="37">
        <f>VLOOKUP(G146,SLA標準!$A$4:$C$7,3,FALSE)</f>
        <v>48</v>
      </c>
      <c r="Q146" s="35" t="str">
        <f t="shared" si="12"/>
        <v>達標</v>
      </c>
      <c r="R146" s="34" t="s">
        <v>47</v>
      </c>
      <c r="S146" s="35" t="str">
        <f t="shared" si="13"/>
        <v>是</v>
      </c>
      <c r="T146" s="36">
        <f>IFERROR(VLOOKUP(A146,滿意度調查!$B$4:$D$570,3,FALSE),"")</f>
        <v>5</v>
      </c>
      <c r="U146" s="35" t="str">
        <f t="shared" si="14"/>
        <v>2026-04</v>
      </c>
      <c r="V146" s="38">
        <f>IF(J146="已結案",0,(使用說明!$B$7-B146)*24)</f>
        <v>0</v>
      </c>
    </row>
    <row r="147" spans="1:22">
      <c r="A147" s="32" t="s">
        <v>528</v>
      </c>
      <c r="B147" s="33">
        <v>46133.336805555555</v>
      </c>
      <c r="C147" s="34" t="s">
        <v>529</v>
      </c>
      <c r="D147" s="34" t="s">
        <v>210</v>
      </c>
      <c r="E147" s="34" t="s">
        <v>219</v>
      </c>
      <c r="F147" s="34" t="s">
        <v>249</v>
      </c>
      <c r="G147" s="34" t="s">
        <v>242</v>
      </c>
      <c r="H147" s="34" t="s">
        <v>381</v>
      </c>
      <c r="I147" s="35" t="str">
        <f>VLOOKUP(H147,人員與團隊!$A$4:$D$27,3,FALSE)</f>
        <v>線上服務</v>
      </c>
      <c r="J147" s="34" t="s">
        <v>215</v>
      </c>
      <c r="K147" s="33">
        <v>46133.378472222219</v>
      </c>
      <c r="L147" s="33">
        <v>46134.024454699073</v>
      </c>
      <c r="M147" s="36">
        <f t="shared" si="10"/>
        <v>59.99999999650754</v>
      </c>
      <c r="N147" s="37">
        <f t="shared" si="11"/>
        <v>16.503579444426578</v>
      </c>
      <c r="O147" s="36">
        <f>VLOOKUP(G147,SLA標準!$A$4:$C$7,2,FALSE)</f>
        <v>240</v>
      </c>
      <c r="P147" s="37">
        <f>VLOOKUP(G147,SLA標準!$A$4:$C$7,3,FALSE)</f>
        <v>24</v>
      </c>
      <c r="Q147" s="35" t="str">
        <f t="shared" si="12"/>
        <v>達標</v>
      </c>
      <c r="R147" s="34" t="s">
        <v>41</v>
      </c>
      <c r="S147" s="35" t="str">
        <f t="shared" si="13"/>
        <v>是</v>
      </c>
      <c r="T147" s="36">
        <f>IFERROR(VLOOKUP(A147,滿意度調查!$B$4:$D$570,3,FALSE),"")</f>
        <v>4</v>
      </c>
      <c r="U147" s="35" t="str">
        <f t="shared" si="14"/>
        <v>2026-04</v>
      </c>
      <c r="V147" s="38">
        <f>IF(J147="已結案",0,(使用說明!$B$7-B147)*24)</f>
        <v>0</v>
      </c>
    </row>
    <row r="148" spans="1:22">
      <c r="A148" s="32" t="s">
        <v>530</v>
      </c>
      <c r="B148" s="33">
        <v>46133.377083333333</v>
      </c>
      <c r="C148" s="34" t="s">
        <v>531</v>
      </c>
      <c r="D148" s="34" t="s">
        <v>225</v>
      </c>
      <c r="E148" s="34" t="s">
        <v>245</v>
      </c>
      <c r="F148" s="34" t="s">
        <v>282</v>
      </c>
      <c r="G148" s="34" t="s">
        <v>213</v>
      </c>
      <c r="H148" s="34" t="s">
        <v>361</v>
      </c>
      <c r="I148" s="35" t="str">
        <f>VLOOKUP(H148,人員與團隊!$A$4:$D$27,3,FALSE)</f>
        <v>南區服務</v>
      </c>
      <c r="J148" s="34" t="s">
        <v>215</v>
      </c>
      <c r="K148" s="33">
        <v>46133.702777777777</v>
      </c>
      <c r="L148" s="33">
        <v>46134.476808125</v>
      </c>
      <c r="M148" s="36">
        <f t="shared" si="10"/>
        <v>468.99999999906868</v>
      </c>
      <c r="N148" s="37">
        <f t="shared" si="11"/>
        <v>26.393395000020973</v>
      </c>
      <c r="O148" s="36">
        <f>VLOOKUP(G148,SLA標準!$A$4:$C$7,2,FALSE)</f>
        <v>480</v>
      </c>
      <c r="P148" s="37">
        <f>VLOOKUP(G148,SLA標準!$A$4:$C$7,3,FALSE)</f>
        <v>48</v>
      </c>
      <c r="Q148" s="35" t="str">
        <f t="shared" si="12"/>
        <v>達標</v>
      </c>
      <c r="R148" s="34" t="s">
        <v>47</v>
      </c>
      <c r="S148" s="35" t="str">
        <f t="shared" si="13"/>
        <v>是</v>
      </c>
      <c r="T148" s="36">
        <f>IFERROR(VLOOKUP(A148,滿意度調查!$B$4:$D$570,3,FALSE),"")</f>
        <v>5</v>
      </c>
      <c r="U148" s="35" t="str">
        <f t="shared" si="14"/>
        <v>2026-04</v>
      </c>
      <c r="V148" s="38">
        <f>IF(J148="已結案",0,(使用說明!$B$7-B148)*24)</f>
        <v>0</v>
      </c>
    </row>
    <row r="149" spans="1:22">
      <c r="A149" s="32" t="s">
        <v>532</v>
      </c>
      <c r="B149" s="33">
        <v>46133.395138888889</v>
      </c>
      <c r="C149" s="34" t="s">
        <v>533</v>
      </c>
      <c r="D149" s="34" t="s">
        <v>225</v>
      </c>
      <c r="E149" s="34" t="s">
        <v>230</v>
      </c>
      <c r="F149" s="34" t="s">
        <v>320</v>
      </c>
      <c r="G149" s="34" t="s">
        <v>242</v>
      </c>
      <c r="H149" s="34" t="s">
        <v>222</v>
      </c>
      <c r="I149" s="35" t="str">
        <f>VLOOKUP(H149,人員與團隊!$A$4:$D$27,3,FALSE)</f>
        <v>北區服務</v>
      </c>
      <c r="J149" s="34" t="s">
        <v>215</v>
      </c>
      <c r="K149" s="33">
        <v>46133.536805555559</v>
      </c>
      <c r="L149" s="33">
        <v>46133.983955115742</v>
      </c>
      <c r="M149" s="36">
        <f t="shared" si="10"/>
        <v>204.00000000488944</v>
      </c>
      <c r="N149" s="37">
        <f t="shared" si="11"/>
        <v>14.131589444470592</v>
      </c>
      <c r="O149" s="36">
        <f>VLOOKUP(G149,SLA標準!$A$4:$C$7,2,FALSE)</f>
        <v>240</v>
      </c>
      <c r="P149" s="37">
        <f>VLOOKUP(G149,SLA標準!$A$4:$C$7,3,FALSE)</f>
        <v>24</v>
      </c>
      <c r="Q149" s="35" t="str">
        <f t="shared" si="12"/>
        <v>達標</v>
      </c>
      <c r="R149" s="34" t="s">
        <v>47</v>
      </c>
      <c r="S149" s="35" t="str">
        <f t="shared" si="13"/>
        <v>否</v>
      </c>
      <c r="T149" s="36" t="str">
        <f>IFERROR(VLOOKUP(A149,滿意度調查!$B$4:$D$570,3,FALSE),"")</f>
        <v/>
      </c>
      <c r="U149" s="35" t="str">
        <f t="shared" si="14"/>
        <v>2026-04</v>
      </c>
      <c r="V149" s="38">
        <f>IF(J149="已結案",0,(使用說明!$B$7-B149)*24)</f>
        <v>0</v>
      </c>
    </row>
    <row r="150" spans="1:22">
      <c r="A150" s="32" t="s">
        <v>534</v>
      </c>
      <c r="B150" s="33">
        <v>46133.401388888888</v>
      </c>
      <c r="C150" s="34" t="s">
        <v>535</v>
      </c>
      <c r="D150" s="34" t="s">
        <v>225</v>
      </c>
      <c r="E150" s="34" t="s">
        <v>230</v>
      </c>
      <c r="F150" s="34" t="s">
        <v>231</v>
      </c>
      <c r="G150" s="34" t="s">
        <v>242</v>
      </c>
      <c r="H150" s="34" t="s">
        <v>237</v>
      </c>
      <c r="I150" s="35" t="str">
        <f>VLOOKUP(H150,人員與團隊!$A$4:$D$27,3,FALSE)</f>
        <v>北區服務</v>
      </c>
      <c r="J150" s="34" t="s">
        <v>215</v>
      </c>
      <c r="K150" s="33">
        <v>46133.474305555559</v>
      </c>
      <c r="L150" s="33">
        <v>46134.765571724536</v>
      </c>
      <c r="M150" s="36">
        <f t="shared" si="10"/>
        <v>105.00000000698492</v>
      </c>
      <c r="N150" s="37">
        <f t="shared" si="11"/>
        <v>32.740388055564836</v>
      </c>
      <c r="O150" s="36">
        <f>VLOOKUP(G150,SLA標準!$A$4:$C$7,2,FALSE)</f>
        <v>240</v>
      </c>
      <c r="P150" s="37">
        <f>VLOOKUP(G150,SLA標準!$A$4:$C$7,3,FALSE)</f>
        <v>24</v>
      </c>
      <c r="Q150" s="35" t="str">
        <f t="shared" si="12"/>
        <v>逾期</v>
      </c>
      <c r="R150" s="34" t="s">
        <v>47</v>
      </c>
      <c r="S150" s="35" t="str">
        <f t="shared" si="13"/>
        <v>否</v>
      </c>
      <c r="T150" s="36" t="str">
        <f>IFERROR(VLOOKUP(A150,滿意度調查!$B$4:$D$570,3,FALSE),"")</f>
        <v/>
      </c>
      <c r="U150" s="35" t="str">
        <f t="shared" si="14"/>
        <v>2026-04</v>
      </c>
      <c r="V150" s="38">
        <f>IF(J150="已結案",0,(使用說明!$B$7-B150)*24)</f>
        <v>0</v>
      </c>
    </row>
    <row r="151" spans="1:22">
      <c r="A151" s="32" t="s">
        <v>536</v>
      </c>
      <c r="B151" s="33">
        <v>46133.579861111109</v>
      </c>
      <c r="C151" s="34" t="s">
        <v>417</v>
      </c>
      <c r="D151" s="34" t="s">
        <v>218</v>
      </c>
      <c r="E151" s="34" t="s">
        <v>235</v>
      </c>
      <c r="F151" s="34" t="s">
        <v>241</v>
      </c>
      <c r="G151" s="34" t="s">
        <v>221</v>
      </c>
      <c r="H151" s="34" t="s">
        <v>243</v>
      </c>
      <c r="I151" s="35" t="str">
        <f>VLOOKUP(H151,人員與團隊!$A$4:$D$27,3,FALSE)</f>
        <v>南區服務</v>
      </c>
      <c r="J151" s="34" t="s">
        <v>215</v>
      </c>
      <c r="K151" s="33">
        <v>46133.629166666666</v>
      </c>
      <c r="L151" s="33">
        <v>46133.958035844909</v>
      </c>
      <c r="M151" s="36">
        <f t="shared" si="10"/>
        <v>71.000000000931323</v>
      </c>
      <c r="N151" s="37">
        <f t="shared" si="11"/>
        <v>9.0761936111957766</v>
      </c>
      <c r="O151" s="36">
        <f>VLOOKUP(G151,SLA標準!$A$4:$C$7,2,FALSE)</f>
        <v>60</v>
      </c>
      <c r="P151" s="37">
        <f>VLOOKUP(G151,SLA標準!$A$4:$C$7,3,FALSE)</f>
        <v>8</v>
      </c>
      <c r="Q151" s="35" t="str">
        <f t="shared" si="12"/>
        <v>逾期</v>
      </c>
      <c r="R151" s="34" t="s">
        <v>41</v>
      </c>
      <c r="S151" s="35" t="str">
        <f t="shared" si="13"/>
        <v>是</v>
      </c>
      <c r="T151" s="36">
        <f>IFERROR(VLOOKUP(A151,滿意度調查!$B$4:$D$570,3,FALSE),"")</f>
        <v>2</v>
      </c>
      <c r="U151" s="35" t="str">
        <f t="shared" si="14"/>
        <v>2026-04</v>
      </c>
      <c r="V151" s="38">
        <f>IF(J151="已結案",0,(使用說明!$B$7-B151)*24)</f>
        <v>0</v>
      </c>
    </row>
    <row r="152" spans="1:22">
      <c r="A152" s="32" t="s">
        <v>537</v>
      </c>
      <c r="B152" s="33">
        <v>46133.62777777778</v>
      </c>
      <c r="C152" s="34" t="s">
        <v>297</v>
      </c>
      <c r="D152" s="34" t="s">
        <v>240</v>
      </c>
      <c r="E152" s="34" t="s">
        <v>219</v>
      </c>
      <c r="F152" s="34" t="s">
        <v>257</v>
      </c>
      <c r="G152" s="34" t="s">
        <v>221</v>
      </c>
      <c r="H152" s="34" t="s">
        <v>361</v>
      </c>
      <c r="I152" s="35" t="str">
        <f>VLOOKUP(H152,人員與團隊!$A$4:$D$27,3,FALSE)</f>
        <v>南區服務</v>
      </c>
      <c r="J152" s="34" t="s">
        <v>215</v>
      </c>
      <c r="K152" s="33">
        <v>46133.672222222223</v>
      </c>
      <c r="L152" s="33">
        <v>46134.11713421296</v>
      </c>
      <c r="M152" s="36">
        <f t="shared" si="10"/>
        <v>63.999999999068677</v>
      </c>
      <c r="N152" s="37">
        <f t="shared" si="11"/>
        <v>11.744554444332607</v>
      </c>
      <c r="O152" s="36">
        <f>VLOOKUP(G152,SLA標準!$A$4:$C$7,2,FALSE)</f>
        <v>60</v>
      </c>
      <c r="P152" s="37">
        <f>VLOOKUP(G152,SLA標準!$A$4:$C$7,3,FALSE)</f>
        <v>8</v>
      </c>
      <c r="Q152" s="35" t="str">
        <f t="shared" si="12"/>
        <v>逾期</v>
      </c>
      <c r="R152" s="34" t="s">
        <v>47</v>
      </c>
      <c r="S152" s="35" t="str">
        <f t="shared" si="13"/>
        <v>是</v>
      </c>
      <c r="T152" s="36">
        <f>IFERROR(VLOOKUP(A152,滿意度調查!$B$4:$D$570,3,FALSE),"")</f>
        <v>3</v>
      </c>
      <c r="U152" s="35" t="str">
        <f t="shared" si="14"/>
        <v>2026-04</v>
      </c>
      <c r="V152" s="38">
        <f>IF(J152="已結案",0,(使用說明!$B$7-B152)*24)</f>
        <v>0</v>
      </c>
    </row>
    <row r="153" spans="1:22">
      <c r="A153" s="32" t="s">
        <v>538</v>
      </c>
      <c r="B153" s="33">
        <v>46133.67291666667</v>
      </c>
      <c r="C153" s="34" t="s">
        <v>539</v>
      </c>
      <c r="D153" s="34" t="s">
        <v>218</v>
      </c>
      <c r="E153" s="34" t="s">
        <v>245</v>
      </c>
      <c r="F153" s="34" t="s">
        <v>278</v>
      </c>
      <c r="G153" s="34" t="s">
        <v>221</v>
      </c>
      <c r="H153" s="34" t="s">
        <v>274</v>
      </c>
      <c r="I153" s="35" t="str">
        <f>VLOOKUP(H153,人員與團隊!$A$4:$D$27,3,FALSE)</f>
        <v>南區服務</v>
      </c>
      <c r="J153" s="34" t="s">
        <v>215</v>
      </c>
      <c r="K153" s="33">
        <v>46133.734722222223</v>
      </c>
      <c r="L153" s="33">
        <v>46134.702373298613</v>
      </c>
      <c r="M153" s="36">
        <f t="shared" si="10"/>
        <v>88.999999996740371</v>
      </c>
      <c r="N153" s="37">
        <f t="shared" si="11"/>
        <v>24.706959166622255</v>
      </c>
      <c r="O153" s="36">
        <f>VLOOKUP(G153,SLA標準!$A$4:$C$7,2,FALSE)</f>
        <v>60</v>
      </c>
      <c r="P153" s="37">
        <f>VLOOKUP(G153,SLA標準!$A$4:$C$7,3,FALSE)</f>
        <v>8</v>
      </c>
      <c r="Q153" s="35" t="str">
        <f t="shared" si="12"/>
        <v>逾期</v>
      </c>
      <c r="R153" s="34" t="s">
        <v>47</v>
      </c>
      <c r="S153" s="35" t="str">
        <f t="shared" si="13"/>
        <v>否</v>
      </c>
      <c r="T153" s="36" t="str">
        <f>IFERROR(VLOOKUP(A153,滿意度調查!$B$4:$D$570,3,FALSE),"")</f>
        <v/>
      </c>
      <c r="U153" s="35" t="str">
        <f t="shared" si="14"/>
        <v>2026-04</v>
      </c>
      <c r="V153" s="38">
        <f>IF(J153="已結案",0,(使用說明!$B$7-B153)*24)</f>
        <v>0</v>
      </c>
    </row>
    <row r="154" spans="1:22">
      <c r="A154" s="32" t="s">
        <v>540</v>
      </c>
      <c r="B154" s="33">
        <v>46133.722916666666</v>
      </c>
      <c r="C154" s="34" t="s">
        <v>541</v>
      </c>
      <c r="D154" s="34" t="s">
        <v>218</v>
      </c>
      <c r="E154" s="34" t="s">
        <v>219</v>
      </c>
      <c r="F154" s="34" t="s">
        <v>249</v>
      </c>
      <c r="G154" s="34" t="s">
        <v>242</v>
      </c>
      <c r="H154" s="34" t="s">
        <v>267</v>
      </c>
      <c r="I154" s="35" t="str">
        <f>VLOOKUP(H154,人員與團隊!$A$4:$D$27,3,FALSE)</f>
        <v>南區服務</v>
      </c>
      <c r="J154" s="34" t="s">
        <v>215</v>
      </c>
      <c r="K154" s="33">
        <v>46133.886805555558</v>
      </c>
      <c r="L154" s="33">
        <v>46134.417965520835</v>
      </c>
      <c r="M154" s="36">
        <f t="shared" si="10"/>
        <v>236.00000000442378</v>
      </c>
      <c r="N154" s="37">
        <f t="shared" si="11"/>
        <v>16.681172500073444</v>
      </c>
      <c r="O154" s="36">
        <f>VLOOKUP(G154,SLA標準!$A$4:$C$7,2,FALSE)</f>
        <v>240</v>
      </c>
      <c r="P154" s="37">
        <f>VLOOKUP(G154,SLA標準!$A$4:$C$7,3,FALSE)</f>
        <v>24</v>
      </c>
      <c r="Q154" s="35" t="str">
        <f t="shared" si="12"/>
        <v>達標</v>
      </c>
      <c r="R154" s="34" t="s">
        <v>47</v>
      </c>
      <c r="S154" s="35" t="str">
        <f t="shared" si="13"/>
        <v>是</v>
      </c>
      <c r="T154" s="36">
        <f>IFERROR(VLOOKUP(A154,滿意度調查!$B$4:$D$570,3,FALSE),"")</f>
        <v>5</v>
      </c>
      <c r="U154" s="35" t="str">
        <f t="shared" si="14"/>
        <v>2026-04</v>
      </c>
      <c r="V154" s="38">
        <f>IF(J154="已結案",0,(使用說明!$B$7-B154)*24)</f>
        <v>0</v>
      </c>
    </row>
    <row r="155" spans="1:22">
      <c r="A155" s="32" t="s">
        <v>542</v>
      </c>
      <c r="B155" s="33">
        <v>46134.435416666667</v>
      </c>
      <c r="C155" s="34" t="s">
        <v>543</v>
      </c>
      <c r="D155" s="34" t="s">
        <v>240</v>
      </c>
      <c r="E155" s="34" t="s">
        <v>211</v>
      </c>
      <c r="F155" s="34" t="s">
        <v>212</v>
      </c>
      <c r="G155" s="34" t="s">
        <v>242</v>
      </c>
      <c r="H155" s="34" t="s">
        <v>372</v>
      </c>
      <c r="I155" s="35" t="str">
        <f>VLOOKUP(H155,人員與團隊!$A$4:$D$27,3,FALSE)</f>
        <v>南區服務</v>
      </c>
      <c r="J155" s="34" t="s">
        <v>215</v>
      </c>
      <c r="K155" s="33">
        <v>46134.570833333331</v>
      </c>
      <c r="L155" s="33">
        <v>46134.600248946757</v>
      </c>
      <c r="M155" s="36">
        <f t="shared" si="10"/>
        <v>194.99999999650754</v>
      </c>
      <c r="N155" s="37">
        <f t="shared" si="11"/>
        <v>3.955974722164683</v>
      </c>
      <c r="O155" s="36">
        <f>VLOOKUP(G155,SLA標準!$A$4:$C$7,2,FALSE)</f>
        <v>240</v>
      </c>
      <c r="P155" s="37">
        <f>VLOOKUP(G155,SLA標準!$A$4:$C$7,3,FALSE)</f>
        <v>24</v>
      </c>
      <c r="Q155" s="35" t="str">
        <f t="shared" si="12"/>
        <v>達標</v>
      </c>
      <c r="R155" s="34" t="s">
        <v>47</v>
      </c>
      <c r="S155" s="35" t="str">
        <f t="shared" si="13"/>
        <v>是</v>
      </c>
      <c r="T155" s="36">
        <f>IFERROR(VLOOKUP(A155,滿意度調查!$B$4:$D$570,3,FALSE),"")</f>
        <v>5</v>
      </c>
      <c r="U155" s="35" t="str">
        <f t="shared" si="14"/>
        <v>2026-04</v>
      </c>
      <c r="V155" s="38">
        <f>IF(J155="已結案",0,(使用說明!$B$7-B155)*24)</f>
        <v>0</v>
      </c>
    </row>
    <row r="156" spans="1:22">
      <c r="A156" s="32" t="s">
        <v>544</v>
      </c>
      <c r="B156" s="33">
        <v>46134.532638888886</v>
      </c>
      <c r="C156" s="34" t="s">
        <v>533</v>
      </c>
      <c r="D156" s="34" t="s">
        <v>210</v>
      </c>
      <c r="E156" s="34" t="s">
        <v>211</v>
      </c>
      <c r="F156" s="34" t="s">
        <v>331</v>
      </c>
      <c r="G156" s="34" t="s">
        <v>242</v>
      </c>
      <c r="H156" s="34" t="s">
        <v>254</v>
      </c>
      <c r="I156" s="35" t="str">
        <f>VLOOKUP(H156,人員與團隊!$A$4:$D$27,3,FALSE)</f>
        <v>線上服務</v>
      </c>
      <c r="J156" s="34" t="s">
        <v>215</v>
      </c>
      <c r="K156" s="33">
        <v>46134.582638888889</v>
      </c>
      <c r="L156" s="33">
        <v>46134.661610787036</v>
      </c>
      <c r="M156" s="36">
        <f t="shared" si="10"/>
        <v>72.000000004190952</v>
      </c>
      <c r="N156" s="37">
        <f t="shared" si="11"/>
        <v>3.0953255555941723</v>
      </c>
      <c r="O156" s="36">
        <f>VLOOKUP(G156,SLA標準!$A$4:$C$7,2,FALSE)</f>
        <v>240</v>
      </c>
      <c r="P156" s="37">
        <f>VLOOKUP(G156,SLA標準!$A$4:$C$7,3,FALSE)</f>
        <v>24</v>
      </c>
      <c r="Q156" s="35" t="str">
        <f t="shared" si="12"/>
        <v>達標</v>
      </c>
      <c r="R156" s="34" t="s">
        <v>41</v>
      </c>
      <c r="S156" s="35" t="str">
        <f t="shared" si="13"/>
        <v>是</v>
      </c>
      <c r="T156" s="36">
        <f>IFERROR(VLOOKUP(A156,滿意度調查!$B$4:$D$570,3,FALSE),"")</f>
        <v>5</v>
      </c>
      <c r="U156" s="35" t="str">
        <f t="shared" si="14"/>
        <v>2026-04</v>
      </c>
      <c r="V156" s="38">
        <f>IF(J156="已結案",0,(使用說明!$B$7-B156)*24)</f>
        <v>0</v>
      </c>
    </row>
    <row r="157" spans="1:22">
      <c r="A157" s="32" t="s">
        <v>545</v>
      </c>
      <c r="B157" s="33">
        <v>46134.566666666666</v>
      </c>
      <c r="C157" s="34" t="s">
        <v>546</v>
      </c>
      <c r="D157" s="34" t="s">
        <v>218</v>
      </c>
      <c r="E157" s="34" t="s">
        <v>245</v>
      </c>
      <c r="F157" s="34" t="s">
        <v>282</v>
      </c>
      <c r="G157" s="34" t="s">
        <v>221</v>
      </c>
      <c r="H157" s="34" t="s">
        <v>315</v>
      </c>
      <c r="I157" s="35" t="str">
        <f>VLOOKUP(H157,人員與團隊!$A$4:$D$27,3,FALSE)</f>
        <v>北區服務</v>
      </c>
      <c r="J157" s="34" t="s">
        <v>215</v>
      </c>
      <c r="K157" s="33">
        <v>46134.631944444445</v>
      </c>
      <c r="L157" s="33">
        <v>46135.065487314816</v>
      </c>
      <c r="M157" s="36">
        <f t="shared" si="10"/>
        <v>94.000000002561137</v>
      </c>
      <c r="N157" s="37">
        <f t="shared" si="11"/>
        <v>11.971695555606857</v>
      </c>
      <c r="O157" s="36">
        <f>VLOOKUP(G157,SLA標準!$A$4:$C$7,2,FALSE)</f>
        <v>60</v>
      </c>
      <c r="P157" s="37">
        <f>VLOOKUP(G157,SLA標準!$A$4:$C$7,3,FALSE)</f>
        <v>8</v>
      </c>
      <c r="Q157" s="35" t="str">
        <f t="shared" si="12"/>
        <v>逾期</v>
      </c>
      <c r="R157" s="34" t="s">
        <v>47</v>
      </c>
      <c r="S157" s="35" t="str">
        <f t="shared" si="13"/>
        <v>是</v>
      </c>
      <c r="T157" s="36">
        <f>IFERROR(VLOOKUP(A157,滿意度調查!$B$4:$D$570,3,FALSE),"")</f>
        <v>3</v>
      </c>
      <c r="U157" s="35" t="str">
        <f t="shared" si="14"/>
        <v>2026-04</v>
      </c>
      <c r="V157" s="38">
        <f>IF(J157="已結案",0,(使用說明!$B$7-B157)*24)</f>
        <v>0</v>
      </c>
    </row>
    <row r="158" spans="1:22">
      <c r="A158" s="32" t="s">
        <v>547</v>
      </c>
      <c r="B158" s="33">
        <v>46134.71875</v>
      </c>
      <c r="C158" s="34" t="s">
        <v>548</v>
      </c>
      <c r="D158" s="34" t="s">
        <v>240</v>
      </c>
      <c r="E158" s="34" t="s">
        <v>245</v>
      </c>
      <c r="F158" s="34" t="s">
        <v>246</v>
      </c>
      <c r="G158" s="34" t="s">
        <v>242</v>
      </c>
      <c r="H158" s="34" t="s">
        <v>254</v>
      </c>
      <c r="I158" s="35" t="str">
        <f>VLOOKUP(H158,人員與團隊!$A$4:$D$27,3,FALSE)</f>
        <v>線上服務</v>
      </c>
      <c r="J158" s="34" t="s">
        <v>215</v>
      </c>
      <c r="K158" s="33">
        <v>46134.968055555553</v>
      </c>
      <c r="L158" s="33">
        <v>46135.762095625003</v>
      </c>
      <c r="M158" s="36">
        <f t="shared" si="10"/>
        <v>358.99999999674037</v>
      </c>
      <c r="N158" s="37">
        <f t="shared" si="11"/>
        <v>25.040295000071637</v>
      </c>
      <c r="O158" s="36">
        <f>VLOOKUP(G158,SLA標準!$A$4:$C$7,2,FALSE)</f>
        <v>240</v>
      </c>
      <c r="P158" s="37">
        <f>VLOOKUP(G158,SLA標準!$A$4:$C$7,3,FALSE)</f>
        <v>24</v>
      </c>
      <c r="Q158" s="35" t="str">
        <f t="shared" si="12"/>
        <v>逾期</v>
      </c>
      <c r="R158" s="34" t="s">
        <v>41</v>
      </c>
      <c r="S158" s="35" t="str">
        <f t="shared" si="13"/>
        <v>是</v>
      </c>
      <c r="T158" s="36">
        <f>IFERROR(VLOOKUP(A158,滿意度調查!$B$4:$D$570,3,FALSE),"")</f>
        <v>3</v>
      </c>
      <c r="U158" s="35" t="str">
        <f t="shared" si="14"/>
        <v>2026-04</v>
      </c>
      <c r="V158" s="38">
        <f>IF(J158="已結案",0,(使用說明!$B$7-B158)*24)</f>
        <v>0</v>
      </c>
    </row>
    <row r="159" spans="1:22">
      <c r="A159" s="32" t="s">
        <v>549</v>
      </c>
      <c r="B159" s="33">
        <v>46134.71875</v>
      </c>
      <c r="C159" s="34" t="s">
        <v>550</v>
      </c>
      <c r="D159" s="34" t="s">
        <v>240</v>
      </c>
      <c r="E159" s="34" t="s">
        <v>235</v>
      </c>
      <c r="F159" s="34" t="s">
        <v>236</v>
      </c>
      <c r="G159" s="34" t="s">
        <v>242</v>
      </c>
      <c r="H159" s="34" t="s">
        <v>274</v>
      </c>
      <c r="I159" s="35" t="str">
        <f>VLOOKUP(H159,人員與團隊!$A$4:$D$27,3,FALSE)</f>
        <v>南區服務</v>
      </c>
      <c r="J159" s="34" t="s">
        <v>215</v>
      </c>
      <c r="K159" s="33">
        <v>46134.878472222219</v>
      </c>
      <c r="L159" s="33">
        <v>46135.136754259256</v>
      </c>
      <c r="M159" s="36">
        <f t="shared" si="10"/>
        <v>229.99999999534339</v>
      </c>
      <c r="N159" s="37">
        <f t="shared" si="11"/>
        <v>10.032102222146932</v>
      </c>
      <c r="O159" s="36">
        <f>VLOOKUP(G159,SLA標準!$A$4:$C$7,2,FALSE)</f>
        <v>240</v>
      </c>
      <c r="P159" s="37">
        <f>VLOOKUP(G159,SLA標準!$A$4:$C$7,3,FALSE)</f>
        <v>24</v>
      </c>
      <c r="Q159" s="35" t="str">
        <f t="shared" si="12"/>
        <v>達標</v>
      </c>
      <c r="R159" s="34" t="s">
        <v>47</v>
      </c>
      <c r="S159" s="35" t="str">
        <f t="shared" si="13"/>
        <v>是</v>
      </c>
      <c r="T159" s="36">
        <f>IFERROR(VLOOKUP(A159,滿意度調查!$B$4:$D$570,3,FALSE),"")</f>
        <v>5</v>
      </c>
      <c r="U159" s="35" t="str">
        <f t="shared" si="14"/>
        <v>2026-04</v>
      </c>
      <c r="V159" s="38">
        <f>IF(J159="已結案",0,(使用說明!$B$7-B159)*24)</f>
        <v>0</v>
      </c>
    </row>
    <row r="160" spans="1:22">
      <c r="A160" s="32" t="s">
        <v>551</v>
      </c>
      <c r="B160" s="33">
        <v>46134.732638888891</v>
      </c>
      <c r="C160" s="34" t="s">
        <v>552</v>
      </c>
      <c r="D160" s="34" t="s">
        <v>218</v>
      </c>
      <c r="E160" s="34" t="s">
        <v>230</v>
      </c>
      <c r="F160" s="34" t="s">
        <v>231</v>
      </c>
      <c r="G160" s="34" t="s">
        <v>213</v>
      </c>
      <c r="H160" s="34" t="s">
        <v>262</v>
      </c>
      <c r="I160" s="35" t="str">
        <f>VLOOKUP(H160,人員與團隊!$A$4:$D$27,3,FALSE)</f>
        <v>南區服務</v>
      </c>
      <c r="J160" s="34" t="s">
        <v>215</v>
      </c>
      <c r="K160" s="33">
        <v>46135.236805555556</v>
      </c>
      <c r="L160" s="33">
        <v>46135.437503576388</v>
      </c>
      <c r="M160" s="36">
        <f t="shared" si="10"/>
        <v>725.99999999860302</v>
      </c>
      <c r="N160" s="37">
        <f t="shared" si="11"/>
        <v>16.916752499935683</v>
      </c>
      <c r="O160" s="36">
        <f>VLOOKUP(G160,SLA標準!$A$4:$C$7,2,FALSE)</f>
        <v>480</v>
      </c>
      <c r="P160" s="37">
        <f>VLOOKUP(G160,SLA標準!$A$4:$C$7,3,FALSE)</f>
        <v>48</v>
      </c>
      <c r="Q160" s="35" t="str">
        <f t="shared" si="12"/>
        <v>逾期</v>
      </c>
      <c r="R160" s="34" t="s">
        <v>47</v>
      </c>
      <c r="S160" s="35" t="str">
        <f t="shared" si="13"/>
        <v>是</v>
      </c>
      <c r="T160" s="36">
        <f>IFERROR(VLOOKUP(A160,滿意度調查!$B$4:$D$570,3,FALSE),"")</f>
        <v>4</v>
      </c>
      <c r="U160" s="35" t="str">
        <f t="shared" si="14"/>
        <v>2026-04</v>
      </c>
      <c r="V160" s="38">
        <f>IF(J160="已結案",0,(使用說明!$B$7-B160)*24)</f>
        <v>0</v>
      </c>
    </row>
    <row r="161" spans="1:22">
      <c r="A161" s="32" t="s">
        <v>553</v>
      </c>
      <c r="B161" s="33">
        <v>46134.845833333333</v>
      </c>
      <c r="C161" s="34" t="s">
        <v>554</v>
      </c>
      <c r="D161" s="34" t="s">
        <v>218</v>
      </c>
      <c r="E161" s="34" t="s">
        <v>219</v>
      </c>
      <c r="F161" s="34" t="s">
        <v>220</v>
      </c>
      <c r="G161" s="34" t="s">
        <v>242</v>
      </c>
      <c r="H161" s="34" t="s">
        <v>340</v>
      </c>
      <c r="I161" s="35" t="str">
        <f>VLOOKUP(H161,人員與團隊!$A$4:$D$27,3,FALSE)</f>
        <v>北區服務</v>
      </c>
      <c r="J161" s="34" t="s">
        <v>215</v>
      </c>
      <c r="K161" s="33">
        <v>46135.025694444441</v>
      </c>
      <c r="L161" s="33">
        <v>46135.311009039353</v>
      </c>
      <c r="M161" s="36">
        <f t="shared" si="10"/>
        <v>258.99999999557622</v>
      </c>
      <c r="N161" s="37">
        <f t="shared" si="11"/>
        <v>11.164216944482177</v>
      </c>
      <c r="O161" s="36">
        <f>VLOOKUP(G161,SLA標準!$A$4:$C$7,2,FALSE)</f>
        <v>240</v>
      </c>
      <c r="P161" s="37">
        <f>VLOOKUP(G161,SLA標準!$A$4:$C$7,3,FALSE)</f>
        <v>24</v>
      </c>
      <c r="Q161" s="35" t="str">
        <f t="shared" si="12"/>
        <v>逾期</v>
      </c>
      <c r="R161" s="34" t="s">
        <v>47</v>
      </c>
      <c r="S161" s="35" t="str">
        <f t="shared" si="13"/>
        <v>是</v>
      </c>
      <c r="T161" s="36">
        <f>IFERROR(VLOOKUP(A161,滿意度調查!$B$4:$D$570,3,FALSE),"")</f>
        <v>4</v>
      </c>
      <c r="U161" s="35" t="str">
        <f t="shared" si="14"/>
        <v>2026-04</v>
      </c>
      <c r="V161" s="38">
        <f>IF(J161="已結案",0,(使用說明!$B$7-B161)*24)</f>
        <v>0</v>
      </c>
    </row>
    <row r="162" spans="1:22">
      <c r="A162" s="32" t="s">
        <v>555</v>
      </c>
      <c r="B162" s="33">
        <v>46135.450694444444</v>
      </c>
      <c r="C162" s="34" t="s">
        <v>403</v>
      </c>
      <c r="D162" s="34" t="s">
        <v>225</v>
      </c>
      <c r="E162" s="34" t="s">
        <v>245</v>
      </c>
      <c r="F162" s="34" t="s">
        <v>282</v>
      </c>
      <c r="G162" s="34" t="s">
        <v>350</v>
      </c>
      <c r="H162" s="34" t="s">
        <v>315</v>
      </c>
      <c r="I162" s="35" t="str">
        <f>VLOOKUP(H162,人員與團隊!$A$4:$D$27,3,FALSE)</f>
        <v>北區服務</v>
      </c>
      <c r="J162" s="34" t="s">
        <v>215</v>
      </c>
      <c r="K162" s="33">
        <v>46135.458333333336</v>
      </c>
      <c r="L162" s="33">
        <v>46135.84656878472</v>
      </c>
      <c r="M162" s="36">
        <f t="shared" si="10"/>
        <v>11.000000004423782</v>
      </c>
      <c r="N162" s="37">
        <f t="shared" si="11"/>
        <v>9.5009841666324064</v>
      </c>
      <c r="O162" s="36">
        <f>VLOOKUP(G162,SLA標準!$A$4:$C$7,2,FALSE)</f>
        <v>30</v>
      </c>
      <c r="P162" s="37">
        <f>VLOOKUP(G162,SLA標準!$A$4:$C$7,3,FALSE)</f>
        <v>4</v>
      </c>
      <c r="Q162" s="35" t="str">
        <f t="shared" si="12"/>
        <v>逾期</v>
      </c>
      <c r="R162" s="34" t="s">
        <v>47</v>
      </c>
      <c r="S162" s="35" t="str">
        <f t="shared" si="13"/>
        <v>是</v>
      </c>
      <c r="T162" s="36">
        <f>IFERROR(VLOOKUP(A162,滿意度調查!$B$4:$D$570,3,FALSE),"")</f>
        <v>3</v>
      </c>
      <c r="U162" s="35" t="str">
        <f t="shared" si="14"/>
        <v>2026-04</v>
      </c>
      <c r="V162" s="38">
        <f>IF(J162="已結案",0,(使用說明!$B$7-B162)*24)</f>
        <v>0</v>
      </c>
    </row>
    <row r="163" spans="1:22">
      <c r="A163" s="32" t="s">
        <v>556</v>
      </c>
      <c r="B163" s="33">
        <v>46135.611111111109</v>
      </c>
      <c r="C163" s="34" t="s">
        <v>527</v>
      </c>
      <c r="D163" s="34" t="s">
        <v>240</v>
      </c>
      <c r="E163" s="34" t="s">
        <v>265</v>
      </c>
      <c r="F163" s="34" t="s">
        <v>479</v>
      </c>
      <c r="G163" s="34" t="s">
        <v>213</v>
      </c>
      <c r="H163" s="34" t="s">
        <v>227</v>
      </c>
      <c r="I163" s="35" t="str">
        <f>VLOOKUP(H163,人員與團隊!$A$4:$D$27,3,FALSE)</f>
        <v>北區服務</v>
      </c>
      <c r="J163" s="34" t="s">
        <v>215</v>
      </c>
      <c r="K163" s="33">
        <v>46136.027777777781</v>
      </c>
      <c r="L163" s="33">
        <v>46136.342778749997</v>
      </c>
      <c r="M163" s="36">
        <f t="shared" si="10"/>
        <v>600.00000000698492</v>
      </c>
      <c r="N163" s="37">
        <f t="shared" si="11"/>
        <v>17.560023333295248</v>
      </c>
      <c r="O163" s="36">
        <f>VLOOKUP(G163,SLA標準!$A$4:$C$7,2,FALSE)</f>
        <v>480</v>
      </c>
      <c r="P163" s="37">
        <f>VLOOKUP(G163,SLA標準!$A$4:$C$7,3,FALSE)</f>
        <v>48</v>
      </c>
      <c r="Q163" s="35" t="str">
        <f t="shared" si="12"/>
        <v>逾期</v>
      </c>
      <c r="R163" s="34" t="s">
        <v>47</v>
      </c>
      <c r="S163" s="35" t="str">
        <f t="shared" si="13"/>
        <v>是</v>
      </c>
      <c r="T163" s="36">
        <f>IFERROR(VLOOKUP(A163,滿意度調查!$B$4:$D$570,3,FALSE),"")</f>
        <v>3</v>
      </c>
      <c r="U163" s="35" t="str">
        <f t="shared" si="14"/>
        <v>2026-04</v>
      </c>
      <c r="V163" s="38">
        <f>IF(J163="已結案",0,(使用說明!$B$7-B163)*24)</f>
        <v>0</v>
      </c>
    </row>
    <row r="164" spans="1:22">
      <c r="A164" s="32" t="s">
        <v>557</v>
      </c>
      <c r="B164" s="33">
        <v>46135.663888888892</v>
      </c>
      <c r="C164" s="34" t="s">
        <v>558</v>
      </c>
      <c r="D164" s="34" t="s">
        <v>210</v>
      </c>
      <c r="E164" s="34" t="s">
        <v>265</v>
      </c>
      <c r="F164" s="34" t="s">
        <v>301</v>
      </c>
      <c r="G164" s="34" t="s">
        <v>242</v>
      </c>
      <c r="H164" s="34" t="s">
        <v>232</v>
      </c>
      <c r="I164" s="35" t="str">
        <f>VLOOKUP(H164,人員與團隊!$A$4:$D$27,3,FALSE)</f>
        <v>北區服務</v>
      </c>
      <c r="J164" s="34" t="s">
        <v>215</v>
      </c>
      <c r="K164" s="33">
        <v>46135.723611111112</v>
      </c>
      <c r="L164" s="33">
        <v>46136.744963657409</v>
      </c>
      <c r="M164" s="36">
        <f t="shared" si="10"/>
        <v>85.999999997438863</v>
      </c>
      <c r="N164" s="37">
        <f t="shared" si="11"/>
        <v>25.945794444414787</v>
      </c>
      <c r="O164" s="36">
        <f>VLOOKUP(G164,SLA標準!$A$4:$C$7,2,FALSE)</f>
        <v>240</v>
      </c>
      <c r="P164" s="37">
        <f>VLOOKUP(G164,SLA標準!$A$4:$C$7,3,FALSE)</f>
        <v>24</v>
      </c>
      <c r="Q164" s="35" t="str">
        <f t="shared" si="12"/>
        <v>逾期</v>
      </c>
      <c r="R164" s="34" t="s">
        <v>47</v>
      </c>
      <c r="S164" s="35" t="str">
        <f t="shared" si="13"/>
        <v>是</v>
      </c>
      <c r="T164" s="36">
        <f>IFERROR(VLOOKUP(A164,滿意度調查!$B$4:$D$570,3,FALSE),"")</f>
        <v>3</v>
      </c>
      <c r="U164" s="35" t="str">
        <f t="shared" si="14"/>
        <v>2026-04</v>
      </c>
      <c r="V164" s="38">
        <f>IF(J164="已結案",0,(使用說明!$B$7-B164)*24)</f>
        <v>0</v>
      </c>
    </row>
    <row r="165" spans="1:22">
      <c r="A165" s="32" t="s">
        <v>559</v>
      </c>
      <c r="B165" s="33">
        <v>46135.822222222225</v>
      </c>
      <c r="C165" s="34" t="s">
        <v>560</v>
      </c>
      <c r="D165" s="34" t="s">
        <v>240</v>
      </c>
      <c r="E165" s="34" t="s">
        <v>211</v>
      </c>
      <c r="F165" s="34" t="s">
        <v>334</v>
      </c>
      <c r="G165" s="34" t="s">
        <v>242</v>
      </c>
      <c r="H165" s="34" t="s">
        <v>232</v>
      </c>
      <c r="I165" s="35" t="str">
        <f>VLOOKUP(H165,人員與團隊!$A$4:$D$27,3,FALSE)</f>
        <v>北區服務</v>
      </c>
      <c r="J165" s="34" t="s">
        <v>215</v>
      </c>
      <c r="K165" s="33">
        <v>46135.950694444444</v>
      </c>
      <c r="L165" s="33">
        <v>46136.124712314813</v>
      </c>
      <c r="M165" s="36">
        <f t="shared" si="10"/>
        <v>184.99999999534339</v>
      </c>
      <c r="N165" s="37">
        <f t="shared" si="11"/>
        <v>7.2597622221219353</v>
      </c>
      <c r="O165" s="36">
        <f>VLOOKUP(G165,SLA標準!$A$4:$C$7,2,FALSE)</f>
        <v>240</v>
      </c>
      <c r="P165" s="37">
        <f>VLOOKUP(G165,SLA標準!$A$4:$C$7,3,FALSE)</f>
        <v>24</v>
      </c>
      <c r="Q165" s="35" t="str">
        <f t="shared" si="12"/>
        <v>達標</v>
      </c>
      <c r="R165" s="34" t="s">
        <v>47</v>
      </c>
      <c r="S165" s="35" t="str">
        <f t="shared" si="13"/>
        <v>是</v>
      </c>
      <c r="T165" s="36">
        <f>IFERROR(VLOOKUP(A165,滿意度調查!$B$4:$D$570,3,FALSE),"")</f>
        <v>5</v>
      </c>
      <c r="U165" s="35" t="str">
        <f t="shared" si="14"/>
        <v>2026-04</v>
      </c>
      <c r="V165" s="38">
        <f>IF(J165="已結案",0,(使用說明!$B$7-B165)*24)</f>
        <v>0</v>
      </c>
    </row>
    <row r="166" spans="1:22">
      <c r="A166" s="32" t="s">
        <v>561</v>
      </c>
      <c r="B166" s="33">
        <v>46135.837500000001</v>
      </c>
      <c r="C166" s="34" t="s">
        <v>562</v>
      </c>
      <c r="D166" s="34" t="s">
        <v>218</v>
      </c>
      <c r="E166" s="34" t="s">
        <v>265</v>
      </c>
      <c r="F166" s="34" t="s">
        <v>304</v>
      </c>
      <c r="G166" s="34" t="s">
        <v>242</v>
      </c>
      <c r="H166" s="34" t="s">
        <v>372</v>
      </c>
      <c r="I166" s="35" t="str">
        <f>VLOOKUP(H166,人員與團隊!$A$4:$D$27,3,FALSE)</f>
        <v>南區服務</v>
      </c>
      <c r="J166" s="34" t="s">
        <v>215</v>
      </c>
      <c r="K166" s="33">
        <v>46136.049305555556</v>
      </c>
      <c r="L166" s="33">
        <v>46136.576223136573</v>
      </c>
      <c r="M166" s="36">
        <f t="shared" si="10"/>
        <v>304.99999999883585</v>
      </c>
      <c r="N166" s="37">
        <f t="shared" si="11"/>
        <v>17.729355277726427</v>
      </c>
      <c r="O166" s="36">
        <f>VLOOKUP(G166,SLA標準!$A$4:$C$7,2,FALSE)</f>
        <v>240</v>
      </c>
      <c r="P166" s="37">
        <f>VLOOKUP(G166,SLA標準!$A$4:$C$7,3,FALSE)</f>
        <v>24</v>
      </c>
      <c r="Q166" s="35" t="str">
        <f t="shared" si="12"/>
        <v>逾期</v>
      </c>
      <c r="R166" s="34" t="s">
        <v>47</v>
      </c>
      <c r="S166" s="35" t="str">
        <f t="shared" si="13"/>
        <v>是</v>
      </c>
      <c r="T166" s="36">
        <f>IFERROR(VLOOKUP(A166,滿意度調查!$B$4:$D$570,3,FALSE),"")</f>
        <v>3</v>
      </c>
      <c r="U166" s="35" t="str">
        <f t="shared" si="14"/>
        <v>2026-04</v>
      </c>
      <c r="V166" s="38">
        <f>IF(J166="已結案",0,(使用說明!$B$7-B166)*24)</f>
        <v>0</v>
      </c>
    </row>
    <row r="167" spans="1:22">
      <c r="A167" s="32" t="s">
        <v>563</v>
      </c>
      <c r="B167" s="33">
        <v>46135.857638888891</v>
      </c>
      <c r="C167" s="34" t="s">
        <v>564</v>
      </c>
      <c r="D167" s="34" t="s">
        <v>218</v>
      </c>
      <c r="E167" s="34" t="s">
        <v>230</v>
      </c>
      <c r="F167" s="34" t="s">
        <v>320</v>
      </c>
      <c r="G167" s="34" t="s">
        <v>242</v>
      </c>
      <c r="H167" s="34" t="s">
        <v>279</v>
      </c>
      <c r="I167" s="35" t="str">
        <f>VLOOKUP(H167,人員與團隊!$A$4:$D$27,3,FALSE)</f>
        <v>南區服務</v>
      </c>
      <c r="J167" s="34" t="s">
        <v>215</v>
      </c>
      <c r="K167" s="33">
        <v>46136.027083333334</v>
      </c>
      <c r="L167" s="33">
        <v>46136.831522152781</v>
      </c>
      <c r="M167" s="36">
        <f t="shared" si="10"/>
        <v>243.99999999906868</v>
      </c>
      <c r="N167" s="37">
        <f t="shared" si="11"/>
        <v>23.373198333370965</v>
      </c>
      <c r="O167" s="36">
        <f>VLOOKUP(G167,SLA標準!$A$4:$C$7,2,FALSE)</f>
        <v>240</v>
      </c>
      <c r="P167" s="37">
        <f>VLOOKUP(G167,SLA標準!$A$4:$C$7,3,FALSE)</f>
        <v>24</v>
      </c>
      <c r="Q167" s="35" t="str">
        <f t="shared" si="12"/>
        <v>逾期</v>
      </c>
      <c r="R167" s="34" t="s">
        <v>47</v>
      </c>
      <c r="S167" s="35" t="str">
        <f t="shared" si="13"/>
        <v>是</v>
      </c>
      <c r="T167" s="36">
        <f>IFERROR(VLOOKUP(A167,滿意度調查!$B$4:$D$570,3,FALSE),"")</f>
        <v>4</v>
      </c>
      <c r="U167" s="35" t="str">
        <f t="shared" si="14"/>
        <v>2026-04</v>
      </c>
      <c r="V167" s="38">
        <f>IF(J167="已結案",0,(使用說明!$B$7-B167)*24)</f>
        <v>0</v>
      </c>
    </row>
    <row r="168" spans="1:22">
      <c r="A168" s="32" t="s">
        <v>565</v>
      </c>
      <c r="B168" s="33">
        <v>46136.402083333334</v>
      </c>
      <c r="C168" s="34" t="s">
        <v>566</v>
      </c>
      <c r="D168" s="34" t="s">
        <v>210</v>
      </c>
      <c r="E168" s="34" t="s">
        <v>230</v>
      </c>
      <c r="F168" s="34" t="s">
        <v>231</v>
      </c>
      <c r="G168" s="34" t="s">
        <v>213</v>
      </c>
      <c r="H168" s="34" t="s">
        <v>408</v>
      </c>
      <c r="I168" s="35" t="str">
        <f>VLOOKUP(H168,人員與團隊!$A$4:$D$27,3,FALSE)</f>
        <v>線上服務</v>
      </c>
      <c r="J168" s="34" t="s">
        <v>215</v>
      </c>
      <c r="K168" s="33">
        <v>46136.572916666664</v>
      </c>
      <c r="L168" s="33">
        <v>46137.089771921295</v>
      </c>
      <c r="M168" s="36">
        <f t="shared" si="10"/>
        <v>245.99999999511056</v>
      </c>
      <c r="N168" s="37">
        <f t="shared" si="11"/>
        <v>16.504526111064479</v>
      </c>
      <c r="O168" s="36">
        <f>VLOOKUP(G168,SLA標準!$A$4:$C$7,2,FALSE)</f>
        <v>480</v>
      </c>
      <c r="P168" s="37">
        <f>VLOOKUP(G168,SLA標準!$A$4:$C$7,3,FALSE)</f>
        <v>48</v>
      </c>
      <c r="Q168" s="35" t="str">
        <f t="shared" si="12"/>
        <v>達標</v>
      </c>
      <c r="R168" s="34" t="s">
        <v>41</v>
      </c>
      <c r="S168" s="35" t="str">
        <f t="shared" si="13"/>
        <v>是</v>
      </c>
      <c r="T168" s="36">
        <f>IFERROR(VLOOKUP(A168,滿意度調查!$B$4:$D$570,3,FALSE),"")</f>
        <v>4</v>
      </c>
      <c r="U168" s="35" t="str">
        <f t="shared" si="14"/>
        <v>2026-04</v>
      </c>
      <c r="V168" s="38">
        <f>IF(J168="已結案",0,(使用說明!$B$7-B168)*24)</f>
        <v>0</v>
      </c>
    </row>
    <row r="169" spans="1:22">
      <c r="A169" s="32" t="s">
        <v>567</v>
      </c>
      <c r="B169" s="33">
        <v>46136.40347222222</v>
      </c>
      <c r="C169" s="34" t="s">
        <v>303</v>
      </c>
      <c r="D169" s="34" t="s">
        <v>210</v>
      </c>
      <c r="E169" s="34" t="s">
        <v>265</v>
      </c>
      <c r="F169" s="34" t="s">
        <v>304</v>
      </c>
      <c r="G169" s="34" t="s">
        <v>213</v>
      </c>
      <c r="H169" s="34" t="s">
        <v>310</v>
      </c>
      <c r="I169" s="35" t="str">
        <f>VLOOKUP(H169,人員與團隊!$A$4:$D$27,3,FALSE)</f>
        <v>線上服務</v>
      </c>
      <c r="J169" s="34" t="s">
        <v>215</v>
      </c>
      <c r="K169" s="33">
        <v>46136.487500000003</v>
      </c>
      <c r="L169" s="33">
        <v>46137.34773079861</v>
      </c>
      <c r="M169" s="36">
        <f t="shared" si="10"/>
        <v>121.00000000675209</v>
      </c>
      <c r="N169" s="37">
        <f t="shared" si="11"/>
        <v>22.662205833359621</v>
      </c>
      <c r="O169" s="36">
        <f>VLOOKUP(G169,SLA標準!$A$4:$C$7,2,FALSE)</f>
        <v>480</v>
      </c>
      <c r="P169" s="37">
        <f>VLOOKUP(G169,SLA標準!$A$4:$C$7,3,FALSE)</f>
        <v>48</v>
      </c>
      <c r="Q169" s="35" t="str">
        <f t="shared" si="12"/>
        <v>達標</v>
      </c>
      <c r="R169" s="34" t="s">
        <v>41</v>
      </c>
      <c r="S169" s="35" t="str">
        <f t="shared" si="13"/>
        <v>是</v>
      </c>
      <c r="T169" s="36">
        <f>IFERROR(VLOOKUP(A169,滿意度調查!$B$4:$D$570,3,FALSE),"")</f>
        <v>4</v>
      </c>
      <c r="U169" s="35" t="str">
        <f t="shared" si="14"/>
        <v>2026-04</v>
      </c>
      <c r="V169" s="38">
        <f>IF(J169="已結案",0,(使用說明!$B$7-B169)*24)</f>
        <v>0</v>
      </c>
    </row>
    <row r="170" spans="1:22">
      <c r="A170" s="32" t="s">
        <v>568</v>
      </c>
      <c r="B170" s="33">
        <v>46136.409722222219</v>
      </c>
      <c r="C170" s="34" t="s">
        <v>569</v>
      </c>
      <c r="D170" s="34" t="s">
        <v>240</v>
      </c>
      <c r="E170" s="34" t="s">
        <v>230</v>
      </c>
      <c r="F170" s="34" t="s">
        <v>272</v>
      </c>
      <c r="G170" s="34" t="s">
        <v>221</v>
      </c>
      <c r="H170" s="34" t="s">
        <v>361</v>
      </c>
      <c r="I170" s="35" t="str">
        <f>VLOOKUP(H170,人員與團隊!$A$4:$D$27,3,FALSE)</f>
        <v>南區服務</v>
      </c>
      <c r="J170" s="34" t="s">
        <v>215</v>
      </c>
      <c r="K170" s="33">
        <v>46136.4375</v>
      </c>
      <c r="L170" s="33">
        <v>46137.160360300928</v>
      </c>
      <c r="M170" s="36">
        <f t="shared" si="10"/>
        <v>40.000000004656613</v>
      </c>
      <c r="N170" s="37">
        <f t="shared" si="11"/>
        <v>18.015313889016397</v>
      </c>
      <c r="O170" s="36">
        <f>VLOOKUP(G170,SLA標準!$A$4:$C$7,2,FALSE)</f>
        <v>60</v>
      </c>
      <c r="P170" s="37">
        <f>VLOOKUP(G170,SLA標準!$A$4:$C$7,3,FALSE)</f>
        <v>8</v>
      </c>
      <c r="Q170" s="35" t="str">
        <f t="shared" si="12"/>
        <v>逾期</v>
      </c>
      <c r="R170" s="34" t="s">
        <v>47</v>
      </c>
      <c r="S170" s="35" t="str">
        <f t="shared" si="13"/>
        <v>否</v>
      </c>
      <c r="T170" s="36" t="str">
        <f>IFERROR(VLOOKUP(A170,滿意度調查!$B$4:$D$570,3,FALSE),"")</f>
        <v/>
      </c>
      <c r="U170" s="35" t="str">
        <f t="shared" si="14"/>
        <v>2026-04</v>
      </c>
      <c r="V170" s="38">
        <f>IF(J170="已結案",0,(使用說明!$B$7-B170)*24)</f>
        <v>0</v>
      </c>
    </row>
    <row r="171" spans="1:22">
      <c r="A171" s="32" t="s">
        <v>570</v>
      </c>
      <c r="B171" s="33">
        <v>46136.440972222219</v>
      </c>
      <c r="C171" s="34" t="s">
        <v>571</v>
      </c>
      <c r="D171" s="34" t="s">
        <v>210</v>
      </c>
      <c r="E171" s="34" t="s">
        <v>235</v>
      </c>
      <c r="F171" s="34" t="s">
        <v>241</v>
      </c>
      <c r="G171" s="34" t="s">
        <v>242</v>
      </c>
      <c r="H171" s="34" t="s">
        <v>408</v>
      </c>
      <c r="I171" s="35" t="str">
        <f>VLOOKUP(H171,人員與團隊!$A$4:$D$27,3,FALSE)</f>
        <v>線上服務</v>
      </c>
      <c r="J171" s="34" t="s">
        <v>215</v>
      </c>
      <c r="K171" s="33">
        <v>46136.504166666666</v>
      </c>
      <c r="L171" s="33">
        <v>46136.955727071756</v>
      </c>
      <c r="M171" s="36">
        <f t="shared" si="10"/>
        <v>91.000000003259629</v>
      </c>
      <c r="N171" s="37">
        <f t="shared" si="11"/>
        <v>12.354116388887633</v>
      </c>
      <c r="O171" s="36">
        <f>VLOOKUP(G171,SLA標準!$A$4:$C$7,2,FALSE)</f>
        <v>240</v>
      </c>
      <c r="P171" s="37">
        <f>VLOOKUP(G171,SLA標準!$A$4:$C$7,3,FALSE)</f>
        <v>24</v>
      </c>
      <c r="Q171" s="35" t="str">
        <f t="shared" si="12"/>
        <v>達標</v>
      </c>
      <c r="R171" s="34" t="s">
        <v>47</v>
      </c>
      <c r="S171" s="35" t="str">
        <f t="shared" si="13"/>
        <v>是</v>
      </c>
      <c r="T171" s="36">
        <f>IFERROR(VLOOKUP(A171,滿意度調查!$B$4:$D$570,3,FALSE),"")</f>
        <v>4</v>
      </c>
      <c r="U171" s="35" t="str">
        <f t="shared" si="14"/>
        <v>2026-04</v>
      </c>
      <c r="V171" s="38">
        <f>IF(J171="已結案",0,(使用說明!$B$7-B171)*24)</f>
        <v>0</v>
      </c>
    </row>
    <row r="172" spans="1:22">
      <c r="A172" s="32" t="s">
        <v>572</v>
      </c>
      <c r="B172" s="33">
        <v>46136.526388888888</v>
      </c>
      <c r="C172" s="34" t="s">
        <v>573</v>
      </c>
      <c r="D172" s="34" t="s">
        <v>240</v>
      </c>
      <c r="E172" s="34" t="s">
        <v>235</v>
      </c>
      <c r="F172" s="34" t="s">
        <v>236</v>
      </c>
      <c r="G172" s="34" t="s">
        <v>350</v>
      </c>
      <c r="H172" s="34" t="s">
        <v>262</v>
      </c>
      <c r="I172" s="35" t="str">
        <f>VLOOKUP(H172,人員與團隊!$A$4:$D$27,3,FALSE)</f>
        <v>南區服務</v>
      </c>
      <c r="J172" s="34" t="s">
        <v>215</v>
      </c>
      <c r="K172" s="33">
        <v>46136.540277777778</v>
      </c>
      <c r="L172" s="33">
        <v>46136.929540370373</v>
      </c>
      <c r="M172" s="36">
        <f t="shared" si="10"/>
        <v>20.000000002328306</v>
      </c>
      <c r="N172" s="37">
        <f t="shared" si="11"/>
        <v>9.675635555642657</v>
      </c>
      <c r="O172" s="36">
        <f>VLOOKUP(G172,SLA標準!$A$4:$C$7,2,FALSE)</f>
        <v>30</v>
      </c>
      <c r="P172" s="37">
        <f>VLOOKUP(G172,SLA標準!$A$4:$C$7,3,FALSE)</f>
        <v>4</v>
      </c>
      <c r="Q172" s="35" t="str">
        <f t="shared" si="12"/>
        <v>逾期</v>
      </c>
      <c r="R172" s="34" t="s">
        <v>41</v>
      </c>
      <c r="S172" s="35" t="str">
        <f t="shared" si="13"/>
        <v>是</v>
      </c>
      <c r="T172" s="36">
        <f>IFERROR(VLOOKUP(A172,滿意度調查!$B$4:$D$570,3,FALSE),"")</f>
        <v>2</v>
      </c>
      <c r="U172" s="35" t="str">
        <f t="shared" si="14"/>
        <v>2026-04</v>
      </c>
      <c r="V172" s="38">
        <f>IF(J172="已結案",0,(使用說明!$B$7-B172)*24)</f>
        <v>0</v>
      </c>
    </row>
    <row r="173" spans="1:22">
      <c r="A173" s="32" t="s">
        <v>574</v>
      </c>
      <c r="B173" s="33">
        <v>46136.591666666667</v>
      </c>
      <c r="C173" s="34" t="s">
        <v>562</v>
      </c>
      <c r="D173" s="34" t="s">
        <v>210</v>
      </c>
      <c r="E173" s="34" t="s">
        <v>265</v>
      </c>
      <c r="F173" s="34" t="s">
        <v>301</v>
      </c>
      <c r="G173" s="34" t="s">
        <v>242</v>
      </c>
      <c r="H173" s="34" t="s">
        <v>408</v>
      </c>
      <c r="I173" s="35" t="str">
        <f>VLOOKUP(H173,人員與團隊!$A$4:$D$27,3,FALSE)</f>
        <v>線上服務</v>
      </c>
      <c r="J173" s="34" t="s">
        <v>215</v>
      </c>
      <c r="K173" s="33">
        <v>46136.647222222222</v>
      </c>
      <c r="L173" s="33">
        <v>46137.353971562501</v>
      </c>
      <c r="M173" s="36">
        <f t="shared" si="10"/>
        <v>79.999999998835847</v>
      </c>
      <c r="N173" s="37">
        <f t="shared" si="11"/>
        <v>18.295317500014789</v>
      </c>
      <c r="O173" s="36">
        <f>VLOOKUP(G173,SLA標準!$A$4:$C$7,2,FALSE)</f>
        <v>240</v>
      </c>
      <c r="P173" s="37">
        <f>VLOOKUP(G173,SLA標準!$A$4:$C$7,3,FALSE)</f>
        <v>24</v>
      </c>
      <c r="Q173" s="35" t="str">
        <f t="shared" si="12"/>
        <v>達標</v>
      </c>
      <c r="R173" s="34" t="s">
        <v>47</v>
      </c>
      <c r="S173" s="35" t="str">
        <f t="shared" si="13"/>
        <v>是</v>
      </c>
      <c r="T173" s="36">
        <f>IFERROR(VLOOKUP(A173,滿意度調查!$B$4:$D$570,3,FALSE),"")</f>
        <v>5</v>
      </c>
      <c r="U173" s="35" t="str">
        <f t="shared" si="14"/>
        <v>2026-04</v>
      </c>
      <c r="V173" s="38">
        <f>IF(J173="已結案",0,(使用說明!$B$7-B173)*24)</f>
        <v>0</v>
      </c>
    </row>
    <row r="174" spans="1:22">
      <c r="A174" s="32" t="s">
        <v>575</v>
      </c>
      <c r="B174" s="33">
        <v>46136.60833333333</v>
      </c>
      <c r="C174" s="34" t="s">
        <v>576</v>
      </c>
      <c r="D174" s="34" t="s">
        <v>240</v>
      </c>
      <c r="E174" s="34" t="s">
        <v>219</v>
      </c>
      <c r="F174" s="34" t="s">
        <v>249</v>
      </c>
      <c r="G174" s="34" t="s">
        <v>221</v>
      </c>
      <c r="H174" s="34" t="s">
        <v>243</v>
      </c>
      <c r="I174" s="35" t="str">
        <f>VLOOKUP(H174,人員與團隊!$A$4:$D$27,3,FALSE)</f>
        <v>南區服務</v>
      </c>
      <c r="J174" s="34" t="s">
        <v>215</v>
      </c>
      <c r="K174" s="33">
        <v>46136.651388888888</v>
      </c>
      <c r="L174" s="33">
        <v>46137.249771979165</v>
      </c>
      <c r="M174" s="36">
        <f t="shared" si="10"/>
        <v>62.000000003026798</v>
      </c>
      <c r="N174" s="37">
        <f t="shared" si="11"/>
        <v>15.394527500029653</v>
      </c>
      <c r="O174" s="36">
        <f>VLOOKUP(G174,SLA標準!$A$4:$C$7,2,FALSE)</f>
        <v>60</v>
      </c>
      <c r="P174" s="37">
        <f>VLOOKUP(G174,SLA標準!$A$4:$C$7,3,FALSE)</f>
        <v>8</v>
      </c>
      <c r="Q174" s="35" t="str">
        <f t="shared" si="12"/>
        <v>逾期</v>
      </c>
      <c r="R174" s="34" t="s">
        <v>47</v>
      </c>
      <c r="S174" s="35" t="str">
        <f t="shared" si="13"/>
        <v>是</v>
      </c>
      <c r="T174" s="36">
        <f>IFERROR(VLOOKUP(A174,滿意度調查!$B$4:$D$570,3,FALSE),"")</f>
        <v>3</v>
      </c>
      <c r="U174" s="35" t="str">
        <f t="shared" si="14"/>
        <v>2026-04</v>
      </c>
      <c r="V174" s="38">
        <f>IF(J174="已結案",0,(使用說明!$B$7-B174)*24)</f>
        <v>0</v>
      </c>
    </row>
    <row r="175" spans="1:22">
      <c r="A175" s="32" t="s">
        <v>577</v>
      </c>
      <c r="B175" s="33">
        <v>46136.672222222223</v>
      </c>
      <c r="C175" s="34" t="s">
        <v>291</v>
      </c>
      <c r="D175" s="34" t="s">
        <v>210</v>
      </c>
      <c r="E175" s="34" t="s">
        <v>265</v>
      </c>
      <c r="F175" s="34" t="s">
        <v>301</v>
      </c>
      <c r="G175" s="34" t="s">
        <v>350</v>
      </c>
      <c r="H175" s="34" t="s">
        <v>381</v>
      </c>
      <c r="I175" s="35" t="str">
        <f>VLOOKUP(H175,人員與團隊!$A$4:$D$27,3,FALSE)</f>
        <v>線上服務</v>
      </c>
      <c r="J175" s="34" t="s">
        <v>275</v>
      </c>
      <c r="K175" s="33">
        <v>46136.68472222222</v>
      </c>
      <c r="L175" s="33"/>
      <c r="M175" s="36">
        <f t="shared" si="10"/>
        <v>17.999999995809048</v>
      </c>
      <c r="N175" s="37" t="str">
        <f t="shared" si="11"/>
        <v/>
      </c>
      <c r="O175" s="36">
        <f>VLOOKUP(G175,SLA標準!$A$4:$C$7,2,FALSE)</f>
        <v>30</v>
      </c>
      <c r="P175" s="37">
        <f>VLOOKUP(G175,SLA標準!$A$4:$C$7,3,FALSE)</f>
        <v>4</v>
      </c>
      <c r="Q175" s="35" t="str">
        <f t="shared" si="12"/>
        <v>逾期</v>
      </c>
      <c r="R175" s="34" t="s">
        <v>47</v>
      </c>
      <c r="S175" s="35" t="str">
        <f t="shared" si="13"/>
        <v>否</v>
      </c>
      <c r="T175" s="36" t="str">
        <f>IFERROR(VLOOKUP(A175,滿意度調查!$B$4:$D$570,3,FALSE),"")</f>
        <v/>
      </c>
      <c r="U175" s="35" t="str">
        <f t="shared" si="14"/>
        <v>2026-04</v>
      </c>
      <c r="V175" s="38">
        <f>IF(J175="已結案",0,(使用說明!$B$7-B175)*24)</f>
        <v>1624.8666666666395</v>
      </c>
    </row>
    <row r="176" spans="1:22">
      <c r="A176" s="32" t="s">
        <v>578</v>
      </c>
      <c r="B176" s="33">
        <v>46136.673611111109</v>
      </c>
      <c r="C176" s="34" t="s">
        <v>368</v>
      </c>
      <c r="D176" s="34" t="s">
        <v>225</v>
      </c>
      <c r="E176" s="34" t="s">
        <v>219</v>
      </c>
      <c r="F176" s="34" t="s">
        <v>371</v>
      </c>
      <c r="G176" s="34" t="s">
        <v>242</v>
      </c>
      <c r="H176" s="34" t="s">
        <v>237</v>
      </c>
      <c r="I176" s="35" t="str">
        <f>VLOOKUP(H176,人員與團隊!$A$4:$D$27,3,FALSE)</f>
        <v>北區服務</v>
      </c>
      <c r="J176" s="34" t="s">
        <v>215</v>
      </c>
      <c r="K176" s="33">
        <v>46136.731249999997</v>
      </c>
      <c r="L176" s="33">
        <v>46136.981474733795</v>
      </c>
      <c r="M176" s="36">
        <f t="shared" si="10"/>
        <v>82.999999998137355</v>
      </c>
      <c r="N176" s="37">
        <f t="shared" si="11"/>
        <v>7.388726944453083</v>
      </c>
      <c r="O176" s="36">
        <f>VLOOKUP(G176,SLA標準!$A$4:$C$7,2,FALSE)</f>
        <v>240</v>
      </c>
      <c r="P176" s="37">
        <f>VLOOKUP(G176,SLA標準!$A$4:$C$7,3,FALSE)</f>
        <v>24</v>
      </c>
      <c r="Q176" s="35" t="str">
        <f t="shared" si="12"/>
        <v>達標</v>
      </c>
      <c r="R176" s="34" t="s">
        <v>47</v>
      </c>
      <c r="S176" s="35" t="str">
        <f t="shared" si="13"/>
        <v>否</v>
      </c>
      <c r="T176" s="36" t="str">
        <f>IFERROR(VLOOKUP(A176,滿意度調查!$B$4:$D$570,3,FALSE),"")</f>
        <v/>
      </c>
      <c r="U176" s="35" t="str">
        <f t="shared" si="14"/>
        <v>2026-04</v>
      </c>
      <c r="V176" s="38">
        <f>IF(J176="已結案",0,(使用說明!$B$7-B176)*24)</f>
        <v>0</v>
      </c>
    </row>
    <row r="177" spans="1:22">
      <c r="A177" s="32" t="s">
        <v>579</v>
      </c>
      <c r="B177" s="33">
        <v>46136.836111111108</v>
      </c>
      <c r="C177" s="34" t="s">
        <v>261</v>
      </c>
      <c r="D177" s="34" t="s">
        <v>225</v>
      </c>
      <c r="E177" s="34" t="s">
        <v>235</v>
      </c>
      <c r="F177" s="34" t="s">
        <v>253</v>
      </c>
      <c r="G177" s="34" t="s">
        <v>242</v>
      </c>
      <c r="H177" s="34" t="s">
        <v>250</v>
      </c>
      <c r="I177" s="35" t="str">
        <f>VLOOKUP(H177,人員與團隊!$A$4:$D$27,3,FALSE)</f>
        <v>南區服務</v>
      </c>
      <c r="J177" s="34" t="s">
        <v>215</v>
      </c>
      <c r="K177" s="33">
        <v>46136.916666666664</v>
      </c>
      <c r="L177" s="33">
        <v>46137.388235740742</v>
      </c>
      <c r="M177" s="36">
        <f t="shared" si="10"/>
        <v>116.00000000093132</v>
      </c>
      <c r="N177" s="37">
        <f t="shared" si="11"/>
        <v>13.250991111213807</v>
      </c>
      <c r="O177" s="36">
        <f>VLOOKUP(G177,SLA標準!$A$4:$C$7,2,FALSE)</f>
        <v>240</v>
      </c>
      <c r="P177" s="37">
        <f>VLOOKUP(G177,SLA標準!$A$4:$C$7,3,FALSE)</f>
        <v>24</v>
      </c>
      <c r="Q177" s="35" t="str">
        <f t="shared" si="12"/>
        <v>達標</v>
      </c>
      <c r="R177" s="34" t="s">
        <v>47</v>
      </c>
      <c r="S177" s="35" t="str">
        <f t="shared" si="13"/>
        <v>否</v>
      </c>
      <c r="T177" s="36" t="str">
        <f>IFERROR(VLOOKUP(A177,滿意度調查!$B$4:$D$570,3,FALSE),"")</f>
        <v/>
      </c>
      <c r="U177" s="35" t="str">
        <f t="shared" si="14"/>
        <v>2026-04</v>
      </c>
      <c r="V177" s="38">
        <f>IF(J177="已結案",0,(使用說明!$B$7-B177)*24)</f>
        <v>0</v>
      </c>
    </row>
    <row r="178" spans="1:22">
      <c r="A178" s="32" t="s">
        <v>580</v>
      </c>
      <c r="B178" s="33">
        <v>46137.37222222222</v>
      </c>
      <c r="C178" s="34" t="s">
        <v>271</v>
      </c>
      <c r="D178" s="34" t="s">
        <v>225</v>
      </c>
      <c r="E178" s="34" t="s">
        <v>211</v>
      </c>
      <c r="F178" s="34" t="s">
        <v>226</v>
      </c>
      <c r="G178" s="34" t="s">
        <v>242</v>
      </c>
      <c r="H178" s="34" t="s">
        <v>262</v>
      </c>
      <c r="I178" s="35" t="str">
        <f>VLOOKUP(H178,人員與團隊!$A$4:$D$27,3,FALSE)</f>
        <v>南區服務</v>
      </c>
      <c r="J178" s="34" t="s">
        <v>215</v>
      </c>
      <c r="K178" s="33">
        <v>46137.46597222222</v>
      </c>
      <c r="L178" s="33">
        <v>46137.626028645835</v>
      </c>
      <c r="M178" s="36">
        <f t="shared" si="10"/>
        <v>135</v>
      </c>
      <c r="N178" s="37">
        <f t="shared" si="11"/>
        <v>6.0913541667396203</v>
      </c>
      <c r="O178" s="36">
        <f>VLOOKUP(G178,SLA標準!$A$4:$C$7,2,FALSE)</f>
        <v>240</v>
      </c>
      <c r="P178" s="37">
        <f>VLOOKUP(G178,SLA標準!$A$4:$C$7,3,FALSE)</f>
        <v>24</v>
      </c>
      <c r="Q178" s="35" t="str">
        <f t="shared" si="12"/>
        <v>達標</v>
      </c>
      <c r="R178" s="34" t="s">
        <v>47</v>
      </c>
      <c r="S178" s="35" t="str">
        <f t="shared" si="13"/>
        <v>是</v>
      </c>
      <c r="T178" s="36">
        <f>IFERROR(VLOOKUP(A178,滿意度調查!$B$4:$D$570,3,FALSE),"")</f>
        <v>4</v>
      </c>
      <c r="U178" s="35" t="str">
        <f t="shared" si="14"/>
        <v>2026-04</v>
      </c>
      <c r="V178" s="38">
        <f>IF(J178="已結案",0,(使用說明!$B$7-B178)*24)</f>
        <v>0</v>
      </c>
    </row>
    <row r="179" spans="1:22">
      <c r="A179" s="32" t="s">
        <v>581</v>
      </c>
      <c r="B179" s="33">
        <v>46137.461805555555</v>
      </c>
      <c r="C179" s="34" t="s">
        <v>582</v>
      </c>
      <c r="D179" s="34" t="s">
        <v>210</v>
      </c>
      <c r="E179" s="34" t="s">
        <v>235</v>
      </c>
      <c r="F179" s="34" t="s">
        <v>298</v>
      </c>
      <c r="G179" s="34" t="s">
        <v>242</v>
      </c>
      <c r="H179" s="34" t="s">
        <v>305</v>
      </c>
      <c r="I179" s="35" t="str">
        <f>VLOOKUP(H179,人員與團隊!$A$4:$D$27,3,FALSE)</f>
        <v>線上服務</v>
      </c>
      <c r="J179" s="34" t="s">
        <v>215</v>
      </c>
      <c r="K179" s="33">
        <v>46137.561111111114</v>
      </c>
      <c r="L179" s="33">
        <v>46137.758126377317</v>
      </c>
      <c r="M179" s="36">
        <f t="shared" si="10"/>
        <v>143.00000000512227</v>
      </c>
      <c r="N179" s="37">
        <f t="shared" si="11"/>
        <v>7.1116997222998179</v>
      </c>
      <c r="O179" s="36">
        <f>VLOOKUP(G179,SLA標準!$A$4:$C$7,2,FALSE)</f>
        <v>240</v>
      </c>
      <c r="P179" s="37">
        <f>VLOOKUP(G179,SLA標準!$A$4:$C$7,3,FALSE)</f>
        <v>24</v>
      </c>
      <c r="Q179" s="35" t="str">
        <f t="shared" si="12"/>
        <v>達標</v>
      </c>
      <c r="R179" s="34" t="s">
        <v>47</v>
      </c>
      <c r="S179" s="35" t="str">
        <f t="shared" si="13"/>
        <v>是</v>
      </c>
      <c r="T179" s="36">
        <f>IFERROR(VLOOKUP(A179,滿意度調查!$B$4:$D$570,3,FALSE),"")</f>
        <v>5</v>
      </c>
      <c r="U179" s="35" t="str">
        <f t="shared" si="14"/>
        <v>2026-04</v>
      </c>
      <c r="V179" s="38">
        <f>IF(J179="已結案",0,(使用說明!$B$7-B179)*24)</f>
        <v>0</v>
      </c>
    </row>
    <row r="180" spans="1:22">
      <c r="A180" s="32" t="s">
        <v>583</v>
      </c>
      <c r="B180" s="33">
        <v>46137.468055555553</v>
      </c>
      <c r="C180" s="34" t="s">
        <v>584</v>
      </c>
      <c r="D180" s="34" t="s">
        <v>240</v>
      </c>
      <c r="E180" s="34" t="s">
        <v>265</v>
      </c>
      <c r="F180" s="34" t="s">
        <v>304</v>
      </c>
      <c r="G180" s="34" t="s">
        <v>242</v>
      </c>
      <c r="H180" s="34" t="s">
        <v>340</v>
      </c>
      <c r="I180" s="35" t="str">
        <f>VLOOKUP(H180,人員與團隊!$A$4:$D$27,3,FALSE)</f>
        <v>北區服務</v>
      </c>
      <c r="J180" s="34" t="s">
        <v>215</v>
      </c>
      <c r="K180" s="33">
        <v>46137.599305555559</v>
      </c>
      <c r="L180" s="33">
        <v>46138.167717916665</v>
      </c>
      <c r="M180" s="36">
        <f t="shared" si="10"/>
        <v>189.0000000083819</v>
      </c>
      <c r="N180" s="37">
        <f t="shared" si="11"/>
        <v>16.791896666691173</v>
      </c>
      <c r="O180" s="36">
        <f>VLOOKUP(G180,SLA標準!$A$4:$C$7,2,FALSE)</f>
        <v>240</v>
      </c>
      <c r="P180" s="37">
        <f>VLOOKUP(G180,SLA標準!$A$4:$C$7,3,FALSE)</f>
        <v>24</v>
      </c>
      <c r="Q180" s="35" t="str">
        <f t="shared" si="12"/>
        <v>達標</v>
      </c>
      <c r="R180" s="34" t="s">
        <v>47</v>
      </c>
      <c r="S180" s="35" t="str">
        <f t="shared" si="13"/>
        <v>是</v>
      </c>
      <c r="T180" s="36">
        <f>IFERROR(VLOOKUP(A180,滿意度調查!$B$4:$D$570,3,FALSE),"")</f>
        <v>5</v>
      </c>
      <c r="U180" s="35" t="str">
        <f t="shared" si="14"/>
        <v>2026-04</v>
      </c>
      <c r="V180" s="38">
        <f>IF(J180="已結案",0,(使用說明!$B$7-B180)*24)</f>
        <v>0</v>
      </c>
    </row>
    <row r="181" spans="1:22">
      <c r="A181" s="32" t="s">
        <v>585</v>
      </c>
      <c r="B181" s="33">
        <v>46137.518055555556</v>
      </c>
      <c r="C181" s="34" t="s">
        <v>471</v>
      </c>
      <c r="D181" s="34" t="s">
        <v>210</v>
      </c>
      <c r="E181" s="34" t="s">
        <v>245</v>
      </c>
      <c r="F181" s="34" t="s">
        <v>278</v>
      </c>
      <c r="G181" s="34" t="s">
        <v>242</v>
      </c>
      <c r="H181" s="34" t="s">
        <v>384</v>
      </c>
      <c r="I181" s="35" t="str">
        <f>VLOOKUP(H181,人員與團隊!$A$4:$D$27,3,FALSE)</f>
        <v>線上服務</v>
      </c>
      <c r="J181" s="34" t="s">
        <v>215</v>
      </c>
      <c r="K181" s="33">
        <v>46137.594444444447</v>
      </c>
      <c r="L181" s="33">
        <v>46138.216178923612</v>
      </c>
      <c r="M181" s="36">
        <f t="shared" si="10"/>
        <v>110.00000000232831</v>
      </c>
      <c r="N181" s="37">
        <f t="shared" si="11"/>
        <v>16.754960833350196</v>
      </c>
      <c r="O181" s="36">
        <f>VLOOKUP(G181,SLA標準!$A$4:$C$7,2,FALSE)</f>
        <v>240</v>
      </c>
      <c r="P181" s="37">
        <f>VLOOKUP(G181,SLA標準!$A$4:$C$7,3,FALSE)</f>
        <v>24</v>
      </c>
      <c r="Q181" s="35" t="str">
        <f t="shared" si="12"/>
        <v>達標</v>
      </c>
      <c r="R181" s="34" t="s">
        <v>47</v>
      </c>
      <c r="S181" s="35" t="str">
        <f t="shared" si="13"/>
        <v>否</v>
      </c>
      <c r="T181" s="36" t="str">
        <f>IFERROR(VLOOKUP(A181,滿意度調查!$B$4:$D$570,3,FALSE),"")</f>
        <v/>
      </c>
      <c r="U181" s="35" t="str">
        <f t="shared" si="14"/>
        <v>2026-04</v>
      </c>
      <c r="V181" s="38">
        <f>IF(J181="已結案",0,(使用說明!$B$7-B181)*24)</f>
        <v>0</v>
      </c>
    </row>
    <row r="182" spans="1:22">
      <c r="A182" s="32" t="s">
        <v>586</v>
      </c>
      <c r="B182" s="33">
        <v>46137.520833333336</v>
      </c>
      <c r="C182" s="34" t="s">
        <v>564</v>
      </c>
      <c r="D182" s="34" t="s">
        <v>210</v>
      </c>
      <c r="E182" s="34" t="s">
        <v>219</v>
      </c>
      <c r="F182" s="34" t="s">
        <v>257</v>
      </c>
      <c r="G182" s="34" t="s">
        <v>242</v>
      </c>
      <c r="H182" s="34" t="s">
        <v>279</v>
      </c>
      <c r="I182" s="35" t="str">
        <f>VLOOKUP(H182,人員與團隊!$A$4:$D$27,3,FALSE)</f>
        <v>南區服務</v>
      </c>
      <c r="J182" s="34" t="s">
        <v>215</v>
      </c>
      <c r="K182" s="33">
        <v>46137.597222222219</v>
      </c>
      <c r="L182" s="33">
        <v>46138.08301855324</v>
      </c>
      <c r="M182" s="36">
        <f t="shared" si="10"/>
        <v>109.99999999185093</v>
      </c>
      <c r="N182" s="37">
        <f t="shared" si="11"/>
        <v>13.492445277690422</v>
      </c>
      <c r="O182" s="36">
        <f>VLOOKUP(G182,SLA標準!$A$4:$C$7,2,FALSE)</f>
        <v>240</v>
      </c>
      <c r="P182" s="37">
        <f>VLOOKUP(G182,SLA標準!$A$4:$C$7,3,FALSE)</f>
        <v>24</v>
      </c>
      <c r="Q182" s="35" t="str">
        <f t="shared" si="12"/>
        <v>達標</v>
      </c>
      <c r="R182" s="34" t="s">
        <v>47</v>
      </c>
      <c r="S182" s="35" t="str">
        <f t="shared" si="13"/>
        <v>是</v>
      </c>
      <c r="T182" s="36">
        <f>IFERROR(VLOOKUP(A182,滿意度調查!$B$4:$D$570,3,FALSE),"")</f>
        <v>5</v>
      </c>
      <c r="U182" s="35" t="str">
        <f t="shared" si="14"/>
        <v>2026-04</v>
      </c>
      <c r="V182" s="38">
        <f>IF(J182="已結案",0,(使用說明!$B$7-B182)*24)</f>
        <v>0</v>
      </c>
    </row>
    <row r="183" spans="1:22">
      <c r="A183" s="32" t="s">
        <v>587</v>
      </c>
      <c r="B183" s="33">
        <v>46137.558333333334</v>
      </c>
      <c r="C183" s="34" t="s">
        <v>588</v>
      </c>
      <c r="D183" s="34" t="s">
        <v>210</v>
      </c>
      <c r="E183" s="34" t="s">
        <v>265</v>
      </c>
      <c r="F183" s="34" t="s">
        <v>479</v>
      </c>
      <c r="G183" s="34" t="s">
        <v>242</v>
      </c>
      <c r="H183" s="34" t="s">
        <v>384</v>
      </c>
      <c r="I183" s="35" t="str">
        <f>VLOOKUP(H183,人員與團隊!$A$4:$D$27,3,FALSE)</f>
        <v>線上服務</v>
      </c>
      <c r="J183" s="34" t="s">
        <v>215</v>
      </c>
      <c r="K183" s="33">
        <v>46137.644444444442</v>
      </c>
      <c r="L183" s="33">
        <v>46137.969197465274</v>
      </c>
      <c r="M183" s="36">
        <f t="shared" si="10"/>
        <v>123.99999999557622</v>
      </c>
      <c r="N183" s="37">
        <f t="shared" si="11"/>
        <v>9.8607391665573232</v>
      </c>
      <c r="O183" s="36">
        <f>VLOOKUP(G183,SLA標準!$A$4:$C$7,2,FALSE)</f>
        <v>240</v>
      </c>
      <c r="P183" s="37">
        <f>VLOOKUP(G183,SLA標準!$A$4:$C$7,3,FALSE)</f>
        <v>24</v>
      </c>
      <c r="Q183" s="35" t="str">
        <f t="shared" si="12"/>
        <v>達標</v>
      </c>
      <c r="R183" s="34" t="s">
        <v>47</v>
      </c>
      <c r="S183" s="35" t="str">
        <f t="shared" si="13"/>
        <v>是</v>
      </c>
      <c r="T183" s="36">
        <f>IFERROR(VLOOKUP(A183,滿意度調查!$B$4:$D$570,3,FALSE),"")</f>
        <v>5</v>
      </c>
      <c r="U183" s="35" t="str">
        <f t="shared" si="14"/>
        <v>2026-04</v>
      </c>
      <c r="V183" s="38">
        <f>IF(J183="已結案",0,(使用說明!$B$7-B183)*24)</f>
        <v>0</v>
      </c>
    </row>
    <row r="184" spans="1:22">
      <c r="A184" s="32" t="s">
        <v>589</v>
      </c>
      <c r="B184" s="33">
        <v>46137.62222222222</v>
      </c>
      <c r="C184" s="34" t="s">
        <v>376</v>
      </c>
      <c r="D184" s="34" t="s">
        <v>225</v>
      </c>
      <c r="E184" s="34" t="s">
        <v>230</v>
      </c>
      <c r="F184" s="34" t="s">
        <v>320</v>
      </c>
      <c r="G184" s="34" t="s">
        <v>242</v>
      </c>
      <c r="H184" s="34" t="s">
        <v>274</v>
      </c>
      <c r="I184" s="35" t="str">
        <f>VLOOKUP(H184,人員與團隊!$A$4:$D$27,3,FALSE)</f>
        <v>南區服務</v>
      </c>
      <c r="J184" s="34" t="s">
        <v>356</v>
      </c>
      <c r="K184" s="33">
        <v>46137.706944444442</v>
      </c>
      <c r="L184" s="33"/>
      <c r="M184" s="36">
        <f t="shared" si="10"/>
        <v>121.99999999953434</v>
      </c>
      <c r="N184" s="37" t="str">
        <f t="shared" si="11"/>
        <v/>
      </c>
      <c r="O184" s="36">
        <f>VLOOKUP(G184,SLA標準!$A$4:$C$7,2,FALSE)</f>
        <v>240</v>
      </c>
      <c r="P184" s="37">
        <f>VLOOKUP(G184,SLA標準!$A$4:$C$7,3,FALSE)</f>
        <v>24</v>
      </c>
      <c r="Q184" s="35" t="str">
        <f t="shared" si="12"/>
        <v>逾期</v>
      </c>
      <c r="R184" s="34" t="s">
        <v>47</v>
      </c>
      <c r="S184" s="35" t="str">
        <f t="shared" si="13"/>
        <v>否</v>
      </c>
      <c r="T184" s="36" t="str">
        <f>IFERROR(VLOOKUP(A184,滿意度調查!$B$4:$D$570,3,FALSE),"")</f>
        <v/>
      </c>
      <c r="U184" s="35" t="str">
        <f t="shared" si="14"/>
        <v>2026-04</v>
      </c>
      <c r="V184" s="38">
        <f>IF(J184="已結案",0,(使用說明!$B$7-B184)*24)</f>
        <v>1602.0666666667094</v>
      </c>
    </row>
    <row r="185" spans="1:22">
      <c r="A185" s="32" t="s">
        <v>590</v>
      </c>
      <c r="B185" s="33">
        <v>46137.63958333333</v>
      </c>
      <c r="C185" s="34" t="s">
        <v>391</v>
      </c>
      <c r="D185" s="34" t="s">
        <v>240</v>
      </c>
      <c r="E185" s="34" t="s">
        <v>265</v>
      </c>
      <c r="F185" s="34" t="s">
        <v>301</v>
      </c>
      <c r="G185" s="34" t="s">
        <v>242</v>
      </c>
      <c r="H185" s="34" t="s">
        <v>267</v>
      </c>
      <c r="I185" s="35" t="str">
        <f>VLOOKUP(H185,人員與團隊!$A$4:$D$27,3,FALSE)</f>
        <v>南區服務</v>
      </c>
      <c r="J185" s="34" t="s">
        <v>215</v>
      </c>
      <c r="K185" s="33">
        <v>46137.84097222222</v>
      </c>
      <c r="L185" s="33">
        <v>46138.120173564814</v>
      </c>
      <c r="M185" s="36">
        <f t="shared" si="10"/>
        <v>290.00000000232831</v>
      </c>
      <c r="N185" s="37">
        <f t="shared" si="11"/>
        <v>11.534165555611253</v>
      </c>
      <c r="O185" s="36">
        <f>VLOOKUP(G185,SLA標準!$A$4:$C$7,2,FALSE)</f>
        <v>240</v>
      </c>
      <c r="P185" s="37">
        <f>VLOOKUP(G185,SLA標準!$A$4:$C$7,3,FALSE)</f>
        <v>24</v>
      </c>
      <c r="Q185" s="35" t="str">
        <f t="shared" si="12"/>
        <v>逾期</v>
      </c>
      <c r="R185" s="34" t="s">
        <v>47</v>
      </c>
      <c r="S185" s="35" t="str">
        <f t="shared" si="13"/>
        <v>否</v>
      </c>
      <c r="T185" s="36" t="str">
        <f>IFERROR(VLOOKUP(A185,滿意度調查!$B$4:$D$570,3,FALSE),"")</f>
        <v/>
      </c>
      <c r="U185" s="35" t="str">
        <f t="shared" si="14"/>
        <v>2026-04</v>
      </c>
      <c r="V185" s="38">
        <f>IF(J185="已結案",0,(使用說明!$B$7-B185)*24)</f>
        <v>0</v>
      </c>
    </row>
    <row r="186" spans="1:22">
      <c r="A186" s="32" t="s">
        <v>591</v>
      </c>
      <c r="B186" s="33">
        <v>46137.720138888886</v>
      </c>
      <c r="C186" s="34" t="s">
        <v>338</v>
      </c>
      <c r="D186" s="34" t="s">
        <v>240</v>
      </c>
      <c r="E186" s="34" t="s">
        <v>235</v>
      </c>
      <c r="F186" s="34" t="s">
        <v>236</v>
      </c>
      <c r="G186" s="34" t="s">
        <v>242</v>
      </c>
      <c r="H186" s="34" t="s">
        <v>267</v>
      </c>
      <c r="I186" s="35" t="str">
        <f>VLOOKUP(H186,人員與團隊!$A$4:$D$27,3,FALSE)</f>
        <v>南區服務</v>
      </c>
      <c r="J186" s="34" t="s">
        <v>215</v>
      </c>
      <c r="K186" s="33">
        <v>46137.868055555555</v>
      </c>
      <c r="L186" s="33">
        <v>46138.115266782406</v>
      </c>
      <c r="M186" s="36">
        <f t="shared" si="10"/>
        <v>213.00000000279397</v>
      </c>
      <c r="N186" s="37">
        <f t="shared" si="11"/>
        <v>9.4830694444826804</v>
      </c>
      <c r="O186" s="36">
        <f>VLOOKUP(G186,SLA標準!$A$4:$C$7,2,FALSE)</f>
        <v>240</v>
      </c>
      <c r="P186" s="37">
        <f>VLOOKUP(G186,SLA標準!$A$4:$C$7,3,FALSE)</f>
        <v>24</v>
      </c>
      <c r="Q186" s="35" t="str">
        <f t="shared" si="12"/>
        <v>達標</v>
      </c>
      <c r="R186" s="34" t="s">
        <v>47</v>
      </c>
      <c r="S186" s="35" t="str">
        <f t="shared" si="13"/>
        <v>是</v>
      </c>
      <c r="T186" s="36">
        <f>IFERROR(VLOOKUP(A186,滿意度調查!$B$4:$D$570,3,FALSE),"")</f>
        <v>5</v>
      </c>
      <c r="U186" s="35" t="str">
        <f t="shared" si="14"/>
        <v>2026-04</v>
      </c>
      <c r="V186" s="38">
        <f>IF(J186="已結案",0,(使用說明!$B$7-B186)*24)</f>
        <v>0</v>
      </c>
    </row>
    <row r="187" spans="1:22">
      <c r="A187" s="32" t="s">
        <v>592</v>
      </c>
      <c r="B187" s="33">
        <v>46137.730555555558</v>
      </c>
      <c r="C187" s="34" t="s">
        <v>593</v>
      </c>
      <c r="D187" s="34" t="s">
        <v>240</v>
      </c>
      <c r="E187" s="34" t="s">
        <v>219</v>
      </c>
      <c r="F187" s="34" t="s">
        <v>249</v>
      </c>
      <c r="G187" s="34" t="s">
        <v>350</v>
      </c>
      <c r="H187" s="34" t="s">
        <v>222</v>
      </c>
      <c r="I187" s="35" t="str">
        <f>VLOOKUP(H187,人員與團隊!$A$4:$D$27,3,FALSE)</f>
        <v>北區服務</v>
      </c>
      <c r="J187" s="34" t="s">
        <v>215</v>
      </c>
      <c r="K187" s="33">
        <v>46137.75277777778</v>
      </c>
      <c r="L187" s="33">
        <v>46137.913772812499</v>
      </c>
      <c r="M187" s="36">
        <f t="shared" si="10"/>
        <v>31.999999999534339</v>
      </c>
      <c r="N187" s="37">
        <f t="shared" si="11"/>
        <v>4.3972141665872186</v>
      </c>
      <c r="O187" s="36">
        <f>VLOOKUP(G187,SLA標準!$A$4:$C$7,2,FALSE)</f>
        <v>30</v>
      </c>
      <c r="P187" s="37">
        <f>VLOOKUP(G187,SLA標準!$A$4:$C$7,3,FALSE)</f>
        <v>4</v>
      </c>
      <c r="Q187" s="35" t="str">
        <f t="shared" si="12"/>
        <v>逾期</v>
      </c>
      <c r="R187" s="34" t="s">
        <v>47</v>
      </c>
      <c r="S187" s="35" t="str">
        <f t="shared" si="13"/>
        <v>是</v>
      </c>
      <c r="T187" s="36">
        <f>IFERROR(VLOOKUP(A187,滿意度調查!$B$4:$D$570,3,FALSE),"")</f>
        <v>4</v>
      </c>
      <c r="U187" s="35" t="str">
        <f t="shared" si="14"/>
        <v>2026-04</v>
      </c>
      <c r="V187" s="38">
        <f>IF(J187="已結案",0,(使用說明!$B$7-B187)*24)</f>
        <v>0</v>
      </c>
    </row>
    <row r="188" spans="1:22">
      <c r="A188" s="32" t="s">
        <v>594</v>
      </c>
      <c r="B188" s="33">
        <v>46137.76458333333</v>
      </c>
      <c r="C188" s="34" t="s">
        <v>517</v>
      </c>
      <c r="D188" s="34" t="s">
        <v>210</v>
      </c>
      <c r="E188" s="34" t="s">
        <v>235</v>
      </c>
      <c r="F188" s="34" t="s">
        <v>241</v>
      </c>
      <c r="G188" s="34" t="s">
        <v>242</v>
      </c>
      <c r="H188" s="34" t="s">
        <v>227</v>
      </c>
      <c r="I188" s="35" t="str">
        <f>VLOOKUP(H188,人員與團隊!$A$4:$D$27,3,FALSE)</f>
        <v>北區服務</v>
      </c>
      <c r="J188" s="34" t="s">
        <v>215</v>
      </c>
      <c r="K188" s="33">
        <v>46137.823611111111</v>
      </c>
      <c r="L188" s="33">
        <v>46138.370330381942</v>
      </c>
      <c r="M188" s="36">
        <f t="shared" si="10"/>
        <v>85.000000004656613</v>
      </c>
      <c r="N188" s="37">
        <f t="shared" si="11"/>
        <v>14.537929166690446</v>
      </c>
      <c r="O188" s="36">
        <f>VLOOKUP(G188,SLA標準!$A$4:$C$7,2,FALSE)</f>
        <v>240</v>
      </c>
      <c r="P188" s="37">
        <f>VLOOKUP(G188,SLA標準!$A$4:$C$7,3,FALSE)</f>
        <v>24</v>
      </c>
      <c r="Q188" s="35" t="str">
        <f t="shared" si="12"/>
        <v>達標</v>
      </c>
      <c r="R188" s="34" t="s">
        <v>47</v>
      </c>
      <c r="S188" s="35" t="str">
        <f t="shared" si="13"/>
        <v>是</v>
      </c>
      <c r="T188" s="36">
        <f>IFERROR(VLOOKUP(A188,滿意度調查!$B$4:$D$570,3,FALSE),"")</f>
        <v>4</v>
      </c>
      <c r="U188" s="35" t="str">
        <f t="shared" si="14"/>
        <v>2026-04</v>
      </c>
      <c r="V188" s="38">
        <f>IF(J188="已結案",0,(使用說明!$B$7-B188)*24)</f>
        <v>0</v>
      </c>
    </row>
    <row r="189" spans="1:22">
      <c r="A189" s="32" t="s">
        <v>595</v>
      </c>
      <c r="B189" s="33">
        <v>46137.771527777775</v>
      </c>
      <c r="C189" s="34" t="s">
        <v>596</v>
      </c>
      <c r="D189" s="34" t="s">
        <v>225</v>
      </c>
      <c r="E189" s="34" t="s">
        <v>265</v>
      </c>
      <c r="F189" s="34" t="s">
        <v>304</v>
      </c>
      <c r="G189" s="34" t="s">
        <v>213</v>
      </c>
      <c r="H189" s="34" t="s">
        <v>372</v>
      </c>
      <c r="I189" s="35" t="str">
        <f>VLOOKUP(H189,人員與團隊!$A$4:$D$27,3,FALSE)</f>
        <v>南區服務</v>
      </c>
      <c r="J189" s="34" t="s">
        <v>215</v>
      </c>
      <c r="K189" s="33">
        <v>46138.017361111109</v>
      </c>
      <c r="L189" s="33">
        <v>46138.737178923613</v>
      </c>
      <c r="M189" s="36">
        <f t="shared" si="10"/>
        <v>354.00000000139698</v>
      </c>
      <c r="N189" s="37">
        <f t="shared" si="11"/>
        <v>23.17562750010984</v>
      </c>
      <c r="O189" s="36">
        <f>VLOOKUP(G189,SLA標準!$A$4:$C$7,2,FALSE)</f>
        <v>480</v>
      </c>
      <c r="P189" s="37">
        <f>VLOOKUP(G189,SLA標準!$A$4:$C$7,3,FALSE)</f>
        <v>48</v>
      </c>
      <c r="Q189" s="35" t="str">
        <f t="shared" si="12"/>
        <v>達標</v>
      </c>
      <c r="R189" s="34" t="s">
        <v>47</v>
      </c>
      <c r="S189" s="35" t="str">
        <f t="shared" si="13"/>
        <v>否</v>
      </c>
      <c r="T189" s="36" t="str">
        <f>IFERROR(VLOOKUP(A189,滿意度調查!$B$4:$D$570,3,FALSE),"")</f>
        <v/>
      </c>
      <c r="U189" s="35" t="str">
        <f t="shared" si="14"/>
        <v>2026-04</v>
      </c>
      <c r="V189" s="38">
        <f>IF(J189="已結案",0,(使用說明!$B$7-B189)*24)</f>
        <v>0</v>
      </c>
    </row>
    <row r="190" spans="1:22">
      <c r="A190" s="32" t="s">
        <v>597</v>
      </c>
      <c r="B190" s="33">
        <v>46137.803472222222</v>
      </c>
      <c r="C190" s="34" t="s">
        <v>598</v>
      </c>
      <c r="D190" s="34" t="s">
        <v>210</v>
      </c>
      <c r="E190" s="34" t="s">
        <v>230</v>
      </c>
      <c r="F190" s="34" t="s">
        <v>231</v>
      </c>
      <c r="G190" s="34" t="s">
        <v>242</v>
      </c>
      <c r="H190" s="34" t="s">
        <v>267</v>
      </c>
      <c r="I190" s="35" t="str">
        <f>VLOOKUP(H190,人員與團隊!$A$4:$D$27,3,FALSE)</f>
        <v>南區服務</v>
      </c>
      <c r="J190" s="34" t="s">
        <v>215</v>
      </c>
      <c r="K190" s="33">
        <v>46137.89166666667</v>
      </c>
      <c r="L190" s="33">
        <v>46138.421113599536</v>
      </c>
      <c r="M190" s="36">
        <f t="shared" si="10"/>
        <v>127.0000000053551</v>
      </c>
      <c r="N190" s="37">
        <f t="shared" si="11"/>
        <v>14.823393055528868</v>
      </c>
      <c r="O190" s="36">
        <f>VLOOKUP(G190,SLA標準!$A$4:$C$7,2,FALSE)</f>
        <v>240</v>
      </c>
      <c r="P190" s="37">
        <f>VLOOKUP(G190,SLA標準!$A$4:$C$7,3,FALSE)</f>
        <v>24</v>
      </c>
      <c r="Q190" s="35" t="str">
        <f t="shared" si="12"/>
        <v>達標</v>
      </c>
      <c r="R190" s="34" t="s">
        <v>47</v>
      </c>
      <c r="S190" s="35" t="str">
        <f t="shared" si="13"/>
        <v>否</v>
      </c>
      <c r="T190" s="36" t="str">
        <f>IFERROR(VLOOKUP(A190,滿意度調查!$B$4:$D$570,3,FALSE),"")</f>
        <v/>
      </c>
      <c r="U190" s="35" t="str">
        <f t="shared" si="14"/>
        <v>2026-04</v>
      </c>
      <c r="V190" s="38">
        <f>IF(J190="已結案",0,(使用說明!$B$7-B190)*24)</f>
        <v>0</v>
      </c>
    </row>
    <row r="191" spans="1:22">
      <c r="A191" s="32" t="s">
        <v>599</v>
      </c>
      <c r="B191" s="33">
        <v>46138.36041666667</v>
      </c>
      <c r="C191" s="34" t="s">
        <v>600</v>
      </c>
      <c r="D191" s="34" t="s">
        <v>240</v>
      </c>
      <c r="E191" s="34" t="s">
        <v>211</v>
      </c>
      <c r="F191" s="34" t="s">
        <v>334</v>
      </c>
      <c r="G191" s="34" t="s">
        <v>242</v>
      </c>
      <c r="H191" s="34" t="s">
        <v>250</v>
      </c>
      <c r="I191" s="35" t="str">
        <f>VLOOKUP(H191,人員與團隊!$A$4:$D$27,3,FALSE)</f>
        <v>南區服務</v>
      </c>
      <c r="J191" s="34" t="s">
        <v>215</v>
      </c>
      <c r="K191" s="33">
        <v>46138.499305555553</v>
      </c>
      <c r="L191" s="33">
        <v>46138.595909548611</v>
      </c>
      <c r="M191" s="36">
        <f t="shared" si="10"/>
        <v>199.99999999185093</v>
      </c>
      <c r="N191" s="37">
        <f t="shared" si="11"/>
        <v>5.6518291665706784</v>
      </c>
      <c r="O191" s="36">
        <f>VLOOKUP(G191,SLA標準!$A$4:$C$7,2,FALSE)</f>
        <v>240</v>
      </c>
      <c r="P191" s="37">
        <f>VLOOKUP(G191,SLA標準!$A$4:$C$7,3,FALSE)</f>
        <v>24</v>
      </c>
      <c r="Q191" s="35" t="str">
        <f t="shared" si="12"/>
        <v>達標</v>
      </c>
      <c r="R191" s="34" t="s">
        <v>47</v>
      </c>
      <c r="S191" s="35" t="str">
        <f t="shared" si="13"/>
        <v>否</v>
      </c>
      <c r="T191" s="36" t="str">
        <f>IFERROR(VLOOKUP(A191,滿意度調查!$B$4:$D$570,3,FALSE),"")</f>
        <v/>
      </c>
      <c r="U191" s="35" t="str">
        <f t="shared" si="14"/>
        <v>2026-04</v>
      </c>
      <c r="V191" s="38">
        <f>IF(J191="已結案",0,(使用說明!$B$7-B191)*24)</f>
        <v>0</v>
      </c>
    </row>
    <row r="192" spans="1:22">
      <c r="A192" s="32" t="s">
        <v>601</v>
      </c>
      <c r="B192" s="33">
        <v>46138.367361111108</v>
      </c>
      <c r="C192" s="34" t="s">
        <v>602</v>
      </c>
      <c r="D192" s="34" t="s">
        <v>218</v>
      </c>
      <c r="E192" s="34" t="s">
        <v>211</v>
      </c>
      <c r="F192" s="34" t="s">
        <v>331</v>
      </c>
      <c r="G192" s="34" t="s">
        <v>242</v>
      </c>
      <c r="H192" s="34" t="s">
        <v>328</v>
      </c>
      <c r="I192" s="35" t="str">
        <f>VLOOKUP(H192,人員與團隊!$A$4:$D$27,3,FALSE)</f>
        <v>北區服務</v>
      </c>
      <c r="J192" s="34" t="s">
        <v>215</v>
      </c>
      <c r="K192" s="33">
        <v>46138.563888888886</v>
      </c>
      <c r="L192" s="33">
        <v>46138.695646782406</v>
      </c>
      <c r="M192" s="36">
        <f t="shared" si="10"/>
        <v>283.00000000046566</v>
      </c>
      <c r="N192" s="37">
        <f t="shared" si="11"/>
        <v>7.87885611114325</v>
      </c>
      <c r="O192" s="36">
        <f>VLOOKUP(G192,SLA標準!$A$4:$C$7,2,FALSE)</f>
        <v>240</v>
      </c>
      <c r="P192" s="37">
        <f>VLOOKUP(G192,SLA標準!$A$4:$C$7,3,FALSE)</f>
        <v>24</v>
      </c>
      <c r="Q192" s="35" t="str">
        <f t="shared" si="12"/>
        <v>逾期</v>
      </c>
      <c r="R192" s="34" t="s">
        <v>47</v>
      </c>
      <c r="S192" s="35" t="str">
        <f t="shared" si="13"/>
        <v>是</v>
      </c>
      <c r="T192" s="36">
        <f>IFERROR(VLOOKUP(A192,滿意度調查!$B$4:$D$570,3,FALSE),"")</f>
        <v>4</v>
      </c>
      <c r="U192" s="35" t="str">
        <f t="shared" si="14"/>
        <v>2026-04</v>
      </c>
      <c r="V192" s="38">
        <f>IF(J192="已結案",0,(使用說明!$B$7-B192)*24)</f>
        <v>0</v>
      </c>
    </row>
    <row r="193" spans="1:22">
      <c r="A193" s="32" t="s">
        <v>603</v>
      </c>
      <c r="B193" s="33">
        <v>46138.533333333333</v>
      </c>
      <c r="C193" s="34" t="s">
        <v>352</v>
      </c>
      <c r="D193" s="34" t="s">
        <v>225</v>
      </c>
      <c r="E193" s="34" t="s">
        <v>235</v>
      </c>
      <c r="F193" s="34" t="s">
        <v>253</v>
      </c>
      <c r="G193" s="34" t="s">
        <v>242</v>
      </c>
      <c r="H193" s="34" t="s">
        <v>250</v>
      </c>
      <c r="I193" s="35" t="str">
        <f>VLOOKUP(H193,人員與團隊!$A$4:$D$27,3,FALSE)</f>
        <v>南區服務</v>
      </c>
      <c r="J193" s="34" t="s">
        <v>215</v>
      </c>
      <c r="K193" s="33">
        <v>46138.605555555558</v>
      </c>
      <c r="L193" s="33">
        <v>46139.084660914355</v>
      </c>
      <c r="M193" s="36">
        <f t="shared" si="10"/>
        <v>104.00000000372529</v>
      </c>
      <c r="N193" s="37">
        <f t="shared" si="11"/>
        <v>13.231861944543198</v>
      </c>
      <c r="O193" s="36">
        <f>VLOOKUP(G193,SLA標準!$A$4:$C$7,2,FALSE)</f>
        <v>240</v>
      </c>
      <c r="P193" s="37">
        <f>VLOOKUP(G193,SLA標準!$A$4:$C$7,3,FALSE)</f>
        <v>24</v>
      </c>
      <c r="Q193" s="35" t="str">
        <f t="shared" si="12"/>
        <v>達標</v>
      </c>
      <c r="R193" s="34" t="s">
        <v>47</v>
      </c>
      <c r="S193" s="35" t="str">
        <f t="shared" si="13"/>
        <v>是</v>
      </c>
      <c r="T193" s="36">
        <f>IFERROR(VLOOKUP(A193,滿意度調查!$B$4:$D$570,3,FALSE),"")</f>
        <v>5</v>
      </c>
      <c r="U193" s="35" t="str">
        <f t="shared" si="14"/>
        <v>2026-04</v>
      </c>
      <c r="V193" s="38">
        <f>IF(J193="已結案",0,(使用說明!$B$7-B193)*24)</f>
        <v>0</v>
      </c>
    </row>
    <row r="194" spans="1:22">
      <c r="A194" s="32" t="s">
        <v>604</v>
      </c>
      <c r="B194" s="33">
        <v>46138.554166666669</v>
      </c>
      <c r="C194" s="34" t="s">
        <v>605</v>
      </c>
      <c r="D194" s="34" t="s">
        <v>225</v>
      </c>
      <c r="E194" s="34" t="s">
        <v>245</v>
      </c>
      <c r="F194" s="34" t="s">
        <v>282</v>
      </c>
      <c r="G194" s="34" t="s">
        <v>213</v>
      </c>
      <c r="H194" s="34" t="s">
        <v>243</v>
      </c>
      <c r="I194" s="35" t="str">
        <f>VLOOKUP(H194,人員與團隊!$A$4:$D$27,3,FALSE)</f>
        <v>南區服務</v>
      </c>
      <c r="J194" s="34" t="s">
        <v>215</v>
      </c>
      <c r="K194" s="33">
        <v>46138.779861111114</v>
      </c>
      <c r="L194" s="33">
        <v>46140.577503067128</v>
      </c>
      <c r="M194" s="36">
        <f t="shared" si="10"/>
        <v>325.00000000116415</v>
      </c>
      <c r="N194" s="37">
        <f t="shared" si="11"/>
        <v>48.560073611035477</v>
      </c>
      <c r="O194" s="36">
        <f>VLOOKUP(G194,SLA標準!$A$4:$C$7,2,FALSE)</f>
        <v>480</v>
      </c>
      <c r="P194" s="37">
        <f>VLOOKUP(G194,SLA標準!$A$4:$C$7,3,FALSE)</f>
        <v>48</v>
      </c>
      <c r="Q194" s="35" t="str">
        <f t="shared" si="12"/>
        <v>逾期</v>
      </c>
      <c r="R194" s="34" t="s">
        <v>47</v>
      </c>
      <c r="S194" s="35" t="str">
        <f t="shared" si="13"/>
        <v>否</v>
      </c>
      <c r="T194" s="36" t="str">
        <f>IFERROR(VLOOKUP(A194,滿意度調查!$B$4:$D$570,3,FALSE),"")</f>
        <v/>
      </c>
      <c r="U194" s="35" t="str">
        <f t="shared" si="14"/>
        <v>2026-04</v>
      </c>
      <c r="V194" s="38">
        <f>IF(J194="已結案",0,(使用說明!$B$7-B194)*24)</f>
        <v>0</v>
      </c>
    </row>
    <row r="195" spans="1:22">
      <c r="A195" s="32" t="s">
        <v>606</v>
      </c>
      <c r="B195" s="33">
        <v>46138.558333333334</v>
      </c>
      <c r="C195" s="34" t="s">
        <v>607</v>
      </c>
      <c r="D195" s="34" t="s">
        <v>210</v>
      </c>
      <c r="E195" s="34" t="s">
        <v>235</v>
      </c>
      <c r="F195" s="34" t="s">
        <v>241</v>
      </c>
      <c r="G195" s="34" t="s">
        <v>350</v>
      </c>
      <c r="H195" s="34" t="s">
        <v>384</v>
      </c>
      <c r="I195" s="35" t="str">
        <f>VLOOKUP(H195,人員與團隊!$A$4:$D$27,3,FALSE)</f>
        <v>線上服務</v>
      </c>
      <c r="J195" s="34" t="s">
        <v>215</v>
      </c>
      <c r="K195" s="33">
        <v>46138.565972222219</v>
      </c>
      <c r="L195" s="33">
        <v>46138.939034594907</v>
      </c>
      <c r="M195" s="36">
        <f t="shared" si="10"/>
        <v>10.999999993946403</v>
      </c>
      <c r="N195" s="37">
        <f t="shared" si="11"/>
        <v>9.1368302777409554</v>
      </c>
      <c r="O195" s="36">
        <f>VLOOKUP(G195,SLA標準!$A$4:$C$7,2,FALSE)</f>
        <v>30</v>
      </c>
      <c r="P195" s="37">
        <f>VLOOKUP(G195,SLA標準!$A$4:$C$7,3,FALSE)</f>
        <v>4</v>
      </c>
      <c r="Q195" s="35" t="str">
        <f t="shared" si="12"/>
        <v>逾期</v>
      </c>
      <c r="R195" s="34" t="s">
        <v>47</v>
      </c>
      <c r="S195" s="35" t="str">
        <f t="shared" si="13"/>
        <v>是</v>
      </c>
      <c r="T195" s="36">
        <f>IFERROR(VLOOKUP(A195,滿意度調查!$B$4:$D$570,3,FALSE),"")</f>
        <v>3</v>
      </c>
      <c r="U195" s="35" t="str">
        <f t="shared" si="14"/>
        <v>2026-04</v>
      </c>
      <c r="V195" s="38">
        <f>IF(J195="已結案",0,(使用說明!$B$7-B195)*24)</f>
        <v>0</v>
      </c>
    </row>
    <row r="196" spans="1:22">
      <c r="A196" s="32" t="s">
        <v>608</v>
      </c>
      <c r="B196" s="33">
        <v>46138.654861111114</v>
      </c>
      <c r="C196" s="34" t="s">
        <v>407</v>
      </c>
      <c r="D196" s="34" t="s">
        <v>218</v>
      </c>
      <c r="E196" s="34" t="s">
        <v>235</v>
      </c>
      <c r="F196" s="34" t="s">
        <v>241</v>
      </c>
      <c r="G196" s="34" t="s">
        <v>242</v>
      </c>
      <c r="H196" s="34" t="s">
        <v>262</v>
      </c>
      <c r="I196" s="35" t="str">
        <f>VLOOKUP(H196,人員與團隊!$A$4:$D$27,3,FALSE)</f>
        <v>南區服務</v>
      </c>
      <c r="J196" s="34" t="s">
        <v>215</v>
      </c>
      <c r="K196" s="33">
        <v>46138.800694444442</v>
      </c>
      <c r="L196" s="33">
        <v>46139.261802037036</v>
      </c>
      <c r="M196" s="36">
        <f t="shared" ref="M196:M259" si="15">IF(K196="","",(K196-B196)*1440)</f>
        <v>209.99999999301508</v>
      </c>
      <c r="N196" s="37">
        <f t="shared" ref="N196:N259" si="16">IF(L196="","",(L196-B196)*24)</f>
        <v>14.566582222119905</v>
      </c>
      <c r="O196" s="36">
        <f>VLOOKUP(G196,SLA標準!$A$4:$C$7,2,FALSE)</f>
        <v>240</v>
      </c>
      <c r="P196" s="37">
        <f>VLOOKUP(G196,SLA標準!$A$4:$C$7,3,FALSE)</f>
        <v>24</v>
      </c>
      <c r="Q196" s="35" t="str">
        <f t="shared" ref="Q196:Q259" si="17">IF(J196="已結案",IF(AND(M196&lt;=O196,N196&lt;=P196),"達標","逾期"),IF(OR(M196&gt;O196,V196&gt;P196),"逾期","進行中"))</f>
        <v>達標</v>
      </c>
      <c r="R196" s="34" t="s">
        <v>47</v>
      </c>
      <c r="S196" s="35" t="str">
        <f t="shared" ref="S196:S259" si="18">IF(T196="","否","是")</f>
        <v>是</v>
      </c>
      <c r="T196" s="36">
        <f>IFERROR(VLOOKUP(A196,滿意度調查!$B$4:$D$570,3,FALSE),"")</f>
        <v>5</v>
      </c>
      <c r="U196" s="35" t="str">
        <f t="shared" ref="U196:U259" si="19">TEXT(B196,"yyyy-mm")</f>
        <v>2026-04</v>
      </c>
      <c r="V196" s="38">
        <f>IF(J196="已結案",0,(使用說明!$B$7-B196)*24)</f>
        <v>0</v>
      </c>
    </row>
    <row r="197" spans="1:22">
      <c r="A197" s="32" t="s">
        <v>609</v>
      </c>
      <c r="B197" s="33">
        <v>46138.667361111111</v>
      </c>
      <c r="C197" s="34" t="s">
        <v>610</v>
      </c>
      <c r="D197" s="34" t="s">
        <v>210</v>
      </c>
      <c r="E197" s="34" t="s">
        <v>219</v>
      </c>
      <c r="F197" s="34" t="s">
        <v>220</v>
      </c>
      <c r="G197" s="34" t="s">
        <v>221</v>
      </c>
      <c r="H197" s="34" t="s">
        <v>325</v>
      </c>
      <c r="I197" s="35" t="str">
        <f>VLOOKUP(H197,人員與團隊!$A$4:$D$27,3,FALSE)</f>
        <v>線上服務</v>
      </c>
      <c r="J197" s="34" t="s">
        <v>215</v>
      </c>
      <c r="K197" s="33">
        <v>46138.678472222222</v>
      </c>
      <c r="L197" s="33">
        <v>46139.269014004632</v>
      </c>
      <c r="M197" s="36">
        <f t="shared" si="15"/>
        <v>15.999999999767169</v>
      </c>
      <c r="N197" s="37">
        <f t="shared" si="16"/>
        <v>14.439669444516767</v>
      </c>
      <c r="O197" s="36">
        <f>VLOOKUP(G197,SLA標準!$A$4:$C$7,2,FALSE)</f>
        <v>60</v>
      </c>
      <c r="P197" s="37">
        <f>VLOOKUP(G197,SLA標準!$A$4:$C$7,3,FALSE)</f>
        <v>8</v>
      </c>
      <c r="Q197" s="35" t="str">
        <f t="shared" si="17"/>
        <v>逾期</v>
      </c>
      <c r="R197" s="34" t="s">
        <v>41</v>
      </c>
      <c r="S197" s="35" t="str">
        <f t="shared" si="18"/>
        <v>是</v>
      </c>
      <c r="T197" s="36">
        <f>IFERROR(VLOOKUP(A197,滿意度調查!$B$4:$D$570,3,FALSE),"")</f>
        <v>3</v>
      </c>
      <c r="U197" s="35" t="str">
        <f t="shared" si="19"/>
        <v>2026-04</v>
      </c>
      <c r="V197" s="38">
        <f>IF(J197="已結案",0,(使用說明!$B$7-B197)*24)</f>
        <v>0</v>
      </c>
    </row>
    <row r="198" spans="1:22">
      <c r="A198" s="32" t="s">
        <v>611</v>
      </c>
      <c r="B198" s="33">
        <v>46138.774305555555</v>
      </c>
      <c r="C198" s="34" t="s">
        <v>602</v>
      </c>
      <c r="D198" s="34" t="s">
        <v>218</v>
      </c>
      <c r="E198" s="34" t="s">
        <v>265</v>
      </c>
      <c r="F198" s="34" t="s">
        <v>479</v>
      </c>
      <c r="G198" s="34" t="s">
        <v>242</v>
      </c>
      <c r="H198" s="34" t="s">
        <v>328</v>
      </c>
      <c r="I198" s="35" t="str">
        <f>VLOOKUP(H198,人員與團隊!$A$4:$D$27,3,FALSE)</f>
        <v>北區服務</v>
      </c>
      <c r="J198" s="34" t="s">
        <v>215</v>
      </c>
      <c r="K198" s="33">
        <v>46139.005555555559</v>
      </c>
      <c r="L198" s="33">
        <v>46139.709959953703</v>
      </c>
      <c r="M198" s="36">
        <f t="shared" si="15"/>
        <v>333.00000000628643</v>
      </c>
      <c r="N198" s="37">
        <f t="shared" si="16"/>
        <v>22.455705555563327</v>
      </c>
      <c r="O198" s="36">
        <f>VLOOKUP(G198,SLA標準!$A$4:$C$7,2,FALSE)</f>
        <v>240</v>
      </c>
      <c r="P198" s="37">
        <f>VLOOKUP(G198,SLA標準!$A$4:$C$7,3,FALSE)</f>
        <v>24</v>
      </c>
      <c r="Q198" s="35" t="str">
        <f t="shared" si="17"/>
        <v>逾期</v>
      </c>
      <c r="R198" s="34" t="s">
        <v>47</v>
      </c>
      <c r="S198" s="35" t="str">
        <f t="shared" si="18"/>
        <v>否</v>
      </c>
      <c r="T198" s="36" t="str">
        <f>IFERROR(VLOOKUP(A198,滿意度調查!$B$4:$D$570,3,FALSE),"")</f>
        <v/>
      </c>
      <c r="U198" s="35" t="str">
        <f t="shared" si="19"/>
        <v>2026-04</v>
      </c>
      <c r="V198" s="38">
        <f>IF(J198="已結案",0,(使用說明!$B$7-B198)*24)</f>
        <v>0</v>
      </c>
    </row>
    <row r="199" spans="1:22">
      <c r="A199" s="32" t="s">
        <v>612</v>
      </c>
      <c r="B199" s="33">
        <v>46138.793055555558</v>
      </c>
      <c r="C199" s="34" t="s">
        <v>239</v>
      </c>
      <c r="D199" s="34" t="s">
        <v>210</v>
      </c>
      <c r="E199" s="34" t="s">
        <v>265</v>
      </c>
      <c r="F199" s="34" t="s">
        <v>304</v>
      </c>
      <c r="G199" s="34" t="s">
        <v>242</v>
      </c>
      <c r="H199" s="34" t="s">
        <v>305</v>
      </c>
      <c r="I199" s="35" t="str">
        <f>VLOOKUP(H199,人員與團隊!$A$4:$D$27,3,FALSE)</f>
        <v>線上服務</v>
      </c>
      <c r="J199" s="34" t="s">
        <v>215</v>
      </c>
      <c r="K199" s="33">
        <v>46138.887499999997</v>
      </c>
      <c r="L199" s="33">
        <v>46139.171134259261</v>
      </c>
      <c r="M199" s="36">
        <f t="shared" si="15"/>
        <v>135.99999999278225</v>
      </c>
      <c r="N199" s="37">
        <f t="shared" si="16"/>
        <v>9.0738888888736255</v>
      </c>
      <c r="O199" s="36">
        <f>VLOOKUP(G199,SLA標準!$A$4:$C$7,2,FALSE)</f>
        <v>240</v>
      </c>
      <c r="P199" s="37">
        <f>VLOOKUP(G199,SLA標準!$A$4:$C$7,3,FALSE)</f>
        <v>24</v>
      </c>
      <c r="Q199" s="35" t="str">
        <f t="shared" si="17"/>
        <v>達標</v>
      </c>
      <c r="R199" s="34" t="s">
        <v>41</v>
      </c>
      <c r="S199" s="35" t="str">
        <f t="shared" si="18"/>
        <v>是</v>
      </c>
      <c r="T199" s="36">
        <f>IFERROR(VLOOKUP(A199,滿意度調查!$B$4:$D$570,3,FALSE),"")</f>
        <v>4</v>
      </c>
      <c r="U199" s="35" t="str">
        <f t="shared" si="19"/>
        <v>2026-04</v>
      </c>
      <c r="V199" s="38">
        <f>IF(J199="已結案",0,(使用說明!$B$7-B199)*24)</f>
        <v>0</v>
      </c>
    </row>
    <row r="200" spans="1:22">
      <c r="A200" s="32" t="s">
        <v>613</v>
      </c>
      <c r="B200" s="33">
        <v>46139.553472222222</v>
      </c>
      <c r="C200" s="34" t="s">
        <v>614</v>
      </c>
      <c r="D200" s="34" t="s">
        <v>225</v>
      </c>
      <c r="E200" s="34" t="s">
        <v>211</v>
      </c>
      <c r="F200" s="34" t="s">
        <v>226</v>
      </c>
      <c r="G200" s="34" t="s">
        <v>213</v>
      </c>
      <c r="H200" s="34" t="s">
        <v>279</v>
      </c>
      <c r="I200" s="35" t="str">
        <f>VLOOKUP(H200,人員與團隊!$A$4:$D$27,3,FALSE)</f>
        <v>南區服務</v>
      </c>
      <c r="J200" s="34" t="s">
        <v>215</v>
      </c>
      <c r="K200" s="33">
        <v>46139.826388888891</v>
      </c>
      <c r="L200" s="33">
        <v>46139.700333472225</v>
      </c>
      <c r="M200" s="36">
        <f t="shared" si="15"/>
        <v>393.00000000279397</v>
      </c>
      <c r="N200" s="37">
        <f t="shared" si="16"/>
        <v>3.5246700000716373</v>
      </c>
      <c r="O200" s="36">
        <f>VLOOKUP(G200,SLA標準!$A$4:$C$7,2,FALSE)</f>
        <v>480</v>
      </c>
      <c r="P200" s="37">
        <f>VLOOKUP(G200,SLA標準!$A$4:$C$7,3,FALSE)</f>
        <v>48</v>
      </c>
      <c r="Q200" s="35" t="str">
        <f t="shared" si="17"/>
        <v>達標</v>
      </c>
      <c r="R200" s="34" t="s">
        <v>47</v>
      </c>
      <c r="S200" s="35" t="str">
        <f t="shared" si="18"/>
        <v>是</v>
      </c>
      <c r="T200" s="36">
        <f>IFERROR(VLOOKUP(A200,滿意度調查!$B$4:$D$570,3,FALSE),"")</f>
        <v>5</v>
      </c>
      <c r="U200" s="35" t="str">
        <f t="shared" si="19"/>
        <v>2026-04</v>
      </c>
      <c r="V200" s="38">
        <f>IF(J200="已結案",0,(使用說明!$B$7-B200)*24)</f>
        <v>0</v>
      </c>
    </row>
    <row r="201" spans="1:22">
      <c r="A201" s="32" t="s">
        <v>615</v>
      </c>
      <c r="B201" s="33">
        <v>46139.568055555559</v>
      </c>
      <c r="C201" s="34" t="s">
        <v>616</v>
      </c>
      <c r="D201" s="34" t="s">
        <v>225</v>
      </c>
      <c r="E201" s="34" t="s">
        <v>219</v>
      </c>
      <c r="F201" s="34" t="s">
        <v>371</v>
      </c>
      <c r="G201" s="34" t="s">
        <v>213</v>
      </c>
      <c r="H201" s="34" t="s">
        <v>250</v>
      </c>
      <c r="I201" s="35" t="str">
        <f>VLOOKUP(H201,人員與團隊!$A$4:$D$27,3,FALSE)</f>
        <v>南區服務</v>
      </c>
      <c r="J201" s="34" t="s">
        <v>215</v>
      </c>
      <c r="K201" s="33">
        <v>46139.836805555555</v>
      </c>
      <c r="L201" s="33">
        <v>46140.095071793985</v>
      </c>
      <c r="M201" s="36">
        <f t="shared" si="15"/>
        <v>386.99999999371357</v>
      </c>
      <c r="N201" s="37">
        <f t="shared" si="16"/>
        <v>12.6483897222206</v>
      </c>
      <c r="O201" s="36">
        <f>VLOOKUP(G201,SLA標準!$A$4:$C$7,2,FALSE)</f>
        <v>480</v>
      </c>
      <c r="P201" s="37">
        <f>VLOOKUP(G201,SLA標準!$A$4:$C$7,3,FALSE)</f>
        <v>48</v>
      </c>
      <c r="Q201" s="35" t="str">
        <f t="shared" si="17"/>
        <v>達標</v>
      </c>
      <c r="R201" s="34" t="s">
        <v>47</v>
      </c>
      <c r="S201" s="35" t="str">
        <f t="shared" si="18"/>
        <v>是</v>
      </c>
      <c r="T201" s="36">
        <f>IFERROR(VLOOKUP(A201,滿意度調查!$B$4:$D$570,3,FALSE),"")</f>
        <v>5</v>
      </c>
      <c r="U201" s="35" t="str">
        <f t="shared" si="19"/>
        <v>2026-04</v>
      </c>
      <c r="V201" s="38">
        <f>IF(J201="已結案",0,(使用說明!$B$7-B201)*24)</f>
        <v>0</v>
      </c>
    </row>
    <row r="202" spans="1:22">
      <c r="A202" s="32" t="s">
        <v>617</v>
      </c>
      <c r="B202" s="33">
        <v>46139.777777777781</v>
      </c>
      <c r="C202" s="34" t="s">
        <v>618</v>
      </c>
      <c r="D202" s="34" t="s">
        <v>225</v>
      </c>
      <c r="E202" s="34" t="s">
        <v>265</v>
      </c>
      <c r="F202" s="34" t="s">
        <v>301</v>
      </c>
      <c r="G202" s="34" t="s">
        <v>242</v>
      </c>
      <c r="H202" s="34" t="s">
        <v>243</v>
      </c>
      <c r="I202" s="35" t="str">
        <f>VLOOKUP(H202,人員與團隊!$A$4:$D$27,3,FALSE)</f>
        <v>南區服務</v>
      </c>
      <c r="J202" s="34" t="s">
        <v>215</v>
      </c>
      <c r="K202" s="33">
        <v>46139.876388888886</v>
      </c>
      <c r="L202" s="33">
        <v>46140.475220243054</v>
      </c>
      <c r="M202" s="36">
        <f t="shared" si="15"/>
        <v>141.99999999138527</v>
      </c>
      <c r="N202" s="37">
        <f t="shared" si="16"/>
        <v>16.738619166542776</v>
      </c>
      <c r="O202" s="36">
        <f>VLOOKUP(G202,SLA標準!$A$4:$C$7,2,FALSE)</f>
        <v>240</v>
      </c>
      <c r="P202" s="37">
        <f>VLOOKUP(G202,SLA標準!$A$4:$C$7,3,FALSE)</f>
        <v>24</v>
      </c>
      <c r="Q202" s="35" t="str">
        <f t="shared" si="17"/>
        <v>達標</v>
      </c>
      <c r="R202" s="34" t="s">
        <v>41</v>
      </c>
      <c r="S202" s="35" t="str">
        <f t="shared" si="18"/>
        <v>是</v>
      </c>
      <c r="T202" s="36">
        <f>IFERROR(VLOOKUP(A202,滿意度調查!$B$4:$D$570,3,FALSE),"")</f>
        <v>4</v>
      </c>
      <c r="U202" s="35" t="str">
        <f t="shared" si="19"/>
        <v>2026-04</v>
      </c>
      <c r="V202" s="38">
        <f>IF(J202="已結案",0,(使用說明!$B$7-B202)*24)</f>
        <v>0</v>
      </c>
    </row>
    <row r="203" spans="1:22">
      <c r="A203" s="32" t="s">
        <v>619</v>
      </c>
      <c r="B203" s="33">
        <v>46139.818055555559</v>
      </c>
      <c r="C203" s="34" t="s">
        <v>620</v>
      </c>
      <c r="D203" s="34" t="s">
        <v>210</v>
      </c>
      <c r="E203" s="34" t="s">
        <v>230</v>
      </c>
      <c r="F203" s="34" t="s">
        <v>231</v>
      </c>
      <c r="G203" s="34" t="s">
        <v>242</v>
      </c>
      <c r="H203" s="34" t="s">
        <v>381</v>
      </c>
      <c r="I203" s="35" t="str">
        <f>VLOOKUP(H203,人員與團隊!$A$4:$D$27,3,FALSE)</f>
        <v>線上服務</v>
      </c>
      <c r="J203" s="34" t="s">
        <v>215</v>
      </c>
      <c r="K203" s="33">
        <v>46139.843055555553</v>
      </c>
      <c r="L203" s="33">
        <v>46140.348205509261</v>
      </c>
      <c r="M203" s="36">
        <f t="shared" si="15"/>
        <v>35.999999991618097</v>
      </c>
      <c r="N203" s="37">
        <f t="shared" si="16"/>
        <v>12.723598888842389</v>
      </c>
      <c r="O203" s="36">
        <f>VLOOKUP(G203,SLA標準!$A$4:$C$7,2,FALSE)</f>
        <v>240</v>
      </c>
      <c r="P203" s="37">
        <f>VLOOKUP(G203,SLA標準!$A$4:$C$7,3,FALSE)</f>
        <v>24</v>
      </c>
      <c r="Q203" s="35" t="str">
        <f t="shared" si="17"/>
        <v>達標</v>
      </c>
      <c r="R203" s="34" t="s">
        <v>47</v>
      </c>
      <c r="S203" s="35" t="str">
        <f t="shared" si="18"/>
        <v>是</v>
      </c>
      <c r="T203" s="36">
        <f>IFERROR(VLOOKUP(A203,滿意度調查!$B$4:$D$570,3,FALSE),"")</f>
        <v>5</v>
      </c>
      <c r="U203" s="35" t="str">
        <f t="shared" si="19"/>
        <v>2026-04</v>
      </c>
      <c r="V203" s="38">
        <f>IF(J203="已結案",0,(使用說明!$B$7-B203)*24)</f>
        <v>0</v>
      </c>
    </row>
    <row r="204" spans="1:22">
      <c r="A204" s="32" t="s">
        <v>621</v>
      </c>
      <c r="B204" s="33">
        <v>46140.337500000001</v>
      </c>
      <c r="C204" s="34" t="s">
        <v>622</v>
      </c>
      <c r="D204" s="34" t="s">
        <v>210</v>
      </c>
      <c r="E204" s="34" t="s">
        <v>230</v>
      </c>
      <c r="F204" s="34" t="s">
        <v>320</v>
      </c>
      <c r="G204" s="34" t="s">
        <v>221</v>
      </c>
      <c r="H204" s="34" t="s">
        <v>305</v>
      </c>
      <c r="I204" s="35" t="str">
        <f>VLOOKUP(H204,人員與團隊!$A$4:$D$27,3,FALSE)</f>
        <v>線上服務</v>
      </c>
      <c r="J204" s="34" t="s">
        <v>275</v>
      </c>
      <c r="K204" s="33">
        <v>46140.34375</v>
      </c>
      <c r="L204" s="33"/>
      <c r="M204" s="36">
        <f t="shared" si="15"/>
        <v>8.9999999979045242</v>
      </c>
      <c r="N204" s="37" t="str">
        <f t="shared" si="16"/>
        <v/>
      </c>
      <c r="O204" s="36">
        <f>VLOOKUP(G204,SLA標準!$A$4:$C$7,2,FALSE)</f>
        <v>60</v>
      </c>
      <c r="P204" s="37">
        <f>VLOOKUP(G204,SLA標準!$A$4:$C$7,3,FALSE)</f>
        <v>8</v>
      </c>
      <c r="Q204" s="35" t="str">
        <f t="shared" si="17"/>
        <v>逾期</v>
      </c>
      <c r="R204" s="34" t="s">
        <v>47</v>
      </c>
      <c r="S204" s="35" t="str">
        <f t="shared" si="18"/>
        <v>否</v>
      </c>
      <c r="T204" s="36" t="str">
        <f>IFERROR(VLOOKUP(A204,滿意度調查!$B$4:$D$570,3,FALSE),"")</f>
        <v/>
      </c>
      <c r="U204" s="35" t="str">
        <f t="shared" si="19"/>
        <v>2026-04</v>
      </c>
      <c r="V204" s="38">
        <f>IF(J204="已結案",0,(使用說明!$B$7-B204)*24)</f>
        <v>1536.8999999999651</v>
      </c>
    </row>
    <row r="205" spans="1:22">
      <c r="A205" s="32" t="s">
        <v>623</v>
      </c>
      <c r="B205" s="33">
        <v>46140.344444444447</v>
      </c>
      <c r="C205" s="34" t="s">
        <v>427</v>
      </c>
      <c r="D205" s="34" t="s">
        <v>225</v>
      </c>
      <c r="E205" s="34" t="s">
        <v>230</v>
      </c>
      <c r="F205" s="34" t="s">
        <v>339</v>
      </c>
      <c r="G205" s="34" t="s">
        <v>242</v>
      </c>
      <c r="H205" s="34" t="s">
        <v>274</v>
      </c>
      <c r="I205" s="35" t="str">
        <f>VLOOKUP(H205,人員與團隊!$A$4:$D$27,3,FALSE)</f>
        <v>南區服務</v>
      </c>
      <c r="J205" s="34" t="s">
        <v>215</v>
      </c>
      <c r="K205" s="33">
        <v>46140.427083333336</v>
      </c>
      <c r="L205" s="33">
        <v>46141.604514421299</v>
      </c>
      <c r="M205" s="36">
        <f t="shared" si="15"/>
        <v>119.00000000023283</v>
      </c>
      <c r="N205" s="37">
        <f t="shared" si="16"/>
        <v>30.241679444443434</v>
      </c>
      <c r="O205" s="36">
        <f>VLOOKUP(G205,SLA標準!$A$4:$C$7,2,FALSE)</f>
        <v>240</v>
      </c>
      <c r="P205" s="37">
        <f>VLOOKUP(G205,SLA標準!$A$4:$C$7,3,FALSE)</f>
        <v>24</v>
      </c>
      <c r="Q205" s="35" t="str">
        <f t="shared" si="17"/>
        <v>逾期</v>
      </c>
      <c r="R205" s="34" t="s">
        <v>47</v>
      </c>
      <c r="S205" s="35" t="str">
        <f t="shared" si="18"/>
        <v>是</v>
      </c>
      <c r="T205" s="36">
        <f>IFERROR(VLOOKUP(A205,滿意度調查!$B$4:$D$570,3,FALSE),"")</f>
        <v>3</v>
      </c>
      <c r="U205" s="35" t="str">
        <f t="shared" si="19"/>
        <v>2026-04</v>
      </c>
      <c r="V205" s="38">
        <f>IF(J205="已結案",0,(使用說明!$B$7-B205)*24)</f>
        <v>0</v>
      </c>
    </row>
    <row r="206" spans="1:22">
      <c r="A206" s="32" t="s">
        <v>624</v>
      </c>
      <c r="B206" s="33">
        <v>46140.387499999997</v>
      </c>
      <c r="C206" s="34" t="s">
        <v>307</v>
      </c>
      <c r="D206" s="34" t="s">
        <v>218</v>
      </c>
      <c r="E206" s="34" t="s">
        <v>219</v>
      </c>
      <c r="F206" s="34" t="s">
        <v>371</v>
      </c>
      <c r="G206" s="34" t="s">
        <v>242</v>
      </c>
      <c r="H206" s="34" t="s">
        <v>243</v>
      </c>
      <c r="I206" s="35" t="str">
        <f>VLOOKUP(H206,人員與團隊!$A$4:$D$27,3,FALSE)</f>
        <v>南區服務</v>
      </c>
      <c r="J206" s="34" t="s">
        <v>215</v>
      </c>
      <c r="K206" s="33">
        <v>46140.580555555556</v>
      </c>
      <c r="L206" s="33">
        <v>46140.764871840278</v>
      </c>
      <c r="M206" s="36">
        <f t="shared" si="15"/>
        <v>278.00000000512227</v>
      </c>
      <c r="N206" s="37">
        <f t="shared" si="16"/>
        <v>9.0569241667399183</v>
      </c>
      <c r="O206" s="36">
        <f>VLOOKUP(G206,SLA標準!$A$4:$C$7,2,FALSE)</f>
        <v>240</v>
      </c>
      <c r="P206" s="37">
        <f>VLOOKUP(G206,SLA標準!$A$4:$C$7,3,FALSE)</f>
        <v>24</v>
      </c>
      <c r="Q206" s="35" t="str">
        <f t="shared" si="17"/>
        <v>逾期</v>
      </c>
      <c r="R206" s="34" t="s">
        <v>47</v>
      </c>
      <c r="S206" s="35" t="str">
        <f t="shared" si="18"/>
        <v>是</v>
      </c>
      <c r="T206" s="36">
        <f>IFERROR(VLOOKUP(A206,滿意度調查!$B$4:$D$570,3,FALSE),"")</f>
        <v>4</v>
      </c>
      <c r="U206" s="35" t="str">
        <f t="shared" si="19"/>
        <v>2026-04</v>
      </c>
      <c r="V206" s="38">
        <f>IF(J206="已結案",0,(使用說明!$B$7-B206)*24)</f>
        <v>0</v>
      </c>
    </row>
    <row r="207" spans="1:22">
      <c r="A207" s="32" t="s">
        <v>625</v>
      </c>
      <c r="B207" s="33">
        <v>46140.585416666669</v>
      </c>
      <c r="C207" s="34" t="s">
        <v>264</v>
      </c>
      <c r="D207" s="34" t="s">
        <v>218</v>
      </c>
      <c r="E207" s="34" t="s">
        <v>219</v>
      </c>
      <c r="F207" s="34" t="s">
        <v>257</v>
      </c>
      <c r="G207" s="34" t="s">
        <v>221</v>
      </c>
      <c r="H207" s="34" t="s">
        <v>250</v>
      </c>
      <c r="I207" s="35" t="str">
        <f>VLOOKUP(H207,人員與團隊!$A$4:$D$27,3,FALSE)</f>
        <v>南區服務</v>
      </c>
      <c r="J207" s="34" t="s">
        <v>275</v>
      </c>
      <c r="K207" s="33">
        <v>46140.617361111108</v>
      </c>
      <c r="L207" s="33"/>
      <c r="M207" s="36">
        <f t="shared" si="15"/>
        <v>45.99999999278225</v>
      </c>
      <c r="N207" s="37" t="str">
        <f t="shared" si="16"/>
        <v/>
      </c>
      <c r="O207" s="36">
        <f>VLOOKUP(G207,SLA標準!$A$4:$C$7,2,FALSE)</f>
        <v>60</v>
      </c>
      <c r="P207" s="37">
        <f>VLOOKUP(G207,SLA標準!$A$4:$C$7,3,FALSE)</f>
        <v>8</v>
      </c>
      <c r="Q207" s="35" t="str">
        <f t="shared" si="17"/>
        <v>逾期</v>
      </c>
      <c r="R207" s="34" t="s">
        <v>47</v>
      </c>
      <c r="S207" s="35" t="str">
        <f t="shared" si="18"/>
        <v>否</v>
      </c>
      <c r="T207" s="36" t="str">
        <f>IFERROR(VLOOKUP(A207,滿意度調查!$B$4:$D$570,3,FALSE),"")</f>
        <v/>
      </c>
      <c r="U207" s="35" t="str">
        <f t="shared" si="19"/>
        <v>2026-04</v>
      </c>
      <c r="V207" s="38">
        <f>IF(J207="已結案",0,(使用說明!$B$7-B207)*24)</f>
        <v>1530.9499999999534</v>
      </c>
    </row>
    <row r="208" spans="1:22">
      <c r="A208" s="32" t="s">
        <v>626</v>
      </c>
      <c r="B208" s="33">
        <v>46140.586805555555</v>
      </c>
      <c r="C208" s="34" t="s">
        <v>497</v>
      </c>
      <c r="D208" s="34" t="s">
        <v>225</v>
      </c>
      <c r="E208" s="34" t="s">
        <v>235</v>
      </c>
      <c r="F208" s="34" t="s">
        <v>298</v>
      </c>
      <c r="G208" s="34" t="s">
        <v>213</v>
      </c>
      <c r="H208" s="34" t="s">
        <v>361</v>
      </c>
      <c r="I208" s="35" t="str">
        <f>VLOOKUP(H208,人員與團隊!$A$4:$D$27,3,FALSE)</f>
        <v>南區服務</v>
      </c>
      <c r="J208" s="34" t="s">
        <v>215</v>
      </c>
      <c r="K208" s="33">
        <v>46140.852777777778</v>
      </c>
      <c r="L208" s="33">
        <v>46141.322069201386</v>
      </c>
      <c r="M208" s="36">
        <f t="shared" si="15"/>
        <v>383.00000000162981</v>
      </c>
      <c r="N208" s="37">
        <f t="shared" si="16"/>
        <v>17.646327499940526</v>
      </c>
      <c r="O208" s="36">
        <f>VLOOKUP(G208,SLA標準!$A$4:$C$7,2,FALSE)</f>
        <v>480</v>
      </c>
      <c r="P208" s="37">
        <f>VLOOKUP(G208,SLA標準!$A$4:$C$7,3,FALSE)</f>
        <v>48</v>
      </c>
      <c r="Q208" s="35" t="str">
        <f t="shared" si="17"/>
        <v>達標</v>
      </c>
      <c r="R208" s="34" t="s">
        <v>47</v>
      </c>
      <c r="S208" s="35" t="str">
        <f t="shared" si="18"/>
        <v>否</v>
      </c>
      <c r="T208" s="36" t="str">
        <f>IFERROR(VLOOKUP(A208,滿意度調查!$B$4:$D$570,3,FALSE),"")</f>
        <v/>
      </c>
      <c r="U208" s="35" t="str">
        <f t="shared" si="19"/>
        <v>2026-04</v>
      </c>
      <c r="V208" s="38">
        <f>IF(J208="已結案",0,(使用說明!$B$7-B208)*24)</f>
        <v>0</v>
      </c>
    </row>
    <row r="209" spans="1:22">
      <c r="A209" s="32" t="s">
        <v>627</v>
      </c>
      <c r="B209" s="33">
        <v>46140.645833333336</v>
      </c>
      <c r="C209" s="34" t="s">
        <v>293</v>
      </c>
      <c r="D209" s="34" t="s">
        <v>218</v>
      </c>
      <c r="E209" s="34" t="s">
        <v>230</v>
      </c>
      <c r="F209" s="34" t="s">
        <v>272</v>
      </c>
      <c r="G209" s="34" t="s">
        <v>242</v>
      </c>
      <c r="H209" s="34" t="s">
        <v>243</v>
      </c>
      <c r="I209" s="35" t="str">
        <f>VLOOKUP(H209,人員與團隊!$A$4:$D$27,3,FALSE)</f>
        <v>南區服務</v>
      </c>
      <c r="J209" s="34" t="s">
        <v>215</v>
      </c>
      <c r="K209" s="33">
        <v>46140.888888888891</v>
      </c>
      <c r="L209" s="33">
        <v>46141.802908877318</v>
      </c>
      <c r="M209" s="36">
        <f t="shared" si="15"/>
        <v>349.99999999883585</v>
      </c>
      <c r="N209" s="37">
        <f t="shared" si="16"/>
        <v>27.769813055580016</v>
      </c>
      <c r="O209" s="36">
        <f>VLOOKUP(G209,SLA標準!$A$4:$C$7,2,FALSE)</f>
        <v>240</v>
      </c>
      <c r="P209" s="37">
        <f>VLOOKUP(G209,SLA標準!$A$4:$C$7,3,FALSE)</f>
        <v>24</v>
      </c>
      <c r="Q209" s="35" t="str">
        <f t="shared" si="17"/>
        <v>逾期</v>
      </c>
      <c r="R209" s="34" t="s">
        <v>47</v>
      </c>
      <c r="S209" s="35" t="str">
        <f t="shared" si="18"/>
        <v>是</v>
      </c>
      <c r="T209" s="36">
        <f>IFERROR(VLOOKUP(A209,滿意度調查!$B$4:$D$570,3,FALSE),"")</f>
        <v>4</v>
      </c>
      <c r="U209" s="35" t="str">
        <f t="shared" si="19"/>
        <v>2026-04</v>
      </c>
      <c r="V209" s="38">
        <f>IF(J209="已結案",0,(使用說明!$B$7-B209)*24)</f>
        <v>0</v>
      </c>
    </row>
    <row r="210" spans="1:22">
      <c r="A210" s="32" t="s">
        <v>628</v>
      </c>
      <c r="B210" s="33">
        <v>46140.734027777777</v>
      </c>
      <c r="C210" s="34" t="s">
        <v>629</v>
      </c>
      <c r="D210" s="34" t="s">
        <v>210</v>
      </c>
      <c r="E210" s="34" t="s">
        <v>211</v>
      </c>
      <c r="F210" s="34" t="s">
        <v>212</v>
      </c>
      <c r="G210" s="34" t="s">
        <v>242</v>
      </c>
      <c r="H210" s="34" t="s">
        <v>250</v>
      </c>
      <c r="I210" s="35" t="str">
        <f>VLOOKUP(H210,人員與團隊!$A$4:$D$27,3,FALSE)</f>
        <v>南區服務</v>
      </c>
      <c r="J210" s="34" t="s">
        <v>215</v>
      </c>
      <c r="K210" s="33">
        <v>46140.779861111114</v>
      </c>
      <c r="L210" s="33">
        <v>46140.88478615741</v>
      </c>
      <c r="M210" s="36">
        <f t="shared" si="15"/>
        <v>66.000000005587935</v>
      </c>
      <c r="N210" s="37">
        <f t="shared" si="16"/>
        <v>3.6182011112105101</v>
      </c>
      <c r="O210" s="36">
        <f>VLOOKUP(G210,SLA標準!$A$4:$C$7,2,FALSE)</f>
        <v>240</v>
      </c>
      <c r="P210" s="37">
        <f>VLOOKUP(G210,SLA標準!$A$4:$C$7,3,FALSE)</f>
        <v>24</v>
      </c>
      <c r="Q210" s="35" t="str">
        <f t="shared" si="17"/>
        <v>達標</v>
      </c>
      <c r="R210" s="34" t="s">
        <v>41</v>
      </c>
      <c r="S210" s="35" t="str">
        <f t="shared" si="18"/>
        <v>否</v>
      </c>
      <c r="T210" s="36" t="str">
        <f>IFERROR(VLOOKUP(A210,滿意度調查!$B$4:$D$570,3,FALSE),"")</f>
        <v/>
      </c>
      <c r="U210" s="35" t="str">
        <f t="shared" si="19"/>
        <v>2026-04</v>
      </c>
      <c r="V210" s="38">
        <f>IF(J210="已結案",0,(使用說明!$B$7-B210)*24)</f>
        <v>0</v>
      </c>
    </row>
    <row r="211" spans="1:22">
      <c r="A211" s="32" t="s">
        <v>630</v>
      </c>
      <c r="B211" s="33">
        <v>46140.770138888889</v>
      </c>
      <c r="C211" s="34" t="s">
        <v>420</v>
      </c>
      <c r="D211" s="34" t="s">
        <v>225</v>
      </c>
      <c r="E211" s="34" t="s">
        <v>230</v>
      </c>
      <c r="F211" s="34" t="s">
        <v>339</v>
      </c>
      <c r="G211" s="34" t="s">
        <v>221</v>
      </c>
      <c r="H211" s="34" t="s">
        <v>361</v>
      </c>
      <c r="I211" s="35" t="str">
        <f>VLOOKUP(H211,人員與團隊!$A$4:$D$27,3,FALSE)</f>
        <v>南區服務</v>
      </c>
      <c r="J211" s="34" t="s">
        <v>215</v>
      </c>
      <c r="K211" s="33">
        <v>46140.79583333333</v>
      </c>
      <c r="L211" s="33">
        <v>46141.117691354164</v>
      </c>
      <c r="M211" s="36">
        <f t="shared" si="15"/>
        <v>36.999999994877726</v>
      </c>
      <c r="N211" s="37">
        <f t="shared" si="16"/>
        <v>8.34125916659832</v>
      </c>
      <c r="O211" s="36">
        <f>VLOOKUP(G211,SLA標準!$A$4:$C$7,2,FALSE)</f>
        <v>60</v>
      </c>
      <c r="P211" s="37">
        <f>VLOOKUP(G211,SLA標準!$A$4:$C$7,3,FALSE)</f>
        <v>8</v>
      </c>
      <c r="Q211" s="35" t="str">
        <f t="shared" si="17"/>
        <v>逾期</v>
      </c>
      <c r="R211" s="34" t="s">
        <v>47</v>
      </c>
      <c r="S211" s="35" t="str">
        <f t="shared" si="18"/>
        <v>是</v>
      </c>
      <c r="T211" s="36">
        <f>IFERROR(VLOOKUP(A211,滿意度調查!$B$4:$D$570,3,FALSE),"")</f>
        <v>4</v>
      </c>
      <c r="U211" s="35" t="str">
        <f t="shared" si="19"/>
        <v>2026-04</v>
      </c>
      <c r="V211" s="38">
        <f>IF(J211="已結案",0,(使用說明!$B$7-B211)*24)</f>
        <v>0</v>
      </c>
    </row>
    <row r="212" spans="1:22">
      <c r="A212" s="32" t="s">
        <v>631</v>
      </c>
      <c r="B212" s="33">
        <v>46140.790277777778</v>
      </c>
      <c r="C212" s="34" t="s">
        <v>632</v>
      </c>
      <c r="D212" s="34" t="s">
        <v>225</v>
      </c>
      <c r="E212" s="34" t="s">
        <v>265</v>
      </c>
      <c r="F212" s="34" t="s">
        <v>266</v>
      </c>
      <c r="G212" s="34" t="s">
        <v>242</v>
      </c>
      <c r="H212" s="34" t="s">
        <v>361</v>
      </c>
      <c r="I212" s="35" t="str">
        <f>VLOOKUP(H212,人員與團隊!$A$4:$D$27,3,FALSE)</f>
        <v>南區服務</v>
      </c>
      <c r="J212" s="34" t="s">
        <v>275</v>
      </c>
      <c r="K212" s="33">
        <v>46140.927777777775</v>
      </c>
      <c r="L212" s="33"/>
      <c r="M212" s="36">
        <f t="shared" si="15"/>
        <v>197.99999999580905</v>
      </c>
      <c r="N212" s="37" t="str">
        <f t="shared" si="16"/>
        <v/>
      </c>
      <c r="O212" s="36">
        <f>VLOOKUP(G212,SLA標準!$A$4:$C$7,2,FALSE)</f>
        <v>240</v>
      </c>
      <c r="P212" s="37">
        <f>VLOOKUP(G212,SLA標準!$A$4:$C$7,3,FALSE)</f>
        <v>24</v>
      </c>
      <c r="Q212" s="35" t="str">
        <f t="shared" si="17"/>
        <v>逾期</v>
      </c>
      <c r="R212" s="34" t="s">
        <v>47</v>
      </c>
      <c r="S212" s="35" t="str">
        <f t="shared" si="18"/>
        <v>否</v>
      </c>
      <c r="T212" s="36" t="str">
        <f>IFERROR(VLOOKUP(A212,滿意度調查!$B$4:$D$570,3,FALSE),"")</f>
        <v/>
      </c>
      <c r="U212" s="35" t="str">
        <f t="shared" si="19"/>
        <v>2026-04</v>
      </c>
      <c r="V212" s="38">
        <f>IF(J212="已結案",0,(使用說明!$B$7-B212)*24)</f>
        <v>1526.0333333333256</v>
      </c>
    </row>
    <row r="213" spans="1:22">
      <c r="A213" s="32" t="s">
        <v>633</v>
      </c>
      <c r="B213" s="33">
        <v>46140.863888888889</v>
      </c>
      <c r="C213" s="34" t="s">
        <v>598</v>
      </c>
      <c r="D213" s="34" t="s">
        <v>218</v>
      </c>
      <c r="E213" s="34" t="s">
        <v>235</v>
      </c>
      <c r="F213" s="34" t="s">
        <v>236</v>
      </c>
      <c r="G213" s="34" t="s">
        <v>221</v>
      </c>
      <c r="H213" s="34" t="s">
        <v>262</v>
      </c>
      <c r="I213" s="35" t="str">
        <f>VLOOKUP(H213,人員與團隊!$A$4:$D$27,3,FALSE)</f>
        <v>南區服務</v>
      </c>
      <c r="J213" s="34" t="s">
        <v>215</v>
      </c>
      <c r="K213" s="33">
        <v>46140.918055555558</v>
      </c>
      <c r="L213" s="33">
        <v>46141.16393440972</v>
      </c>
      <c r="M213" s="36">
        <f t="shared" si="15"/>
        <v>78.000000002793968</v>
      </c>
      <c r="N213" s="37">
        <f t="shared" si="16"/>
        <v>7.2010924999485724</v>
      </c>
      <c r="O213" s="36">
        <f>VLOOKUP(G213,SLA標準!$A$4:$C$7,2,FALSE)</f>
        <v>60</v>
      </c>
      <c r="P213" s="37">
        <f>VLOOKUP(G213,SLA標準!$A$4:$C$7,3,FALSE)</f>
        <v>8</v>
      </c>
      <c r="Q213" s="35" t="str">
        <f t="shared" si="17"/>
        <v>逾期</v>
      </c>
      <c r="R213" s="34" t="s">
        <v>47</v>
      </c>
      <c r="S213" s="35" t="str">
        <f t="shared" si="18"/>
        <v>是</v>
      </c>
      <c r="T213" s="36">
        <f>IFERROR(VLOOKUP(A213,滿意度調查!$B$4:$D$570,3,FALSE),"")</f>
        <v>4</v>
      </c>
      <c r="U213" s="35" t="str">
        <f t="shared" si="19"/>
        <v>2026-04</v>
      </c>
      <c r="V213" s="38">
        <f>IF(J213="已結案",0,(使用說明!$B$7-B213)*24)</f>
        <v>0</v>
      </c>
    </row>
    <row r="214" spans="1:22">
      <c r="A214" s="32" t="s">
        <v>634</v>
      </c>
      <c r="B214" s="33">
        <v>46141.434027777781</v>
      </c>
      <c r="C214" s="34" t="s">
        <v>269</v>
      </c>
      <c r="D214" s="34" t="s">
        <v>225</v>
      </c>
      <c r="E214" s="34" t="s">
        <v>230</v>
      </c>
      <c r="F214" s="34" t="s">
        <v>231</v>
      </c>
      <c r="G214" s="34" t="s">
        <v>221</v>
      </c>
      <c r="H214" s="34" t="s">
        <v>227</v>
      </c>
      <c r="I214" s="35" t="str">
        <f>VLOOKUP(H214,人員與團隊!$A$4:$D$27,3,FALSE)</f>
        <v>北區服務</v>
      </c>
      <c r="J214" s="34" t="s">
        <v>215</v>
      </c>
      <c r="K214" s="33">
        <v>46141.450694444444</v>
      </c>
      <c r="L214" s="33">
        <v>46142.334548344908</v>
      </c>
      <c r="M214" s="36">
        <f t="shared" si="15"/>
        <v>23.999999994412065</v>
      </c>
      <c r="N214" s="37">
        <f t="shared" si="16"/>
        <v>21.612493611057289</v>
      </c>
      <c r="O214" s="36">
        <f>VLOOKUP(G214,SLA標準!$A$4:$C$7,2,FALSE)</f>
        <v>60</v>
      </c>
      <c r="P214" s="37">
        <f>VLOOKUP(G214,SLA標準!$A$4:$C$7,3,FALSE)</f>
        <v>8</v>
      </c>
      <c r="Q214" s="35" t="str">
        <f t="shared" si="17"/>
        <v>逾期</v>
      </c>
      <c r="R214" s="34" t="s">
        <v>47</v>
      </c>
      <c r="S214" s="35" t="str">
        <f t="shared" si="18"/>
        <v>是</v>
      </c>
      <c r="T214" s="36">
        <f>IFERROR(VLOOKUP(A214,滿意度調查!$B$4:$D$570,3,FALSE),"")</f>
        <v>3</v>
      </c>
      <c r="U214" s="35" t="str">
        <f t="shared" si="19"/>
        <v>2026-04</v>
      </c>
      <c r="V214" s="38">
        <f>IF(J214="已結案",0,(使用說明!$B$7-B214)*24)</f>
        <v>0</v>
      </c>
    </row>
    <row r="215" spans="1:22">
      <c r="A215" s="32" t="s">
        <v>635</v>
      </c>
      <c r="B215" s="33">
        <v>46141.592361111114</v>
      </c>
      <c r="C215" s="34" t="s">
        <v>261</v>
      </c>
      <c r="D215" s="34" t="s">
        <v>225</v>
      </c>
      <c r="E215" s="34" t="s">
        <v>219</v>
      </c>
      <c r="F215" s="34" t="s">
        <v>257</v>
      </c>
      <c r="G215" s="34" t="s">
        <v>242</v>
      </c>
      <c r="H215" s="34" t="s">
        <v>274</v>
      </c>
      <c r="I215" s="35" t="str">
        <f>VLOOKUP(H215,人員與團隊!$A$4:$D$27,3,FALSE)</f>
        <v>南區服務</v>
      </c>
      <c r="J215" s="34" t="s">
        <v>215</v>
      </c>
      <c r="K215" s="33">
        <v>46141.737500000003</v>
      </c>
      <c r="L215" s="33">
        <v>46141.934241168979</v>
      </c>
      <c r="M215" s="36">
        <f t="shared" si="15"/>
        <v>209.00000000023283</v>
      </c>
      <c r="N215" s="37">
        <f t="shared" si="16"/>
        <v>8.2051213887752965</v>
      </c>
      <c r="O215" s="36">
        <f>VLOOKUP(G215,SLA標準!$A$4:$C$7,2,FALSE)</f>
        <v>240</v>
      </c>
      <c r="P215" s="37">
        <f>VLOOKUP(G215,SLA標準!$A$4:$C$7,3,FALSE)</f>
        <v>24</v>
      </c>
      <c r="Q215" s="35" t="str">
        <f t="shared" si="17"/>
        <v>達標</v>
      </c>
      <c r="R215" s="34" t="s">
        <v>47</v>
      </c>
      <c r="S215" s="35" t="str">
        <f t="shared" si="18"/>
        <v>是</v>
      </c>
      <c r="T215" s="36">
        <f>IFERROR(VLOOKUP(A215,滿意度調查!$B$4:$D$570,3,FALSE),"")</f>
        <v>5</v>
      </c>
      <c r="U215" s="35" t="str">
        <f t="shared" si="19"/>
        <v>2026-04</v>
      </c>
      <c r="V215" s="38">
        <f>IF(J215="已結案",0,(使用說明!$B$7-B215)*24)</f>
        <v>0</v>
      </c>
    </row>
    <row r="216" spans="1:22">
      <c r="A216" s="32" t="s">
        <v>636</v>
      </c>
      <c r="B216" s="33">
        <v>46141.65625</v>
      </c>
      <c r="C216" s="34" t="s">
        <v>300</v>
      </c>
      <c r="D216" s="34" t="s">
        <v>210</v>
      </c>
      <c r="E216" s="34" t="s">
        <v>265</v>
      </c>
      <c r="F216" s="34" t="s">
        <v>479</v>
      </c>
      <c r="G216" s="34" t="s">
        <v>221</v>
      </c>
      <c r="H216" s="34" t="s">
        <v>274</v>
      </c>
      <c r="I216" s="35" t="str">
        <f>VLOOKUP(H216,人員與團隊!$A$4:$D$27,3,FALSE)</f>
        <v>南區服務</v>
      </c>
      <c r="J216" s="34" t="s">
        <v>215</v>
      </c>
      <c r="K216" s="33">
        <v>46141.676388888889</v>
      </c>
      <c r="L216" s="33">
        <v>46142.546728055553</v>
      </c>
      <c r="M216" s="36">
        <f t="shared" si="15"/>
        <v>29.000000000232831</v>
      </c>
      <c r="N216" s="37">
        <f t="shared" si="16"/>
        <v>21.37147333327448</v>
      </c>
      <c r="O216" s="36">
        <f>VLOOKUP(G216,SLA標準!$A$4:$C$7,2,FALSE)</f>
        <v>60</v>
      </c>
      <c r="P216" s="37">
        <f>VLOOKUP(G216,SLA標準!$A$4:$C$7,3,FALSE)</f>
        <v>8</v>
      </c>
      <c r="Q216" s="35" t="str">
        <f t="shared" si="17"/>
        <v>逾期</v>
      </c>
      <c r="R216" s="34" t="s">
        <v>47</v>
      </c>
      <c r="S216" s="35" t="str">
        <f t="shared" si="18"/>
        <v>是</v>
      </c>
      <c r="T216" s="36">
        <f>IFERROR(VLOOKUP(A216,滿意度調查!$B$4:$D$570,3,FALSE),"")</f>
        <v>3</v>
      </c>
      <c r="U216" s="35" t="str">
        <f t="shared" si="19"/>
        <v>2026-04</v>
      </c>
      <c r="V216" s="38">
        <f>IF(J216="已結案",0,(使用說明!$B$7-B216)*24)</f>
        <v>0</v>
      </c>
    </row>
    <row r="217" spans="1:22">
      <c r="A217" s="32" t="s">
        <v>637</v>
      </c>
      <c r="B217" s="33">
        <v>46141.750694444447</v>
      </c>
      <c r="C217" s="34" t="s">
        <v>638</v>
      </c>
      <c r="D217" s="34" t="s">
        <v>218</v>
      </c>
      <c r="E217" s="34" t="s">
        <v>265</v>
      </c>
      <c r="F217" s="34" t="s">
        <v>301</v>
      </c>
      <c r="G217" s="34" t="s">
        <v>242</v>
      </c>
      <c r="H217" s="34" t="s">
        <v>372</v>
      </c>
      <c r="I217" s="35" t="str">
        <f>VLOOKUP(H217,人員與團隊!$A$4:$D$27,3,FALSE)</f>
        <v>南區服務</v>
      </c>
      <c r="J217" s="34" t="s">
        <v>215</v>
      </c>
      <c r="K217" s="33">
        <v>46141.952777777777</v>
      </c>
      <c r="L217" s="33">
        <v>46142.914446504627</v>
      </c>
      <c r="M217" s="36">
        <f t="shared" si="15"/>
        <v>290.99999999511056</v>
      </c>
      <c r="N217" s="37">
        <f t="shared" si="16"/>
        <v>27.930049444315955</v>
      </c>
      <c r="O217" s="36">
        <f>VLOOKUP(G217,SLA標準!$A$4:$C$7,2,FALSE)</f>
        <v>240</v>
      </c>
      <c r="P217" s="37">
        <f>VLOOKUP(G217,SLA標準!$A$4:$C$7,3,FALSE)</f>
        <v>24</v>
      </c>
      <c r="Q217" s="35" t="str">
        <f t="shared" si="17"/>
        <v>逾期</v>
      </c>
      <c r="R217" s="34" t="s">
        <v>47</v>
      </c>
      <c r="S217" s="35" t="str">
        <f t="shared" si="18"/>
        <v>是</v>
      </c>
      <c r="T217" s="36">
        <f>IFERROR(VLOOKUP(A217,滿意度調查!$B$4:$D$570,3,FALSE),"")</f>
        <v>3</v>
      </c>
      <c r="U217" s="35" t="str">
        <f t="shared" si="19"/>
        <v>2026-04</v>
      </c>
      <c r="V217" s="38">
        <f>IF(J217="已結案",0,(使用說明!$B$7-B217)*24)</f>
        <v>0</v>
      </c>
    </row>
    <row r="218" spans="1:22">
      <c r="A218" s="32" t="s">
        <v>639</v>
      </c>
      <c r="B218" s="33">
        <v>46141.816666666666</v>
      </c>
      <c r="C218" s="34" t="s">
        <v>640</v>
      </c>
      <c r="D218" s="34" t="s">
        <v>225</v>
      </c>
      <c r="E218" s="34" t="s">
        <v>265</v>
      </c>
      <c r="F218" s="34" t="s">
        <v>479</v>
      </c>
      <c r="G218" s="34" t="s">
        <v>221</v>
      </c>
      <c r="H218" s="34" t="s">
        <v>372</v>
      </c>
      <c r="I218" s="35" t="str">
        <f>VLOOKUP(H218,人員與團隊!$A$4:$D$27,3,FALSE)</f>
        <v>南區服務</v>
      </c>
      <c r="J218" s="34" t="s">
        <v>215</v>
      </c>
      <c r="K218" s="33">
        <v>46141.840277777781</v>
      </c>
      <c r="L218" s="33">
        <v>46142.367906874999</v>
      </c>
      <c r="M218" s="36">
        <f t="shared" si="15"/>
        <v>34.000000006053597</v>
      </c>
      <c r="N218" s="37">
        <f t="shared" si="16"/>
        <v>13.229764999996405</v>
      </c>
      <c r="O218" s="36">
        <f>VLOOKUP(G218,SLA標準!$A$4:$C$7,2,FALSE)</f>
        <v>60</v>
      </c>
      <c r="P218" s="37">
        <f>VLOOKUP(G218,SLA標準!$A$4:$C$7,3,FALSE)</f>
        <v>8</v>
      </c>
      <c r="Q218" s="35" t="str">
        <f t="shared" si="17"/>
        <v>逾期</v>
      </c>
      <c r="R218" s="34" t="s">
        <v>47</v>
      </c>
      <c r="S218" s="35" t="str">
        <f t="shared" si="18"/>
        <v>否</v>
      </c>
      <c r="T218" s="36" t="str">
        <f>IFERROR(VLOOKUP(A218,滿意度調查!$B$4:$D$570,3,FALSE),"")</f>
        <v/>
      </c>
      <c r="U218" s="35" t="str">
        <f t="shared" si="19"/>
        <v>2026-04</v>
      </c>
      <c r="V218" s="38">
        <f>IF(J218="已結案",0,(使用說明!$B$7-B218)*24)</f>
        <v>0</v>
      </c>
    </row>
    <row r="219" spans="1:22">
      <c r="A219" s="32" t="s">
        <v>641</v>
      </c>
      <c r="B219" s="33">
        <v>46142.335416666669</v>
      </c>
      <c r="C219" s="34" t="s">
        <v>642</v>
      </c>
      <c r="D219" s="34" t="s">
        <v>218</v>
      </c>
      <c r="E219" s="34" t="s">
        <v>245</v>
      </c>
      <c r="F219" s="34" t="s">
        <v>246</v>
      </c>
      <c r="G219" s="34" t="s">
        <v>221</v>
      </c>
      <c r="H219" s="34" t="s">
        <v>305</v>
      </c>
      <c r="I219" s="35" t="str">
        <f>VLOOKUP(H219,人員與團隊!$A$4:$D$27,3,FALSE)</f>
        <v>線上服務</v>
      </c>
      <c r="J219" s="34" t="s">
        <v>215</v>
      </c>
      <c r="K219" s="33">
        <v>46142.374305555553</v>
      </c>
      <c r="L219" s="33">
        <v>46143.008135312499</v>
      </c>
      <c r="M219" s="36">
        <f t="shared" si="15"/>
        <v>55.999999993946403</v>
      </c>
      <c r="N219" s="37">
        <f t="shared" si="16"/>
        <v>16.145247499924153</v>
      </c>
      <c r="O219" s="36">
        <f>VLOOKUP(G219,SLA標準!$A$4:$C$7,2,FALSE)</f>
        <v>60</v>
      </c>
      <c r="P219" s="37">
        <f>VLOOKUP(G219,SLA標準!$A$4:$C$7,3,FALSE)</f>
        <v>8</v>
      </c>
      <c r="Q219" s="35" t="str">
        <f t="shared" si="17"/>
        <v>逾期</v>
      </c>
      <c r="R219" s="34" t="s">
        <v>47</v>
      </c>
      <c r="S219" s="35" t="str">
        <f t="shared" si="18"/>
        <v>是</v>
      </c>
      <c r="T219" s="36">
        <f>IFERROR(VLOOKUP(A219,滿意度調查!$B$4:$D$570,3,FALSE),"")</f>
        <v>3</v>
      </c>
      <c r="U219" s="35" t="str">
        <f t="shared" si="19"/>
        <v>2026-04</v>
      </c>
      <c r="V219" s="38">
        <f>IF(J219="已結案",0,(使用說明!$B$7-B219)*24)</f>
        <v>0</v>
      </c>
    </row>
    <row r="220" spans="1:22">
      <c r="A220" s="32" t="s">
        <v>643</v>
      </c>
      <c r="B220" s="33">
        <v>46142.376388888886</v>
      </c>
      <c r="C220" s="34" t="s">
        <v>644</v>
      </c>
      <c r="D220" s="34" t="s">
        <v>225</v>
      </c>
      <c r="E220" s="34" t="s">
        <v>219</v>
      </c>
      <c r="F220" s="34" t="s">
        <v>257</v>
      </c>
      <c r="G220" s="34" t="s">
        <v>221</v>
      </c>
      <c r="H220" s="34" t="s">
        <v>250</v>
      </c>
      <c r="I220" s="35" t="str">
        <f>VLOOKUP(H220,人員與團隊!$A$4:$D$27,3,FALSE)</f>
        <v>南區服務</v>
      </c>
      <c r="J220" s="34" t="s">
        <v>215</v>
      </c>
      <c r="K220" s="33">
        <v>46142.390972222223</v>
      </c>
      <c r="L220" s="33">
        <v>46142.877995393515</v>
      </c>
      <c r="M220" s="36">
        <f t="shared" si="15"/>
        <v>21.000000005587935</v>
      </c>
      <c r="N220" s="37">
        <f t="shared" si="16"/>
        <v>12.038556111103389</v>
      </c>
      <c r="O220" s="36">
        <f>VLOOKUP(G220,SLA標準!$A$4:$C$7,2,FALSE)</f>
        <v>60</v>
      </c>
      <c r="P220" s="37">
        <f>VLOOKUP(G220,SLA標準!$A$4:$C$7,3,FALSE)</f>
        <v>8</v>
      </c>
      <c r="Q220" s="35" t="str">
        <f t="shared" si="17"/>
        <v>逾期</v>
      </c>
      <c r="R220" s="34" t="s">
        <v>47</v>
      </c>
      <c r="S220" s="35" t="str">
        <f t="shared" si="18"/>
        <v>否</v>
      </c>
      <c r="T220" s="36" t="str">
        <f>IFERROR(VLOOKUP(A220,滿意度調查!$B$4:$D$570,3,FALSE),"")</f>
        <v/>
      </c>
      <c r="U220" s="35" t="str">
        <f t="shared" si="19"/>
        <v>2026-04</v>
      </c>
      <c r="V220" s="38">
        <f>IF(J220="已結案",0,(使用說明!$B$7-B220)*24)</f>
        <v>0</v>
      </c>
    </row>
    <row r="221" spans="1:22">
      <c r="A221" s="32" t="s">
        <v>645</v>
      </c>
      <c r="B221" s="33">
        <v>46142.490277777775</v>
      </c>
      <c r="C221" s="34" t="s">
        <v>646</v>
      </c>
      <c r="D221" s="34" t="s">
        <v>210</v>
      </c>
      <c r="E221" s="34" t="s">
        <v>235</v>
      </c>
      <c r="F221" s="34" t="s">
        <v>253</v>
      </c>
      <c r="G221" s="34" t="s">
        <v>242</v>
      </c>
      <c r="H221" s="34" t="s">
        <v>214</v>
      </c>
      <c r="I221" s="35" t="str">
        <f>VLOOKUP(H221,人員與團隊!$A$4:$D$27,3,FALSE)</f>
        <v>北區服務</v>
      </c>
      <c r="J221" s="34" t="s">
        <v>215</v>
      </c>
      <c r="K221" s="33">
        <v>46142.560416666667</v>
      </c>
      <c r="L221" s="33">
        <v>46143.01324641204</v>
      </c>
      <c r="M221" s="36">
        <f t="shared" si="15"/>
        <v>101.00000000442378</v>
      </c>
      <c r="N221" s="37">
        <f t="shared" si="16"/>
        <v>12.551247222349048</v>
      </c>
      <c r="O221" s="36">
        <f>VLOOKUP(G221,SLA標準!$A$4:$C$7,2,FALSE)</f>
        <v>240</v>
      </c>
      <c r="P221" s="37">
        <f>VLOOKUP(G221,SLA標準!$A$4:$C$7,3,FALSE)</f>
        <v>24</v>
      </c>
      <c r="Q221" s="35" t="str">
        <f t="shared" si="17"/>
        <v>達標</v>
      </c>
      <c r="R221" s="34" t="s">
        <v>47</v>
      </c>
      <c r="S221" s="35" t="str">
        <f t="shared" si="18"/>
        <v>否</v>
      </c>
      <c r="T221" s="36" t="str">
        <f>IFERROR(VLOOKUP(A221,滿意度調查!$B$4:$D$570,3,FALSE),"")</f>
        <v/>
      </c>
      <c r="U221" s="35" t="str">
        <f t="shared" si="19"/>
        <v>2026-04</v>
      </c>
      <c r="V221" s="38">
        <f>IF(J221="已結案",0,(使用說明!$B$7-B221)*24)</f>
        <v>0</v>
      </c>
    </row>
    <row r="222" spans="1:22">
      <c r="A222" s="32" t="s">
        <v>647</v>
      </c>
      <c r="B222" s="33">
        <v>46142.645138888889</v>
      </c>
      <c r="C222" s="34" t="s">
        <v>648</v>
      </c>
      <c r="D222" s="34" t="s">
        <v>225</v>
      </c>
      <c r="E222" s="34" t="s">
        <v>245</v>
      </c>
      <c r="F222" s="34" t="s">
        <v>282</v>
      </c>
      <c r="G222" s="34" t="s">
        <v>242</v>
      </c>
      <c r="H222" s="34" t="s">
        <v>267</v>
      </c>
      <c r="I222" s="35" t="str">
        <f>VLOOKUP(H222,人員與團隊!$A$4:$D$27,3,FALSE)</f>
        <v>南區服務</v>
      </c>
      <c r="J222" s="34" t="s">
        <v>215</v>
      </c>
      <c r="K222" s="33">
        <v>46142.802777777775</v>
      </c>
      <c r="L222" s="33">
        <v>46144.356838518521</v>
      </c>
      <c r="M222" s="36">
        <f t="shared" si="15"/>
        <v>226.99999999604188</v>
      </c>
      <c r="N222" s="37">
        <f t="shared" si="16"/>
        <v>41.080791111162398</v>
      </c>
      <c r="O222" s="36">
        <f>VLOOKUP(G222,SLA標準!$A$4:$C$7,2,FALSE)</f>
        <v>240</v>
      </c>
      <c r="P222" s="37">
        <f>VLOOKUP(G222,SLA標準!$A$4:$C$7,3,FALSE)</f>
        <v>24</v>
      </c>
      <c r="Q222" s="35" t="str">
        <f t="shared" si="17"/>
        <v>逾期</v>
      </c>
      <c r="R222" s="34" t="s">
        <v>47</v>
      </c>
      <c r="S222" s="35" t="str">
        <f t="shared" si="18"/>
        <v>是</v>
      </c>
      <c r="T222" s="36">
        <f>IFERROR(VLOOKUP(A222,滿意度調查!$B$4:$D$570,3,FALSE),"")</f>
        <v>3</v>
      </c>
      <c r="U222" s="35" t="str">
        <f t="shared" si="19"/>
        <v>2026-04</v>
      </c>
      <c r="V222" s="38">
        <f>IF(J222="已結案",0,(使用說明!$B$7-B222)*24)</f>
        <v>0</v>
      </c>
    </row>
    <row r="223" spans="1:22">
      <c r="A223" s="32" t="s">
        <v>649</v>
      </c>
      <c r="B223" s="33">
        <v>46142.855555555558</v>
      </c>
      <c r="C223" s="34" t="s">
        <v>436</v>
      </c>
      <c r="D223" s="34" t="s">
        <v>210</v>
      </c>
      <c r="E223" s="34" t="s">
        <v>211</v>
      </c>
      <c r="F223" s="34" t="s">
        <v>334</v>
      </c>
      <c r="G223" s="34" t="s">
        <v>242</v>
      </c>
      <c r="H223" s="34" t="s">
        <v>250</v>
      </c>
      <c r="I223" s="35" t="str">
        <f>VLOOKUP(H223,人員與團隊!$A$4:$D$27,3,FALSE)</f>
        <v>南區服務</v>
      </c>
      <c r="J223" s="34" t="s">
        <v>215</v>
      </c>
      <c r="K223" s="33">
        <v>46142.931944444441</v>
      </c>
      <c r="L223" s="33">
        <v>46143.153336689815</v>
      </c>
      <c r="M223" s="36">
        <f t="shared" si="15"/>
        <v>109.99999999185093</v>
      </c>
      <c r="N223" s="37">
        <f t="shared" si="16"/>
        <v>7.1467472221702337</v>
      </c>
      <c r="O223" s="36">
        <f>VLOOKUP(G223,SLA標準!$A$4:$C$7,2,FALSE)</f>
        <v>240</v>
      </c>
      <c r="P223" s="37">
        <f>VLOOKUP(G223,SLA標準!$A$4:$C$7,3,FALSE)</f>
        <v>24</v>
      </c>
      <c r="Q223" s="35" t="str">
        <f t="shared" si="17"/>
        <v>達標</v>
      </c>
      <c r="R223" s="34" t="s">
        <v>47</v>
      </c>
      <c r="S223" s="35" t="str">
        <f t="shared" si="18"/>
        <v>是</v>
      </c>
      <c r="T223" s="36">
        <f>IFERROR(VLOOKUP(A223,滿意度調查!$B$4:$D$570,3,FALSE),"")</f>
        <v>5</v>
      </c>
      <c r="U223" s="35" t="str">
        <f t="shared" si="19"/>
        <v>2026-04</v>
      </c>
      <c r="V223" s="38">
        <f>IF(J223="已結案",0,(使用說明!$B$7-B223)*24)</f>
        <v>0</v>
      </c>
    </row>
    <row r="224" spans="1:22">
      <c r="A224" s="32" t="s">
        <v>650</v>
      </c>
      <c r="B224" s="33">
        <v>46143.334027777775</v>
      </c>
      <c r="C224" s="34" t="s">
        <v>651</v>
      </c>
      <c r="D224" s="34" t="s">
        <v>218</v>
      </c>
      <c r="E224" s="34" t="s">
        <v>230</v>
      </c>
      <c r="F224" s="34" t="s">
        <v>339</v>
      </c>
      <c r="G224" s="34" t="s">
        <v>213</v>
      </c>
      <c r="H224" s="34" t="s">
        <v>372</v>
      </c>
      <c r="I224" s="35" t="str">
        <f>VLOOKUP(H224,人員與團隊!$A$4:$D$27,3,FALSE)</f>
        <v>南區服務</v>
      </c>
      <c r="J224" s="34" t="s">
        <v>215</v>
      </c>
      <c r="K224" s="33">
        <v>46143.577777777777</v>
      </c>
      <c r="L224" s="33">
        <v>46144.919516423608</v>
      </c>
      <c r="M224" s="36">
        <f t="shared" si="15"/>
        <v>351.00000000209548</v>
      </c>
      <c r="N224" s="37">
        <f t="shared" si="16"/>
        <v>38.051727499987464</v>
      </c>
      <c r="O224" s="36">
        <f>VLOOKUP(G224,SLA標準!$A$4:$C$7,2,FALSE)</f>
        <v>480</v>
      </c>
      <c r="P224" s="37">
        <f>VLOOKUP(G224,SLA標準!$A$4:$C$7,3,FALSE)</f>
        <v>48</v>
      </c>
      <c r="Q224" s="35" t="str">
        <f t="shared" si="17"/>
        <v>達標</v>
      </c>
      <c r="R224" s="34" t="s">
        <v>47</v>
      </c>
      <c r="S224" s="35" t="str">
        <f t="shared" si="18"/>
        <v>是</v>
      </c>
      <c r="T224" s="36">
        <f>IFERROR(VLOOKUP(A224,滿意度調查!$B$4:$D$570,3,FALSE),"")</f>
        <v>5</v>
      </c>
      <c r="U224" s="35" t="str">
        <f t="shared" si="19"/>
        <v>2026-05</v>
      </c>
      <c r="V224" s="38">
        <f>IF(J224="已結案",0,(使用說明!$B$7-B224)*24)</f>
        <v>0</v>
      </c>
    </row>
    <row r="225" spans="1:22">
      <c r="A225" s="32" t="s">
        <v>652</v>
      </c>
      <c r="B225" s="33">
        <v>46143.335416666669</v>
      </c>
      <c r="C225" s="34" t="s">
        <v>653</v>
      </c>
      <c r="D225" s="34" t="s">
        <v>210</v>
      </c>
      <c r="E225" s="34" t="s">
        <v>235</v>
      </c>
      <c r="F225" s="34" t="s">
        <v>253</v>
      </c>
      <c r="G225" s="34" t="s">
        <v>213</v>
      </c>
      <c r="H225" s="34" t="s">
        <v>227</v>
      </c>
      <c r="I225" s="35" t="str">
        <f>VLOOKUP(H225,人員與團隊!$A$4:$D$27,3,FALSE)</f>
        <v>北區服務</v>
      </c>
      <c r="J225" s="34" t="s">
        <v>215</v>
      </c>
      <c r="K225" s="33">
        <v>46143.436111111114</v>
      </c>
      <c r="L225" s="33">
        <v>46143.965883993056</v>
      </c>
      <c r="M225" s="36">
        <f t="shared" si="15"/>
        <v>145.00000000116415</v>
      </c>
      <c r="N225" s="37">
        <f t="shared" si="16"/>
        <v>15.131215833302122</v>
      </c>
      <c r="O225" s="36">
        <f>VLOOKUP(G225,SLA標準!$A$4:$C$7,2,FALSE)</f>
        <v>480</v>
      </c>
      <c r="P225" s="37">
        <f>VLOOKUP(G225,SLA標準!$A$4:$C$7,3,FALSE)</f>
        <v>48</v>
      </c>
      <c r="Q225" s="35" t="str">
        <f t="shared" si="17"/>
        <v>達標</v>
      </c>
      <c r="R225" s="34" t="s">
        <v>41</v>
      </c>
      <c r="S225" s="35" t="str">
        <f t="shared" si="18"/>
        <v>是</v>
      </c>
      <c r="T225" s="36">
        <f>IFERROR(VLOOKUP(A225,滿意度調查!$B$4:$D$570,3,FALSE),"")</f>
        <v>4</v>
      </c>
      <c r="U225" s="35" t="str">
        <f t="shared" si="19"/>
        <v>2026-05</v>
      </c>
      <c r="V225" s="38">
        <f>IF(J225="已結案",0,(使用說明!$B$7-B225)*24)</f>
        <v>0</v>
      </c>
    </row>
    <row r="226" spans="1:22">
      <c r="A226" s="32" t="s">
        <v>654</v>
      </c>
      <c r="B226" s="33">
        <v>46143.474999999999</v>
      </c>
      <c r="C226" s="34" t="s">
        <v>264</v>
      </c>
      <c r="D226" s="34" t="s">
        <v>210</v>
      </c>
      <c r="E226" s="34" t="s">
        <v>245</v>
      </c>
      <c r="F226" s="34" t="s">
        <v>246</v>
      </c>
      <c r="G226" s="34" t="s">
        <v>242</v>
      </c>
      <c r="H226" s="34" t="s">
        <v>381</v>
      </c>
      <c r="I226" s="35" t="str">
        <f>VLOOKUP(H226,人員與團隊!$A$4:$D$27,3,FALSE)</f>
        <v>線上服務</v>
      </c>
      <c r="J226" s="34" t="s">
        <v>215</v>
      </c>
      <c r="K226" s="33">
        <v>46143.564583333333</v>
      </c>
      <c r="L226" s="33">
        <v>46144.875430486114</v>
      </c>
      <c r="M226" s="36">
        <f t="shared" si="15"/>
        <v>129.00000000139698</v>
      </c>
      <c r="N226" s="37">
        <f t="shared" si="16"/>
        <v>33.610331666772254</v>
      </c>
      <c r="O226" s="36">
        <f>VLOOKUP(G226,SLA標準!$A$4:$C$7,2,FALSE)</f>
        <v>240</v>
      </c>
      <c r="P226" s="37">
        <f>VLOOKUP(G226,SLA標準!$A$4:$C$7,3,FALSE)</f>
        <v>24</v>
      </c>
      <c r="Q226" s="35" t="str">
        <f t="shared" si="17"/>
        <v>逾期</v>
      </c>
      <c r="R226" s="34" t="s">
        <v>47</v>
      </c>
      <c r="S226" s="35" t="str">
        <f t="shared" si="18"/>
        <v>是</v>
      </c>
      <c r="T226" s="36">
        <f>IFERROR(VLOOKUP(A226,滿意度調查!$B$4:$D$570,3,FALSE),"")</f>
        <v>3</v>
      </c>
      <c r="U226" s="35" t="str">
        <f t="shared" si="19"/>
        <v>2026-05</v>
      </c>
      <c r="V226" s="38">
        <f>IF(J226="已結案",0,(使用說明!$B$7-B226)*24)</f>
        <v>0</v>
      </c>
    </row>
    <row r="227" spans="1:22">
      <c r="A227" s="32" t="s">
        <v>655</v>
      </c>
      <c r="B227" s="33">
        <v>46143.522916666669</v>
      </c>
      <c r="C227" s="34" t="s">
        <v>656</v>
      </c>
      <c r="D227" s="34" t="s">
        <v>218</v>
      </c>
      <c r="E227" s="34" t="s">
        <v>265</v>
      </c>
      <c r="F227" s="34" t="s">
        <v>304</v>
      </c>
      <c r="G227" s="34" t="s">
        <v>221</v>
      </c>
      <c r="H227" s="34" t="s">
        <v>232</v>
      </c>
      <c r="I227" s="35" t="str">
        <f>VLOOKUP(H227,人員與團隊!$A$4:$D$27,3,FALSE)</f>
        <v>北區服務</v>
      </c>
      <c r="J227" s="34" t="s">
        <v>215</v>
      </c>
      <c r="K227" s="33">
        <v>46143.578472222223</v>
      </c>
      <c r="L227" s="33">
        <v>46144.121953912036</v>
      </c>
      <c r="M227" s="36">
        <f t="shared" si="15"/>
        <v>79.999999998835847</v>
      </c>
      <c r="N227" s="37">
        <f t="shared" si="16"/>
        <v>14.376893888809718</v>
      </c>
      <c r="O227" s="36">
        <f>VLOOKUP(G227,SLA標準!$A$4:$C$7,2,FALSE)</f>
        <v>60</v>
      </c>
      <c r="P227" s="37">
        <f>VLOOKUP(G227,SLA標準!$A$4:$C$7,3,FALSE)</f>
        <v>8</v>
      </c>
      <c r="Q227" s="35" t="str">
        <f t="shared" si="17"/>
        <v>逾期</v>
      </c>
      <c r="R227" s="34" t="s">
        <v>47</v>
      </c>
      <c r="S227" s="35" t="str">
        <f t="shared" si="18"/>
        <v>是</v>
      </c>
      <c r="T227" s="36">
        <f>IFERROR(VLOOKUP(A227,滿意度調查!$B$4:$D$570,3,FALSE),"")</f>
        <v>3</v>
      </c>
      <c r="U227" s="35" t="str">
        <f t="shared" si="19"/>
        <v>2026-05</v>
      </c>
      <c r="V227" s="38">
        <f>IF(J227="已結案",0,(使用說明!$B$7-B227)*24)</f>
        <v>0</v>
      </c>
    </row>
    <row r="228" spans="1:22">
      <c r="A228" s="32" t="s">
        <v>657</v>
      </c>
      <c r="B228" s="33">
        <v>46143.561111111114</v>
      </c>
      <c r="C228" s="34" t="s">
        <v>546</v>
      </c>
      <c r="D228" s="34" t="s">
        <v>210</v>
      </c>
      <c r="E228" s="34" t="s">
        <v>265</v>
      </c>
      <c r="F228" s="34" t="s">
        <v>304</v>
      </c>
      <c r="G228" s="34" t="s">
        <v>242</v>
      </c>
      <c r="H228" s="34" t="s">
        <v>254</v>
      </c>
      <c r="I228" s="35" t="str">
        <f>VLOOKUP(H228,人員與團隊!$A$4:$D$27,3,FALSE)</f>
        <v>線上服務</v>
      </c>
      <c r="J228" s="34" t="s">
        <v>215</v>
      </c>
      <c r="K228" s="33">
        <v>46143.620833333334</v>
      </c>
      <c r="L228" s="33">
        <v>46143.947075081021</v>
      </c>
      <c r="M228" s="36">
        <f t="shared" si="15"/>
        <v>85.999999997438863</v>
      </c>
      <c r="N228" s="37">
        <f t="shared" si="16"/>
        <v>9.2631352777825668</v>
      </c>
      <c r="O228" s="36">
        <f>VLOOKUP(G228,SLA標準!$A$4:$C$7,2,FALSE)</f>
        <v>240</v>
      </c>
      <c r="P228" s="37">
        <f>VLOOKUP(G228,SLA標準!$A$4:$C$7,3,FALSE)</f>
        <v>24</v>
      </c>
      <c r="Q228" s="35" t="str">
        <f t="shared" si="17"/>
        <v>達標</v>
      </c>
      <c r="R228" s="34" t="s">
        <v>47</v>
      </c>
      <c r="S228" s="35" t="str">
        <f t="shared" si="18"/>
        <v>是</v>
      </c>
      <c r="T228" s="36">
        <f>IFERROR(VLOOKUP(A228,滿意度調查!$B$4:$D$570,3,FALSE),"")</f>
        <v>5</v>
      </c>
      <c r="U228" s="35" t="str">
        <f t="shared" si="19"/>
        <v>2026-05</v>
      </c>
      <c r="V228" s="38">
        <f>IF(J228="已結案",0,(使用說明!$B$7-B228)*24)</f>
        <v>0</v>
      </c>
    </row>
    <row r="229" spans="1:22">
      <c r="A229" s="32" t="s">
        <v>658</v>
      </c>
      <c r="B229" s="33">
        <v>46143.720833333333</v>
      </c>
      <c r="C229" s="34" t="s">
        <v>317</v>
      </c>
      <c r="D229" s="34" t="s">
        <v>240</v>
      </c>
      <c r="E229" s="34" t="s">
        <v>219</v>
      </c>
      <c r="F229" s="34" t="s">
        <v>220</v>
      </c>
      <c r="G229" s="34" t="s">
        <v>350</v>
      </c>
      <c r="H229" s="34" t="s">
        <v>285</v>
      </c>
      <c r="I229" s="35" t="str">
        <f>VLOOKUP(H229,人員與團隊!$A$4:$D$27,3,FALSE)</f>
        <v>線上服務</v>
      </c>
      <c r="J229" s="34" t="s">
        <v>215</v>
      </c>
      <c r="K229" s="33">
        <v>46143.750694444447</v>
      </c>
      <c r="L229" s="33">
        <v>46144.169395578705</v>
      </c>
      <c r="M229" s="36">
        <f t="shared" si="15"/>
        <v>43.000000003958121</v>
      </c>
      <c r="N229" s="37">
        <f t="shared" si="16"/>
        <v>10.765493888931815</v>
      </c>
      <c r="O229" s="36">
        <f>VLOOKUP(G229,SLA標準!$A$4:$C$7,2,FALSE)</f>
        <v>30</v>
      </c>
      <c r="P229" s="37">
        <f>VLOOKUP(G229,SLA標準!$A$4:$C$7,3,FALSE)</f>
        <v>4</v>
      </c>
      <c r="Q229" s="35" t="str">
        <f t="shared" si="17"/>
        <v>逾期</v>
      </c>
      <c r="R229" s="34" t="s">
        <v>47</v>
      </c>
      <c r="S229" s="35" t="str">
        <f t="shared" si="18"/>
        <v>是</v>
      </c>
      <c r="T229" s="36">
        <f>IFERROR(VLOOKUP(A229,滿意度調查!$B$4:$D$570,3,FALSE),"")</f>
        <v>3</v>
      </c>
      <c r="U229" s="35" t="str">
        <f t="shared" si="19"/>
        <v>2026-05</v>
      </c>
      <c r="V229" s="38">
        <f>IF(J229="已結案",0,(使用說明!$B$7-B229)*24)</f>
        <v>0</v>
      </c>
    </row>
    <row r="230" spans="1:22">
      <c r="A230" s="32" t="s">
        <v>659</v>
      </c>
      <c r="B230" s="33">
        <v>46143.740277777775</v>
      </c>
      <c r="C230" s="34" t="s">
        <v>660</v>
      </c>
      <c r="D230" s="34" t="s">
        <v>210</v>
      </c>
      <c r="E230" s="34" t="s">
        <v>235</v>
      </c>
      <c r="F230" s="34" t="s">
        <v>298</v>
      </c>
      <c r="G230" s="34" t="s">
        <v>221</v>
      </c>
      <c r="H230" s="34" t="s">
        <v>328</v>
      </c>
      <c r="I230" s="35" t="str">
        <f>VLOOKUP(H230,人員與團隊!$A$4:$D$27,3,FALSE)</f>
        <v>北區服務</v>
      </c>
      <c r="J230" s="34" t="s">
        <v>215</v>
      </c>
      <c r="K230" s="33">
        <v>46143.754166666666</v>
      </c>
      <c r="L230" s="33">
        <v>46144.214282187502</v>
      </c>
      <c r="M230" s="36">
        <f t="shared" si="15"/>
        <v>20.000000002328306</v>
      </c>
      <c r="N230" s="37">
        <f t="shared" si="16"/>
        <v>11.376105833449401</v>
      </c>
      <c r="O230" s="36">
        <f>VLOOKUP(G230,SLA標準!$A$4:$C$7,2,FALSE)</f>
        <v>60</v>
      </c>
      <c r="P230" s="37">
        <f>VLOOKUP(G230,SLA標準!$A$4:$C$7,3,FALSE)</f>
        <v>8</v>
      </c>
      <c r="Q230" s="35" t="str">
        <f t="shared" si="17"/>
        <v>逾期</v>
      </c>
      <c r="R230" s="34" t="s">
        <v>41</v>
      </c>
      <c r="S230" s="35" t="str">
        <f t="shared" si="18"/>
        <v>否</v>
      </c>
      <c r="T230" s="36" t="str">
        <f>IFERROR(VLOOKUP(A230,滿意度調查!$B$4:$D$570,3,FALSE),"")</f>
        <v/>
      </c>
      <c r="U230" s="35" t="str">
        <f t="shared" si="19"/>
        <v>2026-05</v>
      </c>
      <c r="V230" s="38">
        <f>IF(J230="已結案",0,(使用說明!$B$7-B230)*24)</f>
        <v>0</v>
      </c>
    </row>
    <row r="231" spans="1:22">
      <c r="A231" s="32" t="s">
        <v>661</v>
      </c>
      <c r="B231" s="33">
        <v>46143.836111111108</v>
      </c>
      <c r="C231" s="34" t="s">
        <v>662</v>
      </c>
      <c r="D231" s="34" t="s">
        <v>240</v>
      </c>
      <c r="E231" s="34" t="s">
        <v>265</v>
      </c>
      <c r="F231" s="34" t="s">
        <v>479</v>
      </c>
      <c r="G231" s="34" t="s">
        <v>242</v>
      </c>
      <c r="H231" s="34" t="s">
        <v>227</v>
      </c>
      <c r="I231" s="35" t="str">
        <f>VLOOKUP(H231,人員與團隊!$A$4:$D$27,3,FALSE)</f>
        <v>北區服務</v>
      </c>
      <c r="J231" s="34" t="s">
        <v>215</v>
      </c>
      <c r="K231" s="33">
        <v>46143.936805555553</v>
      </c>
      <c r="L231" s="33">
        <v>46144.292132685187</v>
      </c>
      <c r="M231" s="36">
        <f t="shared" si="15"/>
        <v>145.00000000116415</v>
      </c>
      <c r="N231" s="37">
        <f t="shared" si="16"/>
        <v>10.944517777883448</v>
      </c>
      <c r="O231" s="36">
        <f>VLOOKUP(G231,SLA標準!$A$4:$C$7,2,FALSE)</f>
        <v>240</v>
      </c>
      <c r="P231" s="37">
        <f>VLOOKUP(G231,SLA標準!$A$4:$C$7,3,FALSE)</f>
        <v>24</v>
      </c>
      <c r="Q231" s="35" t="str">
        <f t="shared" si="17"/>
        <v>達標</v>
      </c>
      <c r="R231" s="34" t="s">
        <v>47</v>
      </c>
      <c r="S231" s="35" t="str">
        <f t="shared" si="18"/>
        <v>是</v>
      </c>
      <c r="T231" s="36">
        <f>IFERROR(VLOOKUP(A231,滿意度調查!$B$4:$D$570,3,FALSE),"")</f>
        <v>5</v>
      </c>
      <c r="U231" s="35" t="str">
        <f t="shared" si="19"/>
        <v>2026-05</v>
      </c>
      <c r="V231" s="38">
        <f>IF(J231="已結案",0,(使用說明!$B$7-B231)*24)</f>
        <v>0</v>
      </c>
    </row>
    <row r="232" spans="1:22">
      <c r="A232" s="32" t="s">
        <v>663</v>
      </c>
      <c r="B232" s="33">
        <v>46144.61041666667</v>
      </c>
      <c r="C232" s="34" t="s">
        <v>664</v>
      </c>
      <c r="D232" s="34" t="s">
        <v>225</v>
      </c>
      <c r="E232" s="34" t="s">
        <v>211</v>
      </c>
      <c r="F232" s="34" t="s">
        <v>226</v>
      </c>
      <c r="G232" s="34" t="s">
        <v>221</v>
      </c>
      <c r="H232" s="34" t="s">
        <v>214</v>
      </c>
      <c r="I232" s="35" t="str">
        <f>VLOOKUP(H232,人員與團隊!$A$4:$D$27,3,FALSE)</f>
        <v>北區服務</v>
      </c>
      <c r="J232" s="34" t="s">
        <v>215</v>
      </c>
      <c r="K232" s="33">
        <v>46144.622916666667</v>
      </c>
      <c r="L232" s="33">
        <v>46144.754814409724</v>
      </c>
      <c r="M232" s="36">
        <f t="shared" si="15"/>
        <v>17.999999995809048</v>
      </c>
      <c r="N232" s="37">
        <f t="shared" si="16"/>
        <v>3.4655458332854323</v>
      </c>
      <c r="O232" s="36">
        <f>VLOOKUP(G232,SLA標準!$A$4:$C$7,2,FALSE)</f>
        <v>60</v>
      </c>
      <c r="P232" s="37">
        <f>VLOOKUP(G232,SLA標準!$A$4:$C$7,3,FALSE)</f>
        <v>8</v>
      </c>
      <c r="Q232" s="35" t="str">
        <f t="shared" si="17"/>
        <v>達標</v>
      </c>
      <c r="R232" s="34" t="s">
        <v>47</v>
      </c>
      <c r="S232" s="35" t="str">
        <f t="shared" si="18"/>
        <v>是</v>
      </c>
      <c r="T232" s="36">
        <f>IFERROR(VLOOKUP(A232,滿意度調查!$B$4:$D$570,3,FALSE),"")</f>
        <v>5</v>
      </c>
      <c r="U232" s="35" t="str">
        <f t="shared" si="19"/>
        <v>2026-05</v>
      </c>
      <c r="V232" s="38">
        <f>IF(J232="已結案",0,(使用說明!$B$7-B232)*24)</f>
        <v>0</v>
      </c>
    </row>
    <row r="233" spans="1:22">
      <c r="A233" s="32" t="s">
        <v>665</v>
      </c>
      <c r="B233" s="33">
        <v>46144.672222222223</v>
      </c>
      <c r="C233" s="34" t="s">
        <v>666</v>
      </c>
      <c r="D233" s="34" t="s">
        <v>210</v>
      </c>
      <c r="E233" s="34" t="s">
        <v>230</v>
      </c>
      <c r="F233" s="34" t="s">
        <v>272</v>
      </c>
      <c r="G233" s="34" t="s">
        <v>242</v>
      </c>
      <c r="H233" s="34" t="s">
        <v>315</v>
      </c>
      <c r="I233" s="35" t="str">
        <f>VLOOKUP(H233,人員與團隊!$A$4:$D$27,3,FALSE)</f>
        <v>北區服務</v>
      </c>
      <c r="J233" s="34" t="s">
        <v>215</v>
      </c>
      <c r="K233" s="33">
        <v>46144.768055555556</v>
      </c>
      <c r="L233" s="33">
        <v>46145.504446087965</v>
      </c>
      <c r="M233" s="36">
        <f t="shared" si="15"/>
        <v>137.99999999930151</v>
      </c>
      <c r="N233" s="37">
        <f t="shared" si="16"/>
        <v>19.973372777807526</v>
      </c>
      <c r="O233" s="36">
        <f>VLOOKUP(G233,SLA標準!$A$4:$C$7,2,FALSE)</f>
        <v>240</v>
      </c>
      <c r="P233" s="37">
        <f>VLOOKUP(G233,SLA標準!$A$4:$C$7,3,FALSE)</f>
        <v>24</v>
      </c>
      <c r="Q233" s="35" t="str">
        <f t="shared" si="17"/>
        <v>達標</v>
      </c>
      <c r="R233" s="34" t="s">
        <v>41</v>
      </c>
      <c r="S233" s="35" t="str">
        <f t="shared" si="18"/>
        <v>是</v>
      </c>
      <c r="T233" s="36">
        <f>IFERROR(VLOOKUP(A233,滿意度調查!$B$4:$D$570,3,FALSE),"")</f>
        <v>4</v>
      </c>
      <c r="U233" s="35" t="str">
        <f t="shared" si="19"/>
        <v>2026-05</v>
      </c>
      <c r="V233" s="38">
        <f>IF(J233="已結案",0,(使用說明!$B$7-B233)*24)</f>
        <v>0</v>
      </c>
    </row>
    <row r="234" spans="1:22">
      <c r="A234" s="32" t="s">
        <v>667</v>
      </c>
      <c r="B234" s="33">
        <v>46144.76666666667</v>
      </c>
      <c r="C234" s="34" t="s">
        <v>443</v>
      </c>
      <c r="D234" s="34" t="s">
        <v>218</v>
      </c>
      <c r="E234" s="34" t="s">
        <v>245</v>
      </c>
      <c r="F234" s="34" t="s">
        <v>282</v>
      </c>
      <c r="G234" s="34" t="s">
        <v>242</v>
      </c>
      <c r="H234" s="34" t="s">
        <v>340</v>
      </c>
      <c r="I234" s="35" t="str">
        <f>VLOOKUP(H234,人員與團隊!$A$4:$D$27,3,FALSE)</f>
        <v>北區服務</v>
      </c>
      <c r="J234" s="34" t="s">
        <v>215</v>
      </c>
      <c r="K234" s="33">
        <v>46144.932638888888</v>
      </c>
      <c r="L234" s="33">
        <v>46145.636011435185</v>
      </c>
      <c r="M234" s="36">
        <f t="shared" si="15"/>
        <v>238.99999999324791</v>
      </c>
      <c r="N234" s="37">
        <f t="shared" si="16"/>
        <v>20.864274444349576</v>
      </c>
      <c r="O234" s="36">
        <f>VLOOKUP(G234,SLA標準!$A$4:$C$7,2,FALSE)</f>
        <v>240</v>
      </c>
      <c r="P234" s="37">
        <f>VLOOKUP(G234,SLA標準!$A$4:$C$7,3,FALSE)</f>
        <v>24</v>
      </c>
      <c r="Q234" s="35" t="str">
        <f t="shared" si="17"/>
        <v>達標</v>
      </c>
      <c r="R234" s="34" t="s">
        <v>47</v>
      </c>
      <c r="S234" s="35" t="str">
        <f t="shared" si="18"/>
        <v>否</v>
      </c>
      <c r="T234" s="36" t="str">
        <f>IFERROR(VLOOKUP(A234,滿意度調查!$B$4:$D$570,3,FALSE),"")</f>
        <v/>
      </c>
      <c r="U234" s="35" t="str">
        <f t="shared" si="19"/>
        <v>2026-05</v>
      </c>
      <c r="V234" s="38">
        <f>IF(J234="已結案",0,(使用說明!$B$7-B234)*24)</f>
        <v>0</v>
      </c>
    </row>
    <row r="235" spans="1:22">
      <c r="A235" s="32" t="s">
        <v>668</v>
      </c>
      <c r="B235" s="33">
        <v>46144.827777777777</v>
      </c>
      <c r="C235" s="34" t="s">
        <v>387</v>
      </c>
      <c r="D235" s="34" t="s">
        <v>218</v>
      </c>
      <c r="E235" s="34" t="s">
        <v>211</v>
      </c>
      <c r="F235" s="34" t="s">
        <v>331</v>
      </c>
      <c r="G235" s="34" t="s">
        <v>213</v>
      </c>
      <c r="H235" s="34" t="s">
        <v>232</v>
      </c>
      <c r="I235" s="35" t="str">
        <f>VLOOKUP(H235,人員與團隊!$A$4:$D$27,3,FALSE)</f>
        <v>北區服務</v>
      </c>
      <c r="J235" s="34" t="s">
        <v>215</v>
      </c>
      <c r="K235" s="33">
        <v>46145.088194444441</v>
      </c>
      <c r="L235" s="33">
        <v>46145.044137986108</v>
      </c>
      <c r="M235" s="36">
        <f t="shared" si="15"/>
        <v>374.99999999650754</v>
      </c>
      <c r="N235" s="37">
        <f t="shared" si="16"/>
        <v>5.1926449999446049</v>
      </c>
      <c r="O235" s="36">
        <f>VLOOKUP(G235,SLA標準!$A$4:$C$7,2,FALSE)</f>
        <v>480</v>
      </c>
      <c r="P235" s="37">
        <f>VLOOKUP(G235,SLA標準!$A$4:$C$7,3,FALSE)</f>
        <v>48</v>
      </c>
      <c r="Q235" s="35" t="str">
        <f t="shared" si="17"/>
        <v>達標</v>
      </c>
      <c r="R235" s="34" t="s">
        <v>47</v>
      </c>
      <c r="S235" s="35" t="str">
        <f t="shared" si="18"/>
        <v>否</v>
      </c>
      <c r="T235" s="36" t="str">
        <f>IFERROR(VLOOKUP(A235,滿意度調查!$B$4:$D$570,3,FALSE),"")</f>
        <v/>
      </c>
      <c r="U235" s="35" t="str">
        <f t="shared" si="19"/>
        <v>2026-05</v>
      </c>
      <c r="V235" s="38">
        <f>IF(J235="已結案",0,(使用說明!$B$7-B235)*24)</f>
        <v>0</v>
      </c>
    </row>
    <row r="236" spans="1:22">
      <c r="A236" s="32" t="s">
        <v>669</v>
      </c>
      <c r="B236" s="33">
        <v>46145.357638888891</v>
      </c>
      <c r="C236" s="34" t="s">
        <v>670</v>
      </c>
      <c r="D236" s="34" t="s">
        <v>210</v>
      </c>
      <c r="E236" s="34" t="s">
        <v>235</v>
      </c>
      <c r="F236" s="34" t="s">
        <v>253</v>
      </c>
      <c r="G236" s="34" t="s">
        <v>242</v>
      </c>
      <c r="H236" s="34" t="s">
        <v>340</v>
      </c>
      <c r="I236" s="35" t="str">
        <f>VLOOKUP(H236,人員與團隊!$A$4:$D$27,3,FALSE)</f>
        <v>北區服務</v>
      </c>
      <c r="J236" s="34" t="s">
        <v>215</v>
      </c>
      <c r="K236" s="33">
        <v>46145.400694444441</v>
      </c>
      <c r="L236" s="33">
        <v>46146.023153009257</v>
      </c>
      <c r="M236" s="36">
        <f t="shared" si="15"/>
        <v>61.999999992549419</v>
      </c>
      <c r="N236" s="37">
        <f t="shared" si="16"/>
        <v>15.972338888794184</v>
      </c>
      <c r="O236" s="36">
        <f>VLOOKUP(G236,SLA標準!$A$4:$C$7,2,FALSE)</f>
        <v>240</v>
      </c>
      <c r="P236" s="37">
        <f>VLOOKUP(G236,SLA標準!$A$4:$C$7,3,FALSE)</f>
        <v>24</v>
      </c>
      <c r="Q236" s="35" t="str">
        <f t="shared" si="17"/>
        <v>達標</v>
      </c>
      <c r="R236" s="34" t="s">
        <v>47</v>
      </c>
      <c r="S236" s="35" t="str">
        <f t="shared" si="18"/>
        <v>是</v>
      </c>
      <c r="T236" s="36">
        <f>IFERROR(VLOOKUP(A236,滿意度調查!$B$4:$D$570,3,FALSE),"")</f>
        <v>4</v>
      </c>
      <c r="U236" s="35" t="str">
        <f t="shared" si="19"/>
        <v>2026-05</v>
      </c>
      <c r="V236" s="38">
        <f>IF(J236="已結案",0,(使用說明!$B$7-B236)*24)</f>
        <v>0</v>
      </c>
    </row>
    <row r="237" spans="1:22">
      <c r="A237" s="32" t="s">
        <v>671</v>
      </c>
      <c r="B237" s="33">
        <v>46145.436111111114</v>
      </c>
      <c r="C237" s="34" t="s">
        <v>672</v>
      </c>
      <c r="D237" s="34" t="s">
        <v>218</v>
      </c>
      <c r="E237" s="34" t="s">
        <v>265</v>
      </c>
      <c r="F237" s="34" t="s">
        <v>266</v>
      </c>
      <c r="G237" s="34" t="s">
        <v>213</v>
      </c>
      <c r="H237" s="34" t="s">
        <v>227</v>
      </c>
      <c r="I237" s="35" t="str">
        <f>VLOOKUP(H237,人員與團隊!$A$4:$D$27,3,FALSE)</f>
        <v>北區服務</v>
      </c>
      <c r="J237" s="34" t="s">
        <v>215</v>
      </c>
      <c r="K237" s="33">
        <v>46145.784722222219</v>
      </c>
      <c r="L237" s="33">
        <v>46146.099012245373</v>
      </c>
      <c r="M237" s="36">
        <f t="shared" si="15"/>
        <v>501.99999999138527</v>
      </c>
      <c r="N237" s="37">
        <f t="shared" si="16"/>
        <v>15.909627222223207</v>
      </c>
      <c r="O237" s="36">
        <f>VLOOKUP(G237,SLA標準!$A$4:$C$7,2,FALSE)</f>
        <v>480</v>
      </c>
      <c r="P237" s="37">
        <f>VLOOKUP(G237,SLA標準!$A$4:$C$7,3,FALSE)</f>
        <v>48</v>
      </c>
      <c r="Q237" s="35" t="str">
        <f t="shared" si="17"/>
        <v>逾期</v>
      </c>
      <c r="R237" s="34" t="s">
        <v>47</v>
      </c>
      <c r="S237" s="35" t="str">
        <f t="shared" si="18"/>
        <v>否</v>
      </c>
      <c r="T237" s="36" t="str">
        <f>IFERROR(VLOOKUP(A237,滿意度調查!$B$4:$D$570,3,FALSE),"")</f>
        <v/>
      </c>
      <c r="U237" s="35" t="str">
        <f t="shared" si="19"/>
        <v>2026-05</v>
      </c>
      <c r="V237" s="38">
        <f>IF(J237="已結案",0,(使用說明!$B$7-B237)*24)</f>
        <v>0</v>
      </c>
    </row>
    <row r="238" spans="1:22">
      <c r="A238" s="32" t="s">
        <v>673</v>
      </c>
      <c r="B238" s="33">
        <v>46145.441666666666</v>
      </c>
      <c r="C238" s="34" t="s">
        <v>550</v>
      </c>
      <c r="D238" s="34" t="s">
        <v>225</v>
      </c>
      <c r="E238" s="34" t="s">
        <v>235</v>
      </c>
      <c r="F238" s="34" t="s">
        <v>253</v>
      </c>
      <c r="G238" s="34" t="s">
        <v>213</v>
      </c>
      <c r="H238" s="34" t="s">
        <v>243</v>
      </c>
      <c r="I238" s="35" t="str">
        <f>VLOOKUP(H238,人員與團隊!$A$4:$D$27,3,FALSE)</f>
        <v>南區服務</v>
      </c>
      <c r="J238" s="34" t="s">
        <v>215</v>
      </c>
      <c r="K238" s="33">
        <v>46145.659722222219</v>
      </c>
      <c r="L238" s="33">
        <v>46145.815160115744</v>
      </c>
      <c r="M238" s="36">
        <f t="shared" si="15"/>
        <v>313.99999999674037</v>
      </c>
      <c r="N238" s="37">
        <f t="shared" si="16"/>
        <v>8.9638427778845653</v>
      </c>
      <c r="O238" s="36">
        <f>VLOOKUP(G238,SLA標準!$A$4:$C$7,2,FALSE)</f>
        <v>480</v>
      </c>
      <c r="P238" s="37">
        <f>VLOOKUP(G238,SLA標準!$A$4:$C$7,3,FALSE)</f>
        <v>48</v>
      </c>
      <c r="Q238" s="35" t="str">
        <f t="shared" si="17"/>
        <v>達標</v>
      </c>
      <c r="R238" s="34" t="s">
        <v>41</v>
      </c>
      <c r="S238" s="35" t="str">
        <f t="shared" si="18"/>
        <v>是</v>
      </c>
      <c r="T238" s="36">
        <f>IFERROR(VLOOKUP(A238,滿意度調查!$B$4:$D$570,3,FALSE),"")</f>
        <v>4</v>
      </c>
      <c r="U238" s="35" t="str">
        <f t="shared" si="19"/>
        <v>2026-05</v>
      </c>
      <c r="V238" s="38">
        <f>IF(J238="已結案",0,(使用說明!$B$7-B238)*24)</f>
        <v>0</v>
      </c>
    </row>
    <row r="239" spans="1:22">
      <c r="A239" s="32" t="s">
        <v>674</v>
      </c>
      <c r="B239" s="33">
        <v>46145.644444444442</v>
      </c>
      <c r="C239" s="34" t="s">
        <v>405</v>
      </c>
      <c r="D239" s="34" t="s">
        <v>210</v>
      </c>
      <c r="E239" s="34" t="s">
        <v>235</v>
      </c>
      <c r="F239" s="34" t="s">
        <v>241</v>
      </c>
      <c r="G239" s="34" t="s">
        <v>242</v>
      </c>
      <c r="H239" s="34" t="s">
        <v>254</v>
      </c>
      <c r="I239" s="35" t="str">
        <f>VLOOKUP(H239,人員與團隊!$A$4:$D$27,3,FALSE)</f>
        <v>線上服務</v>
      </c>
      <c r="J239" s="34" t="s">
        <v>215</v>
      </c>
      <c r="K239" s="33">
        <v>46145.665277777778</v>
      </c>
      <c r="L239" s="33">
        <v>46146.226167060187</v>
      </c>
      <c r="M239" s="36">
        <f t="shared" si="15"/>
        <v>30.00000000349246</v>
      </c>
      <c r="N239" s="37">
        <f t="shared" si="16"/>
        <v>13.961342777882237</v>
      </c>
      <c r="O239" s="36">
        <f>VLOOKUP(G239,SLA標準!$A$4:$C$7,2,FALSE)</f>
        <v>240</v>
      </c>
      <c r="P239" s="37">
        <f>VLOOKUP(G239,SLA標準!$A$4:$C$7,3,FALSE)</f>
        <v>24</v>
      </c>
      <c r="Q239" s="35" t="str">
        <f t="shared" si="17"/>
        <v>達標</v>
      </c>
      <c r="R239" s="34" t="s">
        <v>47</v>
      </c>
      <c r="S239" s="35" t="str">
        <f t="shared" si="18"/>
        <v>是</v>
      </c>
      <c r="T239" s="36">
        <f>IFERROR(VLOOKUP(A239,滿意度調查!$B$4:$D$570,3,FALSE),"")</f>
        <v>5</v>
      </c>
      <c r="U239" s="35" t="str">
        <f t="shared" si="19"/>
        <v>2026-05</v>
      </c>
      <c r="V239" s="38">
        <f>IF(J239="已結案",0,(使用說明!$B$7-B239)*24)</f>
        <v>0</v>
      </c>
    </row>
    <row r="240" spans="1:22">
      <c r="A240" s="32" t="s">
        <v>675</v>
      </c>
      <c r="B240" s="33">
        <v>46145.736111111109</v>
      </c>
      <c r="C240" s="34" t="s">
        <v>676</v>
      </c>
      <c r="D240" s="34" t="s">
        <v>210</v>
      </c>
      <c r="E240" s="34" t="s">
        <v>235</v>
      </c>
      <c r="F240" s="34" t="s">
        <v>253</v>
      </c>
      <c r="G240" s="34" t="s">
        <v>242</v>
      </c>
      <c r="H240" s="34" t="s">
        <v>325</v>
      </c>
      <c r="I240" s="35" t="str">
        <f>VLOOKUP(H240,人員與團隊!$A$4:$D$27,3,FALSE)</f>
        <v>線上服務</v>
      </c>
      <c r="J240" s="34" t="s">
        <v>215</v>
      </c>
      <c r="K240" s="33">
        <v>46145.781944444447</v>
      </c>
      <c r="L240" s="33">
        <v>46145.981264571761</v>
      </c>
      <c r="M240" s="36">
        <f t="shared" si="15"/>
        <v>66.000000005587935</v>
      </c>
      <c r="N240" s="37">
        <f t="shared" si="16"/>
        <v>5.883683055639267</v>
      </c>
      <c r="O240" s="36">
        <f>VLOOKUP(G240,SLA標準!$A$4:$C$7,2,FALSE)</f>
        <v>240</v>
      </c>
      <c r="P240" s="37">
        <f>VLOOKUP(G240,SLA標準!$A$4:$C$7,3,FALSE)</f>
        <v>24</v>
      </c>
      <c r="Q240" s="35" t="str">
        <f t="shared" si="17"/>
        <v>達標</v>
      </c>
      <c r="R240" s="34" t="s">
        <v>47</v>
      </c>
      <c r="S240" s="35" t="str">
        <f t="shared" si="18"/>
        <v>是</v>
      </c>
      <c r="T240" s="36">
        <f>IFERROR(VLOOKUP(A240,滿意度調查!$B$4:$D$570,3,FALSE),"")</f>
        <v>5</v>
      </c>
      <c r="U240" s="35" t="str">
        <f t="shared" si="19"/>
        <v>2026-05</v>
      </c>
      <c r="V240" s="38">
        <f>IF(J240="已結案",0,(使用說明!$B$7-B240)*24)</f>
        <v>0</v>
      </c>
    </row>
    <row r="241" spans="1:22">
      <c r="A241" s="32" t="s">
        <v>677</v>
      </c>
      <c r="B241" s="33">
        <v>46145.74722222222</v>
      </c>
      <c r="C241" s="34" t="s">
        <v>678</v>
      </c>
      <c r="D241" s="34" t="s">
        <v>210</v>
      </c>
      <c r="E241" s="34" t="s">
        <v>265</v>
      </c>
      <c r="F241" s="34" t="s">
        <v>304</v>
      </c>
      <c r="G241" s="34" t="s">
        <v>242</v>
      </c>
      <c r="H241" s="34" t="s">
        <v>325</v>
      </c>
      <c r="I241" s="35" t="str">
        <f>VLOOKUP(H241,人員與團隊!$A$4:$D$27,3,FALSE)</f>
        <v>線上服務</v>
      </c>
      <c r="J241" s="34" t="s">
        <v>215</v>
      </c>
      <c r="K241" s="33">
        <v>46145.818749999999</v>
      </c>
      <c r="L241" s="33">
        <v>46146.08735199074</v>
      </c>
      <c r="M241" s="36">
        <f t="shared" si="15"/>
        <v>103.00000000046566</v>
      </c>
      <c r="N241" s="37">
        <f t="shared" si="16"/>
        <v>8.1631144444691017</v>
      </c>
      <c r="O241" s="36">
        <f>VLOOKUP(G241,SLA標準!$A$4:$C$7,2,FALSE)</f>
        <v>240</v>
      </c>
      <c r="P241" s="37">
        <f>VLOOKUP(G241,SLA標準!$A$4:$C$7,3,FALSE)</f>
        <v>24</v>
      </c>
      <c r="Q241" s="35" t="str">
        <f t="shared" si="17"/>
        <v>達標</v>
      </c>
      <c r="R241" s="34" t="s">
        <v>47</v>
      </c>
      <c r="S241" s="35" t="str">
        <f t="shared" si="18"/>
        <v>否</v>
      </c>
      <c r="T241" s="36" t="str">
        <f>IFERROR(VLOOKUP(A241,滿意度調查!$B$4:$D$570,3,FALSE),"")</f>
        <v/>
      </c>
      <c r="U241" s="35" t="str">
        <f t="shared" si="19"/>
        <v>2026-05</v>
      </c>
      <c r="V241" s="38">
        <f>IF(J241="已結案",0,(使用說明!$B$7-B241)*24)</f>
        <v>0</v>
      </c>
    </row>
    <row r="242" spans="1:22">
      <c r="A242" s="32" t="s">
        <v>679</v>
      </c>
      <c r="B242" s="33">
        <v>46145.779861111114</v>
      </c>
      <c r="C242" s="34" t="s">
        <v>405</v>
      </c>
      <c r="D242" s="34" t="s">
        <v>218</v>
      </c>
      <c r="E242" s="34" t="s">
        <v>211</v>
      </c>
      <c r="F242" s="34" t="s">
        <v>212</v>
      </c>
      <c r="G242" s="34" t="s">
        <v>242</v>
      </c>
      <c r="H242" s="34" t="s">
        <v>361</v>
      </c>
      <c r="I242" s="35" t="str">
        <f>VLOOKUP(H242,人員與團隊!$A$4:$D$27,3,FALSE)</f>
        <v>南區服務</v>
      </c>
      <c r="J242" s="34" t="s">
        <v>215</v>
      </c>
      <c r="K242" s="33">
        <v>46145.918749999997</v>
      </c>
      <c r="L242" s="33">
        <v>46145.936300949077</v>
      </c>
      <c r="M242" s="36">
        <f t="shared" si="15"/>
        <v>199.99999999185093</v>
      </c>
      <c r="N242" s="37">
        <f t="shared" si="16"/>
        <v>3.7545561111182906</v>
      </c>
      <c r="O242" s="36">
        <f>VLOOKUP(G242,SLA標準!$A$4:$C$7,2,FALSE)</f>
        <v>240</v>
      </c>
      <c r="P242" s="37">
        <f>VLOOKUP(G242,SLA標準!$A$4:$C$7,3,FALSE)</f>
        <v>24</v>
      </c>
      <c r="Q242" s="35" t="str">
        <f t="shared" si="17"/>
        <v>達標</v>
      </c>
      <c r="R242" s="34" t="s">
        <v>47</v>
      </c>
      <c r="S242" s="35" t="str">
        <f t="shared" si="18"/>
        <v>是</v>
      </c>
      <c r="T242" s="36">
        <f>IFERROR(VLOOKUP(A242,滿意度調查!$B$4:$D$570,3,FALSE),"")</f>
        <v>5</v>
      </c>
      <c r="U242" s="35" t="str">
        <f t="shared" si="19"/>
        <v>2026-05</v>
      </c>
      <c r="V242" s="38">
        <f>IF(J242="已結案",0,(使用說明!$B$7-B242)*24)</f>
        <v>0</v>
      </c>
    </row>
    <row r="243" spans="1:22">
      <c r="A243" s="32" t="s">
        <v>680</v>
      </c>
      <c r="B243" s="33">
        <v>46145.821527777778</v>
      </c>
      <c r="C243" s="34" t="s">
        <v>681</v>
      </c>
      <c r="D243" s="34" t="s">
        <v>225</v>
      </c>
      <c r="E243" s="34" t="s">
        <v>235</v>
      </c>
      <c r="F243" s="34" t="s">
        <v>253</v>
      </c>
      <c r="G243" s="34" t="s">
        <v>242</v>
      </c>
      <c r="H243" s="34" t="s">
        <v>250</v>
      </c>
      <c r="I243" s="35" t="str">
        <f>VLOOKUP(H243,人員與團隊!$A$4:$D$27,3,FALSE)</f>
        <v>南區服務</v>
      </c>
      <c r="J243" s="34" t="s">
        <v>215</v>
      </c>
      <c r="K243" s="33">
        <v>46145.87777777778</v>
      </c>
      <c r="L243" s="33">
        <v>46146.076161944446</v>
      </c>
      <c r="M243" s="36">
        <f t="shared" si="15"/>
        <v>81.000000002095476</v>
      </c>
      <c r="N243" s="37">
        <f t="shared" si="16"/>
        <v>6.111220000020694</v>
      </c>
      <c r="O243" s="36">
        <f>VLOOKUP(G243,SLA標準!$A$4:$C$7,2,FALSE)</f>
        <v>240</v>
      </c>
      <c r="P243" s="37">
        <f>VLOOKUP(G243,SLA標準!$A$4:$C$7,3,FALSE)</f>
        <v>24</v>
      </c>
      <c r="Q243" s="35" t="str">
        <f t="shared" si="17"/>
        <v>達標</v>
      </c>
      <c r="R243" s="34" t="s">
        <v>41</v>
      </c>
      <c r="S243" s="35" t="str">
        <f t="shared" si="18"/>
        <v>否</v>
      </c>
      <c r="T243" s="36" t="str">
        <f>IFERROR(VLOOKUP(A243,滿意度調查!$B$4:$D$570,3,FALSE),"")</f>
        <v/>
      </c>
      <c r="U243" s="35" t="str">
        <f t="shared" si="19"/>
        <v>2026-05</v>
      </c>
      <c r="V243" s="38">
        <f>IF(J243="已結案",0,(使用說明!$B$7-B243)*24)</f>
        <v>0</v>
      </c>
    </row>
    <row r="244" spans="1:22">
      <c r="A244" s="32" t="s">
        <v>682</v>
      </c>
      <c r="B244" s="33">
        <v>46145.863194444442</v>
      </c>
      <c r="C244" s="34" t="s">
        <v>683</v>
      </c>
      <c r="D244" s="34" t="s">
        <v>225</v>
      </c>
      <c r="E244" s="34" t="s">
        <v>235</v>
      </c>
      <c r="F244" s="34" t="s">
        <v>298</v>
      </c>
      <c r="G244" s="34" t="s">
        <v>221</v>
      </c>
      <c r="H244" s="34" t="s">
        <v>214</v>
      </c>
      <c r="I244" s="35" t="str">
        <f>VLOOKUP(H244,人員與團隊!$A$4:$D$27,3,FALSE)</f>
        <v>北區服務</v>
      </c>
      <c r="J244" s="34" t="s">
        <v>215</v>
      </c>
      <c r="K244" s="33">
        <v>46145.882638888892</v>
      </c>
      <c r="L244" s="33">
        <v>46146.240813287041</v>
      </c>
      <c r="M244" s="36">
        <f t="shared" si="15"/>
        <v>28.000000007450581</v>
      </c>
      <c r="N244" s="37">
        <f t="shared" si="16"/>
        <v>9.062852222356014</v>
      </c>
      <c r="O244" s="36">
        <f>VLOOKUP(G244,SLA標準!$A$4:$C$7,2,FALSE)</f>
        <v>60</v>
      </c>
      <c r="P244" s="37">
        <f>VLOOKUP(G244,SLA標準!$A$4:$C$7,3,FALSE)</f>
        <v>8</v>
      </c>
      <c r="Q244" s="35" t="str">
        <f t="shared" si="17"/>
        <v>逾期</v>
      </c>
      <c r="R244" s="34" t="s">
        <v>47</v>
      </c>
      <c r="S244" s="35" t="str">
        <f t="shared" si="18"/>
        <v>否</v>
      </c>
      <c r="T244" s="36" t="str">
        <f>IFERROR(VLOOKUP(A244,滿意度調查!$B$4:$D$570,3,FALSE),"")</f>
        <v/>
      </c>
      <c r="U244" s="35" t="str">
        <f t="shared" si="19"/>
        <v>2026-05</v>
      </c>
      <c r="V244" s="38">
        <f>IF(J244="已結案",0,(使用說明!$B$7-B244)*24)</f>
        <v>0</v>
      </c>
    </row>
    <row r="245" spans="1:22">
      <c r="A245" s="32" t="s">
        <v>684</v>
      </c>
      <c r="B245" s="33">
        <v>46146.396527777775</v>
      </c>
      <c r="C245" s="34" t="s">
        <v>651</v>
      </c>
      <c r="D245" s="34" t="s">
        <v>240</v>
      </c>
      <c r="E245" s="34" t="s">
        <v>235</v>
      </c>
      <c r="F245" s="34" t="s">
        <v>241</v>
      </c>
      <c r="G245" s="34" t="s">
        <v>350</v>
      </c>
      <c r="H245" s="34" t="s">
        <v>274</v>
      </c>
      <c r="I245" s="35" t="str">
        <f>VLOOKUP(H245,人員與團隊!$A$4:$D$27,3,FALSE)</f>
        <v>南區服務</v>
      </c>
      <c r="J245" s="34" t="s">
        <v>215</v>
      </c>
      <c r="K245" s="33">
        <v>46146.42083333333</v>
      </c>
      <c r="L245" s="33">
        <v>46146.764132812503</v>
      </c>
      <c r="M245" s="36">
        <f t="shared" si="15"/>
        <v>34.999999998835847</v>
      </c>
      <c r="N245" s="37">
        <f t="shared" si="16"/>
        <v>8.8225208334624767</v>
      </c>
      <c r="O245" s="36">
        <f>VLOOKUP(G245,SLA標準!$A$4:$C$7,2,FALSE)</f>
        <v>30</v>
      </c>
      <c r="P245" s="37">
        <f>VLOOKUP(G245,SLA標準!$A$4:$C$7,3,FALSE)</f>
        <v>4</v>
      </c>
      <c r="Q245" s="35" t="str">
        <f t="shared" si="17"/>
        <v>逾期</v>
      </c>
      <c r="R245" s="34" t="s">
        <v>47</v>
      </c>
      <c r="S245" s="35" t="str">
        <f t="shared" si="18"/>
        <v>是</v>
      </c>
      <c r="T245" s="36">
        <f>IFERROR(VLOOKUP(A245,滿意度調查!$B$4:$D$570,3,FALSE),"")</f>
        <v>3</v>
      </c>
      <c r="U245" s="35" t="str">
        <f t="shared" si="19"/>
        <v>2026-05</v>
      </c>
      <c r="V245" s="38">
        <f>IF(J245="已結案",0,(使用說明!$B$7-B245)*24)</f>
        <v>0</v>
      </c>
    </row>
    <row r="246" spans="1:22">
      <c r="A246" s="32" t="s">
        <v>685</v>
      </c>
      <c r="B246" s="33">
        <v>46146.472222222219</v>
      </c>
      <c r="C246" s="34" t="s">
        <v>686</v>
      </c>
      <c r="D246" s="34" t="s">
        <v>210</v>
      </c>
      <c r="E246" s="34" t="s">
        <v>235</v>
      </c>
      <c r="F246" s="34" t="s">
        <v>236</v>
      </c>
      <c r="G246" s="34" t="s">
        <v>242</v>
      </c>
      <c r="H246" s="34" t="s">
        <v>328</v>
      </c>
      <c r="I246" s="35" t="str">
        <f>VLOOKUP(H246,人員與團隊!$A$4:$D$27,3,FALSE)</f>
        <v>北區服務</v>
      </c>
      <c r="J246" s="34" t="s">
        <v>215</v>
      </c>
      <c r="K246" s="33">
        <v>46146.56527777778</v>
      </c>
      <c r="L246" s="33">
        <v>46146.94359412037</v>
      </c>
      <c r="M246" s="36">
        <f t="shared" si="15"/>
        <v>134.00000000721775</v>
      </c>
      <c r="N246" s="37">
        <f t="shared" si="16"/>
        <v>11.312925555626862</v>
      </c>
      <c r="O246" s="36">
        <f>VLOOKUP(G246,SLA標準!$A$4:$C$7,2,FALSE)</f>
        <v>240</v>
      </c>
      <c r="P246" s="37">
        <f>VLOOKUP(G246,SLA標準!$A$4:$C$7,3,FALSE)</f>
        <v>24</v>
      </c>
      <c r="Q246" s="35" t="str">
        <f t="shared" si="17"/>
        <v>達標</v>
      </c>
      <c r="R246" s="34" t="s">
        <v>47</v>
      </c>
      <c r="S246" s="35" t="str">
        <f t="shared" si="18"/>
        <v>是</v>
      </c>
      <c r="T246" s="36">
        <f>IFERROR(VLOOKUP(A246,滿意度調查!$B$4:$D$570,3,FALSE),"")</f>
        <v>4</v>
      </c>
      <c r="U246" s="35" t="str">
        <f t="shared" si="19"/>
        <v>2026-05</v>
      </c>
      <c r="V246" s="38">
        <f>IF(J246="已結案",0,(使用說明!$B$7-B246)*24)</f>
        <v>0</v>
      </c>
    </row>
    <row r="247" spans="1:22">
      <c r="A247" s="32" t="s">
        <v>687</v>
      </c>
      <c r="B247" s="33">
        <v>46146.582638888889</v>
      </c>
      <c r="C247" s="34" t="s">
        <v>478</v>
      </c>
      <c r="D247" s="34" t="s">
        <v>225</v>
      </c>
      <c r="E247" s="34" t="s">
        <v>245</v>
      </c>
      <c r="F247" s="34" t="s">
        <v>282</v>
      </c>
      <c r="G247" s="34" t="s">
        <v>242</v>
      </c>
      <c r="H247" s="34" t="s">
        <v>232</v>
      </c>
      <c r="I247" s="35" t="str">
        <f>VLOOKUP(H247,人員與團隊!$A$4:$D$27,3,FALSE)</f>
        <v>北區服務</v>
      </c>
      <c r="J247" s="34" t="s">
        <v>215</v>
      </c>
      <c r="K247" s="33">
        <v>46146.71875</v>
      </c>
      <c r="L247" s="33">
        <v>46148.344951597224</v>
      </c>
      <c r="M247" s="36">
        <f t="shared" si="15"/>
        <v>195.99999999976717</v>
      </c>
      <c r="N247" s="37">
        <f t="shared" si="16"/>
        <v>42.295505000045523</v>
      </c>
      <c r="O247" s="36">
        <f>VLOOKUP(G247,SLA標準!$A$4:$C$7,2,FALSE)</f>
        <v>240</v>
      </c>
      <c r="P247" s="37">
        <f>VLOOKUP(G247,SLA標準!$A$4:$C$7,3,FALSE)</f>
        <v>24</v>
      </c>
      <c r="Q247" s="35" t="str">
        <f t="shared" si="17"/>
        <v>逾期</v>
      </c>
      <c r="R247" s="34" t="s">
        <v>47</v>
      </c>
      <c r="S247" s="35" t="str">
        <f t="shared" si="18"/>
        <v>否</v>
      </c>
      <c r="T247" s="36" t="str">
        <f>IFERROR(VLOOKUP(A247,滿意度調查!$B$4:$D$570,3,FALSE),"")</f>
        <v/>
      </c>
      <c r="U247" s="35" t="str">
        <f t="shared" si="19"/>
        <v>2026-05</v>
      </c>
      <c r="V247" s="38">
        <f>IF(J247="已結案",0,(使用說明!$B$7-B247)*24)</f>
        <v>0</v>
      </c>
    </row>
    <row r="248" spans="1:22">
      <c r="A248" s="32" t="s">
        <v>688</v>
      </c>
      <c r="B248" s="33">
        <v>46146.654861111114</v>
      </c>
      <c r="C248" s="34" t="s">
        <v>429</v>
      </c>
      <c r="D248" s="34" t="s">
        <v>240</v>
      </c>
      <c r="E248" s="34" t="s">
        <v>219</v>
      </c>
      <c r="F248" s="34" t="s">
        <v>257</v>
      </c>
      <c r="G248" s="34" t="s">
        <v>242</v>
      </c>
      <c r="H248" s="34" t="s">
        <v>274</v>
      </c>
      <c r="I248" s="35" t="str">
        <f>VLOOKUP(H248,人員與團隊!$A$4:$D$27,3,FALSE)</f>
        <v>南區服務</v>
      </c>
      <c r="J248" s="34" t="s">
        <v>215</v>
      </c>
      <c r="K248" s="33">
        <v>46146.770833333336</v>
      </c>
      <c r="L248" s="33">
        <v>46147.184532604166</v>
      </c>
      <c r="M248" s="36">
        <f t="shared" si="15"/>
        <v>166.99999999953434</v>
      </c>
      <c r="N248" s="37">
        <f t="shared" si="16"/>
        <v>12.712115833244752</v>
      </c>
      <c r="O248" s="36">
        <f>VLOOKUP(G248,SLA標準!$A$4:$C$7,2,FALSE)</f>
        <v>240</v>
      </c>
      <c r="P248" s="37">
        <f>VLOOKUP(G248,SLA標準!$A$4:$C$7,3,FALSE)</f>
        <v>24</v>
      </c>
      <c r="Q248" s="35" t="str">
        <f t="shared" si="17"/>
        <v>達標</v>
      </c>
      <c r="R248" s="34" t="s">
        <v>47</v>
      </c>
      <c r="S248" s="35" t="str">
        <f t="shared" si="18"/>
        <v>否</v>
      </c>
      <c r="T248" s="36" t="str">
        <f>IFERROR(VLOOKUP(A248,滿意度調查!$B$4:$D$570,3,FALSE),"")</f>
        <v/>
      </c>
      <c r="U248" s="35" t="str">
        <f t="shared" si="19"/>
        <v>2026-05</v>
      </c>
      <c r="V248" s="38">
        <f>IF(J248="已結案",0,(使用說明!$B$7-B248)*24)</f>
        <v>0</v>
      </c>
    </row>
    <row r="249" spans="1:22">
      <c r="A249" s="32" t="s">
        <v>689</v>
      </c>
      <c r="B249" s="33">
        <v>46146.673611111109</v>
      </c>
      <c r="C249" s="34" t="s">
        <v>554</v>
      </c>
      <c r="D249" s="34" t="s">
        <v>218</v>
      </c>
      <c r="E249" s="34" t="s">
        <v>211</v>
      </c>
      <c r="F249" s="34" t="s">
        <v>331</v>
      </c>
      <c r="G249" s="34" t="s">
        <v>242</v>
      </c>
      <c r="H249" s="34" t="s">
        <v>340</v>
      </c>
      <c r="I249" s="35" t="str">
        <f>VLOOKUP(H249,人員與團隊!$A$4:$D$27,3,FALSE)</f>
        <v>北區服務</v>
      </c>
      <c r="J249" s="34" t="s">
        <v>215</v>
      </c>
      <c r="K249" s="33">
        <v>46146.875694444447</v>
      </c>
      <c r="L249" s="33">
        <v>46146.902725462962</v>
      </c>
      <c r="M249" s="36">
        <f t="shared" si="15"/>
        <v>291.00000000558794</v>
      </c>
      <c r="N249" s="37">
        <f t="shared" si="16"/>
        <v>5.4987444444559515</v>
      </c>
      <c r="O249" s="36">
        <f>VLOOKUP(G249,SLA標準!$A$4:$C$7,2,FALSE)</f>
        <v>240</v>
      </c>
      <c r="P249" s="37">
        <f>VLOOKUP(G249,SLA標準!$A$4:$C$7,3,FALSE)</f>
        <v>24</v>
      </c>
      <c r="Q249" s="35" t="str">
        <f t="shared" si="17"/>
        <v>逾期</v>
      </c>
      <c r="R249" s="34" t="s">
        <v>41</v>
      </c>
      <c r="S249" s="35" t="str">
        <f t="shared" si="18"/>
        <v>是</v>
      </c>
      <c r="T249" s="36">
        <f>IFERROR(VLOOKUP(A249,滿意度調查!$B$4:$D$570,3,FALSE),"")</f>
        <v>3</v>
      </c>
      <c r="U249" s="35" t="str">
        <f t="shared" si="19"/>
        <v>2026-05</v>
      </c>
      <c r="V249" s="38">
        <f>IF(J249="已結案",0,(使用說明!$B$7-B249)*24)</f>
        <v>0</v>
      </c>
    </row>
    <row r="250" spans="1:22">
      <c r="A250" s="32" t="s">
        <v>690</v>
      </c>
      <c r="B250" s="33">
        <v>46146.734722222223</v>
      </c>
      <c r="C250" s="34" t="s">
        <v>691</v>
      </c>
      <c r="D250" s="34" t="s">
        <v>210</v>
      </c>
      <c r="E250" s="34" t="s">
        <v>230</v>
      </c>
      <c r="F250" s="34" t="s">
        <v>272</v>
      </c>
      <c r="G250" s="34" t="s">
        <v>242</v>
      </c>
      <c r="H250" s="34" t="s">
        <v>372</v>
      </c>
      <c r="I250" s="35" t="str">
        <f>VLOOKUP(H250,人員與團隊!$A$4:$D$27,3,FALSE)</f>
        <v>南區服務</v>
      </c>
      <c r="J250" s="34" t="s">
        <v>215</v>
      </c>
      <c r="K250" s="33">
        <v>46146.784722222219</v>
      </c>
      <c r="L250" s="33">
        <v>46147.372882719908</v>
      </c>
      <c r="M250" s="36">
        <f t="shared" si="15"/>
        <v>71.999999993713573</v>
      </c>
      <c r="N250" s="37">
        <f t="shared" si="16"/>
        <v>15.31585194444051</v>
      </c>
      <c r="O250" s="36">
        <f>VLOOKUP(G250,SLA標準!$A$4:$C$7,2,FALSE)</f>
        <v>240</v>
      </c>
      <c r="P250" s="37">
        <f>VLOOKUP(G250,SLA標準!$A$4:$C$7,3,FALSE)</f>
        <v>24</v>
      </c>
      <c r="Q250" s="35" t="str">
        <f t="shared" si="17"/>
        <v>達標</v>
      </c>
      <c r="R250" s="34" t="s">
        <v>47</v>
      </c>
      <c r="S250" s="35" t="str">
        <f t="shared" si="18"/>
        <v>是</v>
      </c>
      <c r="T250" s="36">
        <f>IFERROR(VLOOKUP(A250,滿意度調查!$B$4:$D$570,3,FALSE),"")</f>
        <v>5</v>
      </c>
      <c r="U250" s="35" t="str">
        <f t="shared" si="19"/>
        <v>2026-05</v>
      </c>
      <c r="V250" s="38">
        <f>IF(J250="已結案",0,(使用說明!$B$7-B250)*24)</f>
        <v>0</v>
      </c>
    </row>
    <row r="251" spans="1:22">
      <c r="A251" s="32" t="s">
        <v>692</v>
      </c>
      <c r="B251" s="33">
        <v>46146.788194444445</v>
      </c>
      <c r="C251" s="34" t="s">
        <v>352</v>
      </c>
      <c r="D251" s="34" t="s">
        <v>210</v>
      </c>
      <c r="E251" s="34" t="s">
        <v>230</v>
      </c>
      <c r="F251" s="34" t="s">
        <v>320</v>
      </c>
      <c r="G251" s="34" t="s">
        <v>242</v>
      </c>
      <c r="H251" s="34" t="s">
        <v>372</v>
      </c>
      <c r="I251" s="35" t="str">
        <f>VLOOKUP(H251,人員與團隊!$A$4:$D$27,3,FALSE)</f>
        <v>南區服務</v>
      </c>
      <c r="J251" s="34" t="s">
        <v>215</v>
      </c>
      <c r="K251" s="33">
        <v>46146.828472222223</v>
      </c>
      <c r="L251" s="33">
        <v>46147.83245991898</v>
      </c>
      <c r="M251" s="36">
        <f t="shared" si="15"/>
        <v>58.000000000465661</v>
      </c>
      <c r="N251" s="37">
        <f t="shared" si="16"/>
        <v>25.062371388834435</v>
      </c>
      <c r="O251" s="36">
        <f>VLOOKUP(G251,SLA標準!$A$4:$C$7,2,FALSE)</f>
        <v>240</v>
      </c>
      <c r="P251" s="37">
        <f>VLOOKUP(G251,SLA標準!$A$4:$C$7,3,FALSE)</f>
        <v>24</v>
      </c>
      <c r="Q251" s="35" t="str">
        <f t="shared" si="17"/>
        <v>逾期</v>
      </c>
      <c r="R251" s="34" t="s">
        <v>47</v>
      </c>
      <c r="S251" s="35" t="str">
        <f t="shared" si="18"/>
        <v>是</v>
      </c>
      <c r="T251" s="36">
        <f>IFERROR(VLOOKUP(A251,滿意度調查!$B$4:$D$570,3,FALSE),"")</f>
        <v>4</v>
      </c>
      <c r="U251" s="35" t="str">
        <f t="shared" si="19"/>
        <v>2026-05</v>
      </c>
      <c r="V251" s="38">
        <f>IF(J251="已結案",0,(使用說明!$B$7-B251)*24)</f>
        <v>0</v>
      </c>
    </row>
    <row r="252" spans="1:22">
      <c r="A252" s="32" t="s">
        <v>693</v>
      </c>
      <c r="B252" s="33">
        <v>46146.859027777777</v>
      </c>
      <c r="C252" s="34" t="s">
        <v>694</v>
      </c>
      <c r="D252" s="34" t="s">
        <v>210</v>
      </c>
      <c r="E252" s="34" t="s">
        <v>230</v>
      </c>
      <c r="F252" s="34" t="s">
        <v>320</v>
      </c>
      <c r="G252" s="34" t="s">
        <v>242</v>
      </c>
      <c r="H252" s="34" t="s">
        <v>310</v>
      </c>
      <c r="I252" s="35" t="str">
        <f>VLOOKUP(H252,人員與團隊!$A$4:$D$27,3,FALSE)</f>
        <v>線上服務</v>
      </c>
      <c r="J252" s="34" t="s">
        <v>215</v>
      </c>
      <c r="K252" s="33">
        <v>46146.919444444444</v>
      </c>
      <c r="L252" s="33">
        <v>46147.722257696762</v>
      </c>
      <c r="M252" s="36">
        <f t="shared" si="15"/>
        <v>87.000000000698492</v>
      </c>
      <c r="N252" s="37">
        <f t="shared" si="16"/>
        <v>20.717518055636901</v>
      </c>
      <c r="O252" s="36">
        <f>VLOOKUP(G252,SLA標準!$A$4:$C$7,2,FALSE)</f>
        <v>240</v>
      </c>
      <c r="P252" s="37">
        <f>VLOOKUP(G252,SLA標準!$A$4:$C$7,3,FALSE)</f>
        <v>24</v>
      </c>
      <c r="Q252" s="35" t="str">
        <f t="shared" si="17"/>
        <v>達標</v>
      </c>
      <c r="R252" s="34" t="s">
        <v>47</v>
      </c>
      <c r="S252" s="35" t="str">
        <f t="shared" si="18"/>
        <v>否</v>
      </c>
      <c r="T252" s="36" t="str">
        <f>IFERROR(VLOOKUP(A252,滿意度調查!$B$4:$D$570,3,FALSE),"")</f>
        <v/>
      </c>
      <c r="U252" s="35" t="str">
        <f t="shared" si="19"/>
        <v>2026-05</v>
      </c>
      <c r="V252" s="38">
        <f>IF(J252="已結案",0,(使用說明!$B$7-B252)*24)</f>
        <v>0</v>
      </c>
    </row>
    <row r="253" spans="1:22">
      <c r="A253" s="32" t="s">
        <v>695</v>
      </c>
      <c r="B253" s="33">
        <v>46147.372916666667</v>
      </c>
      <c r="C253" s="34" t="s">
        <v>287</v>
      </c>
      <c r="D253" s="34" t="s">
        <v>218</v>
      </c>
      <c r="E253" s="34" t="s">
        <v>265</v>
      </c>
      <c r="F253" s="34" t="s">
        <v>304</v>
      </c>
      <c r="G253" s="34" t="s">
        <v>213</v>
      </c>
      <c r="H253" s="34" t="s">
        <v>262</v>
      </c>
      <c r="I253" s="35" t="str">
        <f>VLOOKUP(H253,人員與團隊!$A$4:$D$27,3,FALSE)</f>
        <v>南區服務</v>
      </c>
      <c r="J253" s="34" t="s">
        <v>215</v>
      </c>
      <c r="K253" s="33">
        <v>46147.67291666667</v>
      </c>
      <c r="L253" s="33">
        <v>46148.114313611113</v>
      </c>
      <c r="M253" s="36">
        <f t="shared" si="15"/>
        <v>432.00000000419095</v>
      </c>
      <c r="N253" s="37">
        <f t="shared" si="16"/>
        <v>17.793526666704565</v>
      </c>
      <c r="O253" s="36">
        <f>VLOOKUP(G253,SLA標準!$A$4:$C$7,2,FALSE)</f>
        <v>480</v>
      </c>
      <c r="P253" s="37">
        <f>VLOOKUP(G253,SLA標準!$A$4:$C$7,3,FALSE)</f>
        <v>48</v>
      </c>
      <c r="Q253" s="35" t="str">
        <f t="shared" si="17"/>
        <v>達標</v>
      </c>
      <c r="R253" s="34" t="s">
        <v>47</v>
      </c>
      <c r="S253" s="35" t="str">
        <f t="shared" si="18"/>
        <v>是</v>
      </c>
      <c r="T253" s="36">
        <f>IFERROR(VLOOKUP(A253,滿意度調查!$B$4:$D$570,3,FALSE),"")</f>
        <v>5</v>
      </c>
      <c r="U253" s="35" t="str">
        <f t="shared" si="19"/>
        <v>2026-05</v>
      </c>
      <c r="V253" s="38">
        <f>IF(J253="已結案",0,(使用說明!$B$7-B253)*24)</f>
        <v>0</v>
      </c>
    </row>
    <row r="254" spans="1:22">
      <c r="A254" s="32" t="s">
        <v>696</v>
      </c>
      <c r="B254" s="33">
        <v>46147.424305555556</v>
      </c>
      <c r="C254" s="34" t="s">
        <v>697</v>
      </c>
      <c r="D254" s="34" t="s">
        <v>240</v>
      </c>
      <c r="E254" s="34" t="s">
        <v>219</v>
      </c>
      <c r="F254" s="34" t="s">
        <v>371</v>
      </c>
      <c r="G254" s="34" t="s">
        <v>221</v>
      </c>
      <c r="H254" s="34" t="s">
        <v>340</v>
      </c>
      <c r="I254" s="35" t="str">
        <f>VLOOKUP(H254,人員與團隊!$A$4:$D$27,3,FALSE)</f>
        <v>北區服務</v>
      </c>
      <c r="J254" s="34" t="s">
        <v>215</v>
      </c>
      <c r="K254" s="33">
        <v>46147.482638888891</v>
      </c>
      <c r="L254" s="33">
        <v>46147.717404988427</v>
      </c>
      <c r="M254" s="36">
        <f t="shared" si="15"/>
        <v>84.000000001396984</v>
      </c>
      <c r="N254" s="37">
        <f t="shared" si="16"/>
        <v>7.0343863888992928</v>
      </c>
      <c r="O254" s="36">
        <f>VLOOKUP(G254,SLA標準!$A$4:$C$7,2,FALSE)</f>
        <v>60</v>
      </c>
      <c r="P254" s="37">
        <f>VLOOKUP(G254,SLA標準!$A$4:$C$7,3,FALSE)</f>
        <v>8</v>
      </c>
      <c r="Q254" s="35" t="str">
        <f t="shared" si="17"/>
        <v>逾期</v>
      </c>
      <c r="R254" s="34" t="s">
        <v>47</v>
      </c>
      <c r="S254" s="35" t="str">
        <f t="shared" si="18"/>
        <v>是</v>
      </c>
      <c r="T254" s="36">
        <f>IFERROR(VLOOKUP(A254,滿意度調查!$B$4:$D$570,3,FALSE),"")</f>
        <v>3</v>
      </c>
      <c r="U254" s="35" t="str">
        <f t="shared" si="19"/>
        <v>2026-05</v>
      </c>
      <c r="V254" s="38">
        <f>IF(J254="已結案",0,(使用說明!$B$7-B254)*24)</f>
        <v>0</v>
      </c>
    </row>
    <row r="255" spans="1:22">
      <c r="A255" s="32" t="s">
        <v>698</v>
      </c>
      <c r="B255" s="33">
        <v>46147.675694444442</v>
      </c>
      <c r="C255" s="34" t="s">
        <v>256</v>
      </c>
      <c r="D255" s="34" t="s">
        <v>225</v>
      </c>
      <c r="E255" s="34" t="s">
        <v>265</v>
      </c>
      <c r="F255" s="34" t="s">
        <v>301</v>
      </c>
      <c r="G255" s="34" t="s">
        <v>221</v>
      </c>
      <c r="H255" s="34" t="s">
        <v>372</v>
      </c>
      <c r="I255" s="35" t="str">
        <f>VLOOKUP(H255,人員與團隊!$A$4:$D$27,3,FALSE)</f>
        <v>南區服務</v>
      </c>
      <c r="J255" s="34" t="s">
        <v>215</v>
      </c>
      <c r="K255" s="33">
        <v>46147.702777777777</v>
      </c>
      <c r="L255" s="33">
        <v>46148.4981324537</v>
      </c>
      <c r="M255" s="36">
        <f t="shared" si="15"/>
        <v>39.000000001396984</v>
      </c>
      <c r="N255" s="37">
        <f t="shared" si="16"/>
        <v>19.738512222189456</v>
      </c>
      <c r="O255" s="36">
        <f>VLOOKUP(G255,SLA標準!$A$4:$C$7,2,FALSE)</f>
        <v>60</v>
      </c>
      <c r="P255" s="37">
        <f>VLOOKUP(G255,SLA標準!$A$4:$C$7,3,FALSE)</f>
        <v>8</v>
      </c>
      <c r="Q255" s="35" t="str">
        <f t="shared" si="17"/>
        <v>逾期</v>
      </c>
      <c r="R255" s="34" t="s">
        <v>47</v>
      </c>
      <c r="S255" s="35" t="str">
        <f t="shared" si="18"/>
        <v>是</v>
      </c>
      <c r="T255" s="36">
        <f>IFERROR(VLOOKUP(A255,滿意度調查!$B$4:$D$570,3,FALSE),"")</f>
        <v>3</v>
      </c>
      <c r="U255" s="35" t="str">
        <f t="shared" si="19"/>
        <v>2026-05</v>
      </c>
      <c r="V255" s="38">
        <f>IF(J255="已結案",0,(使用說明!$B$7-B255)*24)</f>
        <v>0</v>
      </c>
    </row>
    <row r="256" spans="1:22">
      <c r="A256" s="32" t="s">
        <v>699</v>
      </c>
      <c r="B256" s="33">
        <v>46147.807638888888</v>
      </c>
      <c r="C256" s="34" t="s">
        <v>700</v>
      </c>
      <c r="D256" s="34" t="s">
        <v>210</v>
      </c>
      <c r="E256" s="34" t="s">
        <v>265</v>
      </c>
      <c r="F256" s="34" t="s">
        <v>304</v>
      </c>
      <c r="G256" s="34" t="s">
        <v>242</v>
      </c>
      <c r="H256" s="34" t="s">
        <v>254</v>
      </c>
      <c r="I256" s="35" t="str">
        <f>VLOOKUP(H256,人員與團隊!$A$4:$D$27,3,FALSE)</f>
        <v>線上服務</v>
      </c>
      <c r="J256" s="34" t="s">
        <v>215</v>
      </c>
      <c r="K256" s="33">
        <v>46147.89166666667</v>
      </c>
      <c r="L256" s="33">
        <v>46148.748477037036</v>
      </c>
      <c r="M256" s="36">
        <f t="shared" si="15"/>
        <v>121.00000000675209</v>
      </c>
      <c r="N256" s="37">
        <f t="shared" si="16"/>
        <v>22.580115555552766</v>
      </c>
      <c r="O256" s="36">
        <f>VLOOKUP(G256,SLA標準!$A$4:$C$7,2,FALSE)</f>
        <v>240</v>
      </c>
      <c r="P256" s="37">
        <f>VLOOKUP(G256,SLA標準!$A$4:$C$7,3,FALSE)</f>
        <v>24</v>
      </c>
      <c r="Q256" s="35" t="str">
        <f t="shared" si="17"/>
        <v>達標</v>
      </c>
      <c r="R256" s="34" t="s">
        <v>41</v>
      </c>
      <c r="S256" s="35" t="str">
        <f t="shared" si="18"/>
        <v>是</v>
      </c>
      <c r="T256" s="36">
        <f>IFERROR(VLOOKUP(A256,滿意度調查!$B$4:$D$570,3,FALSE),"")</f>
        <v>4</v>
      </c>
      <c r="U256" s="35" t="str">
        <f t="shared" si="19"/>
        <v>2026-05</v>
      </c>
      <c r="V256" s="38">
        <f>IF(J256="已結案",0,(使用說明!$B$7-B256)*24)</f>
        <v>0</v>
      </c>
    </row>
    <row r="257" spans="1:22">
      <c r="A257" s="32" t="s">
        <v>701</v>
      </c>
      <c r="B257" s="33">
        <v>46147.816666666666</v>
      </c>
      <c r="C257" s="34" t="s">
        <v>702</v>
      </c>
      <c r="D257" s="34" t="s">
        <v>240</v>
      </c>
      <c r="E257" s="34" t="s">
        <v>219</v>
      </c>
      <c r="F257" s="34" t="s">
        <v>220</v>
      </c>
      <c r="G257" s="34" t="s">
        <v>242</v>
      </c>
      <c r="H257" s="34" t="s">
        <v>237</v>
      </c>
      <c r="I257" s="35" t="str">
        <f>VLOOKUP(H257,人員與團隊!$A$4:$D$27,3,FALSE)</f>
        <v>北區服務</v>
      </c>
      <c r="J257" s="34" t="s">
        <v>215</v>
      </c>
      <c r="K257" s="33">
        <v>46147.927777777775</v>
      </c>
      <c r="L257" s="33">
        <v>46148.461071782411</v>
      </c>
      <c r="M257" s="36">
        <f t="shared" si="15"/>
        <v>159.99999999767169</v>
      </c>
      <c r="N257" s="37">
        <f t="shared" si="16"/>
        <v>15.465722777880728</v>
      </c>
      <c r="O257" s="36">
        <f>VLOOKUP(G257,SLA標準!$A$4:$C$7,2,FALSE)</f>
        <v>240</v>
      </c>
      <c r="P257" s="37">
        <f>VLOOKUP(G257,SLA標準!$A$4:$C$7,3,FALSE)</f>
        <v>24</v>
      </c>
      <c r="Q257" s="35" t="str">
        <f t="shared" si="17"/>
        <v>達標</v>
      </c>
      <c r="R257" s="34" t="s">
        <v>47</v>
      </c>
      <c r="S257" s="35" t="str">
        <f t="shared" si="18"/>
        <v>是</v>
      </c>
      <c r="T257" s="36">
        <f>IFERROR(VLOOKUP(A257,滿意度調查!$B$4:$D$570,3,FALSE),"")</f>
        <v>5</v>
      </c>
      <c r="U257" s="35" t="str">
        <f t="shared" si="19"/>
        <v>2026-05</v>
      </c>
      <c r="V257" s="38">
        <f>IF(J257="已結案",0,(使用說明!$B$7-B257)*24)</f>
        <v>0</v>
      </c>
    </row>
    <row r="258" spans="1:22">
      <c r="A258" s="32" t="s">
        <v>703</v>
      </c>
      <c r="B258" s="33">
        <v>46147.874305555553</v>
      </c>
      <c r="C258" s="34" t="s">
        <v>517</v>
      </c>
      <c r="D258" s="34" t="s">
        <v>210</v>
      </c>
      <c r="E258" s="34" t="s">
        <v>230</v>
      </c>
      <c r="F258" s="34" t="s">
        <v>339</v>
      </c>
      <c r="G258" s="34" t="s">
        <v>221</v>
      </c>
      <c r="H258" s="34" t="s">
        <v>254</v>
      </c>
      <c r="I258" s="35" t="str">
        <f>VLOOKUP(H258,人員與團隊!$A$4:$D$27,3,FALSE)</f>
        <v>線上服務</v>
      </c>
      <c r="J258" s="34" t="s">
        <v>215</v>
      </c>
      <c r="K258" s="33">
        <v>46147.881249999999</v>
      </c>
      <c r="L258" s="33">
        <v>46148.612017685184</v>
      </c>
      <c r="M258" s="36">
        <f t="shared" si="15"/>
        <v>10.000000001164153</v>
      </c>
      <c r="N258" s="37">
        <f t="shared" si="16"/>
        <v>17.70509111112915</v>
      </c>
      <c r="O258" s="36">
        <f>VLOOKUP(G258,SLA標準!$A$4:$C$7,2,FALSE)</f>
        <v>60</v>
      </c>
      <c r="P258" s="37">
        <f>VLOOKUP(G258,SLA標準!$A$4:$C$7,3,FALSE)</f>
        <v>8</v>
      </c>
      <c r="Q258" s="35" t="str">
        <f t="shared" si="17"/>
        <v>逾期</v>
      </c>
      <c r="R258" s="34" t="s">
        <v>41</v>
      </c>
      <c r="S258" s="35" t="str">
        <f t="shared" si="18"/>
        <v>是</v>
      </c>
      <c r="T258" s="36">
        <f>IFERROR(VLOOKUP(A258,滿意度調查!$B$4:$D$570,3,FALSE),"")</f>
        <v>2</v>
      </c>
      <c r="U258" s="35" t="str">
        <f t="shared" si="19"/>
        <v>2026-05</v>
      </c>
      <c r="V258" s="38">
        <f>IF(J258="已結案",0,(使用說明!$B$7-B258)*24)</f>
        <v>0</v>
      </c>
    </row>
    <row r="259" spans="1:22">
      <c r="A259" s="32" t="s">
        <v>704</v>
      </c>
      <c r="B259" s="33">
        <v>46148.34097222222</v>
      </c>
      <c r="C259" s="34" t="s">
        <v>705</v>
      </c>
      <c r="D259" s="34" t="s">
        <v>218</v>
      </c>
      <c r="E259" s="34" t="s">
        <v>230</v>
      </c>
      <c r="F259" s="34" t="s">
        <v>231</v>
      </c>
      <c r="G259" s="34" t="s">
        <v>242</v>
      </c>
      <c r="H259" s="34" t="s">
        <v>274</v>
      </c>
      <c r="I259" s="35" t="str">
        <f>VLOOKUP(H259,人員與團隊!$A$4:$D$27,3,FALSE)</f>
        <v>南區服務</v>
      </c>
      <c r="J259" s="34" t="s">
        <v>215</v>
      </c>
      <c r="K259" s="33">
        <v>46148.549305555556</v>
      </c>
      <c r="L259" s="33">
        <v>46148.876975173611</v>
      </c>
      <c r="M259" s="36">
        <f t="shared" si="15"/>
        <v>300.00000000349246</v>
      </c>
      <c r="N259" s="37">
        <f t="shared" si="16"/>
        <v>12.864070833369624</v>
      </c>
      <c r="O259" s="36">
        <f>VLOOKUP(G259,SLA標準!$A$4:$C$7,2,FALSE)</f>
        <v>240</v>
      </c>
      <c r="P259" s="37">
        <f>VLOOKUP(G259,SLA標準!$A$4:$C$7,3,FALSE)</f>
        <v>24</v>
      </c>
      <c r="Q259" s="35" t="str">
        <f t="shared" si="17"/>
        <v>逾期</v>
      </c>
      <c r="R259" s="34" t="s">
        <v>47</v>
      </c>
      <c r="S259" s="35" t="str">
        <f t="shared" si="18"/>
        <v>是</v>
      </c>
      <c r="T259" s="36">
        <f>IFERROR(VLOOKUP(A259,滿意度調查!$B$4:$D$570,3,FALSE),"")</f>
        <v>4</v>
      </c>
      <c r="U259" s="35" t="str">
        <f t="shared" si="19"/>
        <v>2026-05</v>
      </c>
      <c r="V259" s="38">
        <f>IF(J259="已結案",0,(使用說明!$B$7-B259)*24)</f>
        <v>0</v>
      </c>
    </row>
    <row r="260" spans="1:22">
      <c r="A260" s="32" t="s">
        <v>706</v>
      </c>
      <c r="B260" s="33">
        <v>46148.557638888888</v>
      </c>
      <c r="C260" s="34" t="s">
        <v>449</v>
      </c>
      <c r="D260" s="34" t="s">
        <v>240</v>
      </c>
      <c r="E260" s="34" t="s">
        <v>211</v>
      </c>
      <c r="F260" s="34" t="s">
        <v>226</v>
      </c>
      <c r="G260" s="34" t="s">
        <v>242</v>
      </c>
      <c r="H260" s="34" t="s">
        <v>222</v>
      </c>
      <c r="I260" s="35" t="str">
        <f>VLOOKUP(H260,人員與團隊!$A$4:$D$27,3,FALSE)</f>
        <v>北區服務</v>
      </c>
      <c r="J260" s="34" t="s">
        <v>215</v>
      </c>
      <c r="K260" s="33">
        <v>46148.773611111108</v>
      </c>
      <c r="L260" s="33">
        <v>46148.717070659724</v>
      </c>
      <c r="M260" s="36">
        <f t="shared" ref="M260:M323" si="20">IF(K260="","",(K260-B260)*1440)</f>
        <v>310.99999999743886</v>
      </c>
      <c r="N260" s="37">
        <f t="shared" ref="N260:N323" si="21">IF(L260="","",(L260-B260)*24)</f>
        <v>3.8263625000836328</v>
      </c>
      <c r="O260" s="36">
        <f>VLOOKUP(G260,SLA標準!$A$4:$C$7,2,FALSE)</f>
        <v>240</v>
      </c>
      <c r="P260" s="37">
        <f>VLOOKUP(G260,SLA標準!$A$4:$C$7,3,FALSE)</f>
        <v>24</v>
      </c>
      <c r="Q260" s="35" t="str">
        <f t="shared" ref="Q260:Q323" si="22">IF(J260="已結案",IF(AND(M260&lt;=O260,N260&lt;=P260),"達標","逾期"),IF(OR(M260&gt;O260,V260&gt;P260),"逾期","進行中"))</f>
        <v>逾期</v>
      </c>
      <c r="R260" s="34" t="s">
        <v>47</v>
      </c>
      <c r="S260" s="35" t="str">
        <f t="shared" ref="S260:S323" si="23">IF(T260="","否","是")</f>
        <v>否</v>
      </c>
      <c r="T260" s="36" t="str">
        <f>IFERROR(VLOOKUP(A260,滿意度調查!$B$4:$D$570,3,FALSE),"")</f>
        <v/>
      </c>
      <c r="U260" s="35" t="str">
        <f t="shared" ref="U260:U323" si="24">TEXT(B260,"yyyy-mm")</f>
        <v>2026-05</v>
      </c>
      <c r="V260" s="38">
        <f>IF(J260="已結案",0,(使用說明!$B$7-B260)*24)</f>
        <v>0</v>
      </c>
    </row>
    <row r="261" spans="1:22">
      <c r="A261" s="32" t="s">
        <v>707</v>
      </c>
      <c r="B261" s="33">
        <v>46148.580555555556</v>
      </c>
      <c r="C261" s="34" t="s">
        <v>327</v>
      </c>
      <c r="D261" s="34" t="s">
        <v>218</v>
      </c>
      <c r="E261" s="34" t="s">
        <v>265</v>
      </c>
      <c r="F261" s="34" t="s">
        <v>301</v>
      </c>
      <c r="G261" s="34" t="s">
        <v>242</v>
      </c>
      <c r="H261" s="34" t="s">
        <v>310</v>
      </c>
      <c r="I261" s="35" t="str">
        <f>VLOOKUP(H261,人員與團隊!$A$4:$D$27,3,FALSE)</f>
        <v>線上服務</v>
      </c>
      <c r="J261" s="34" t="s">
        <v>356</v>
      </c>
      <c r="K261" s="33">
        <v>46148.826388888891</v>
      </c>
      <c r="L261" s="33"/>
      <c r="M261" s="36">
        <f t="shared" si="20"/>
        <v>354.00000000139698</v>
      </c>
      <c r="N261" s="37" t="str">
        <f t="shared" si="21"/>
        <v/>
      </c>
      <c r="O261" s="36">
        <f>VLOOKUP(G261,SLA標準!$A$4:$C$7,2,FALSE)</f>
        <v>240</v>
      </c>
      <c r="P261" s="37">
        <f>VLOOKUP(G261,SLA標準!$A$4:$C$7,3,FALSE)</f>
        <v>24</v>
      </c>
      <c r="Q261" s="35" t="str">
        <f t="shared" si="22"/>
        <v>逾期</v>
      </c>
      <c r="R261" s="34" t="s">
        <v>47</v>
      </c>
      <c r="S261" s="35" t="str">
        <f t="shared" si="23"/>
        <v>否</v>
      </c>
      <c r="T261" s="36" t="str">
        <f>IFERROR(VLOOKUP(A261,滿意度調查!$B$4:$D$570,3,FALSE),"")</f>
        <v/>
      </c>
      <c r="U261" s="35" t="str">
        <f t="shared" si="24"/>
        <v>2026-05</v>
      </c>
      <c r="V261" s="38">
        <f>IF(J261="已結案",0,(使用說明!$B$7-B261)*24)</f>
        <v>1339.0666666666511</v>
      </c>
    </row>
    <row r="262" spans="1:22">
      <c r="A262" s="32" t="s">
        <v>708</v>
      </c>
      <c r="B262" s="33">
        <v>46148.649305555555</v>
      </c>
      <c r="C262" s="34" t="s">
        <v>709</v>
      </c>
      <c r="D262" s="34" t="s">
        <v>210</v>
      </c>
      <c r="E262" s="34" t="s">
        <v>219</v>
      </c>
      <c r="F262" s="34" t="s">
        <v>220</v>
      </c>
      <c r="G262" s="34" t="s">
        <v>221</v>
      </c>
      <c r="H262" s="34" t="s">
        <v>222</v>
      </c>
      <c r="I262" s="35" t="str">
        <f>VLOOKUP(H262,人員與團隊!$A$4:$D$27,3,FALSE)</f>
        <v>北區服務</v>
      </c>
      <c r="J262" s="34" t="s">
        <v>215</v>
      </c>
      <c r="K262" s="33">
        <v>46148.67083333333</v>
      </c>
      <c r="L262" s="33">
        <v>46149.29531833333</v>
      </c>
      <c r="M262" s="36">
        <f t="shared" si="20"/>
        <v>30.99999999627471</v>
      </c>
      <c r="N262" s="37">
        <f t="shared" si="21"/>
        <v>15.504306666611228</v>
      </c>
      <c r="O262" s="36">
        <f>VLOOKUP(G262,SLA標準!$A$4:$C$7,2,FALSE)</f>
        <v>60</v>
      </c>
      <c r="P262" s="37">
        <f>VLOOKUP(G262,SLA標準!$A$4:$C$7,3,FALSE)</f>
        <v>8</v>
      </c>
      <c r="Q262" s="35" t="str">
        <f t="shared" si="22"/>
        <v>逾期</v>
      </c>
      <c r="R262" s="34" t="s">
        <v>47</v>
      </c>
      <c r="S262" s="35" t="str">
        <f t="shared" si="23"/>
        <v>是</v>
      </c>
      <c r="T262" s="36">
        <f>IFERROR(VLOOKUP(A262,滿意度調查!$B$4:$D$570,3,FALSE),"")</f>
        <v>4</v>
      </c>
      <c r="U262" s="35" t="str">
        <f t="shared" si="24"/>
        <v>2026-05</v>
      </c>
      <c r="V262" s="38">
        <f>IF(J262="已結案",0,(使用說明!$B$7-B262)*24)</f>
        <v>0</v>
      </c>
    </row>
    <row r="263" spans="1:22">
      <c r="A263" s="32" t="s">
        <v>710</v>
      </c>
      <c r="B263" s="33">
        <v>46148.675000000003</v>
      </c>
      <c r="C263" s="34" t="s">
        <v>711</v>
      </c>
      <c r="D263" s="34" t="s">
        <v>218</v>
      </c>
      <c r="E263" s="34" t="s">
        <v>230</v>
      </c>
      <c r="F263" s="34" t="s">
        <v>231</v>
      </c>
      <c r="G263" s="34" t="s">
        <v>242</v>
      </c>
      <c r="H263" s="34" t="s">
        <v>279</v>
      </c>
      <c r="I263" s="35" t="str">
        <f>VLOOKUP(H263,人員與團隊!$A$4:$D$27,3,FALSE)</f>
        <v>南區服務</v>
      </c>
      <c r="J263" s="34" t="s">
        <v>215</v>
      </c>
      <c r="K263" s="33">
        <v>46148.817361111112</v>
      </c>
      <c r="L263" s="33">
        <v>46150.076785300924</v>
      </c>
      <c r="M263" s="36">
        <f t="shared" si="20"/>
        <v>204.99999999767169</v>
      </c>
      <c r="N263" s="37">
        <f t="shared" si="21"/>
        <v>33.642847222101409</v>
      </c>
      <c r="O263" s="36">
        <f>VLOOKUP(G263,SLA標準!$A$4:$C$7,2,FALSE)</f>
        <v>240</v>
      </c>
      <c r="P263" s="37">
        <f>VLOOKUP(G263,SLA標準!$A$4:$C$7,3,FALSE)</f>
        <v>24</v>
      </c>
      <c r="Q263" s="35" t="str">
        <f t="shared" si="22"/>
        <v>逾期</v>
      </c>
      <c r="R263" s="34" t="s">
        <v>41</v>
      </c>
      <c r="S263" s="35" t="str">
        <f t="shared" si="23"/>
        <v>否</v>
      </c>
      <c r="T263" s="36" t="str">
        <f>IFERROR(VLOOKUP(A263,滿意度調查!$B$4:$D$570,3,FALSE),"")</f>
        <v/>
      </c>
      <c r="U263" s="35" t="str">
        <f t="shared" si="24"/>
        <v>2026-05</v>
      </c>
      <c r="V263" s="38">
        <f>IF(J263="已結案",0,(使用說明!$B$7-B263)*24)</f>
        <v>0</v>
      </c>
    </row>
    <row r="264" spans="1:22">
      <c r="A264" s="32" t="s">
        <v>712</v>
      </c>
      <c r="B264" s="33">
        <v>46148.690972222219</v>
      </c>
      <c r="C264" s="34" t="s">
        <v>342</v>
      </c>
      <c r="D264" s="34" t="s">
        <v>218</v>
      </c>
      <c r="E264" s="34" t="s">
        <v>235</v>
      </c>
      <c r="F264" s="34" t="s">
        <v>241</v>
      </c>
      <c r="G264" s="34" t="s">
        <v>221</v>
      </c>
      <c r="H264" s="34" t="s">
        <v>262</v>
      </c>
      <c r="I264" s="35" t="str">
        <f>VLOOKUP(H264,人員與團隊!$A$4:$D$27,3,FALSE)</f>
        <v>南區服務</v>
      </c>
      <c r="J264" s="34" t="s">
        <v>215</v>
      </c>
      <c r="K264" s="33">
        <v>46148.743055555555</v>
      </c>
      <c r="L264" s="33">
        <v>46148.975130046296</v>
      </c>
      <c r="M264" s="36">
        <f t="shared" si="20"/>
        <v>75.00000000349246</v>
      </c>
      <c r="N264" s="37">
        <f t="shared" si="21"/>
        <v>6.8197877778438851</v>
      </c>
      <c r="O264" s="36">
        <f>VLOOKUP(G264,SLA標準!$A$4:$C$7,2,FALSE)</f>
        <v>60</v>
      </c>
      <c r="P264" s="37">
        <f>VLOOKUP(G264,SLA標準!$A$4:$C$7,3,FALSE)</f>
        <v>8</v>
      </c>
      <c r="Q264" s="35" t="str">
        <f t="shared" si="22"/>
        <v>逾期</v>
      </c>
      <c r="R264" s="34" t="s">
        <v>47</v>
      </c>
      <c r="S264" s="35" t="str">
        <f t="shared" si="23"/>
        <v>是</v>
      </c>
      <c r="T264" s="36">
        <f>IFERROR(VLOOKUP(A264,滿意度調查!$B$4:$D$570,3,FALSE),"")</f>
        <v>3</v>
      </c>
      <c r="U264" s="35" t="str">
        <f t="shared" si="24"/>
        <v>2026-05</v>
      </c>
      <c r="V264" s="38">
        <f>IF(J264="已結案",0,(使用說明!$B$7-B264)*24)</f>
        <v>0</v>
      </c>
    </row>
    <row r="265" spans="1:22">
      <c r="A265" s="32" t="s">
        <v>713</v>
      </c>
      <c r="B265" s="33">
        <v>46148.82916666667</v>
      </c>
      <c r="C265" s="34" t="s">
        <v>319</v>
      </c>
      <c r="D265" s="34" t="s">
        <v>218</v>
      </c>
      <c r="E265" s="34" t="s">
        <v>265</v>
      </c>
      <c r="F265" s="34" t="s">
        <v>301</v>
      </c>
      <c r="G265" s="34" t="s">
        <v>242</v>
      </c>
      <c r="H265" s="34" t="s">
        <v>315</v>
      </c>
      <c r="I265" s="35" t="str">
        <f>VLOOKUP(H265,人員與團隊!$A$4:$D$27,3,FALSE)</f>
        <v>北區服務</v>
      </c>
      <c r="J265" s="34" t="s">
        <v>215</v>
      </c>
      <c r="K265" s="33">
        <v>46148.975694444445</v>
      </c>
      <c r="L265" s="33">
        <v>46149.307024224538</v>
      </c>
      <c r="M265" s="36">
        <f t="shared" si="20"/>
        <v>210.99999999627471</v>
      </c>
      <c r="N265" s="37">
        <f t="shared" si="21"/>
        <v>11.468581388820894</v>
      </c>
      <c r="O265" s="36">
        <f>VLOOKUP(G265,SLA標準!$A$4:$C$7,2,FALSE)</f>
        <v>240</v>
      </c>
      <c r="P265" s="37">
        <f>VLOOKUP(G265,SLA標準!$A$4:$C$7,3,FALSE)</f>
        <v>24</v>
      </c>
      <c r="Q265" s="35" t="str">
        <f t="shared" si="22"/>
        <v>達標</v>
      </c>
      <c r="R265" s="34" t="s">
        <v>47</v>
      </c>
      <c r="S265" s="35" t="str">
        <f t="shared" si="23"/>
        <v>是</v>
      </c>
      <c r="T265" s="36">
        <f>IFERROR(VLOOKUP(A265,滿意度調查!$B$4:$D$570,3,FALSE),"")</f>
        <v>5</v>
      </c>
      <c r="U265" s="35" t="str">
        <f t="shared" si="24"/>
        <v>2026-05</v>
      </c>
      <c r="V265" s="38">
        <f>IF(J265="已結案",0,(使用說明!$B$7-B265)*24)</f>
        <v>0</v>
      </c>
    </row>
    <row r="266" spans="1:22">
      <c r="A266" s="32" t="s">
        <v>714</v>
      </c>
      <c r="B266" s="33">
        <v>46149.356944444444</v>
      </c>
      <c r="C266" s="34" t="s">
        <v>481</v>
      </c>
      <c r="D266" s="34" t="s">
        <v>218</v>
      </c>
      <c r="E266" s="34" t="s">
        <v>211</v>
      </c>
      <c r="F266" s="34" t="s">
        <v>212</v>
      </c>
      <c r="G266" s="34" t="s">
        <v>242</v>
      </c>
      <c r="H266" s="34" t="s">
        <v>305</v>
      </c>
      <c r="I266" s="35" t="str">
        <f>VLOOKUP(H266,人員與團隊!$A$4:$D$27,3,FALSE)</f>
        <v>線上服務</v>
      </c>
      <c r="J266" s="34" t="s">
        <v>215</v>
      </c>
      <c r="K266" s="33">
        <v>46149.609722222223</v>
      </c>
      <c r="L266" s="33">
        <v>46149.597044502312</v>
      </c>
      <c r="M266" s="36">
        <f t="shared" si="20"/>
        <v>364.00000000256114</v>
      </c>
      <c r="N266" s="37">
        <f t="shared" si="21"/>
        <v>5.7624013888416812</v>
      </c>
      <c r="O266" s="36">
        <f>VLOOKUP(G266,SLA標準!$A$4:$C$7,2,FALSE)</f>
        <v>240</v>
      </c>
      <c r="P266" s="37">
        <f>VLOOKUP(G266,SLA標準!$A$4:$C$7,3,FALSE)</f>
        <v>24</v>
      </c>
      <c r="Q266" s="35" t="str">
        <f t="shared" si="22"/>
        <v>逾期</v>
      </c>
      <c r="R266" s="34" t="s">
        <v>47</v>
      </c>
      <c r="S266" s="35" t="str">
        <f t="shared" si="23"/>
        <v>是</v>
      </c>
      <c r="T266" s="36">
        <f>IFERROR(VLOOKUP(A266,滿意度調查!$B$4:$D$570,3,FALSE),"")</f>
        <v>3</v>
      </c>
      <c r="U266" s="35" t="str">
        <f t="shared" si="24"/>
        <v>2026-05</v>
      </c>
      <c r="V266" s="38">
        <f>IF(J266="已結案",0,(使用說明!$B$7-B266)*24)</f>
        <v>0</v>
      </c>
    </row>
    <row r="267" spans="1:22">
      <c r="A267" s="32" t="s">
        <v>715</v>
      </c>
      <c r="B267" s="33">
        <v>46149.375</v>
      </c>
      <c r="C267" s="34" t="s">
        <v>510</v>
      </c>
      <c r="D267" s="34" t="s">
        <v>240</v>
      </c>
      <c r="E267" s="34" t="s">
        <v>265</v>
      </c>
      <c r="F267" s="34" t="s">
        <v>266</v>
      </c>
      <c r="G267" s="34" t="s">
        <v>242</v>
      </c>
      <c r="H267" s="34" t="s">
        <v>232</v>
      </c>
      <c r="I267" s="35" t="str">
        <f>VLOOKUP(H267,人員與團隊!$A$4:$D$27,3,FALSE)</f>
        <v>北區服務</v>
      </c>
      <c r="J267" s="34" t="s">
        <v>215</v>
      </c>
      <c r="K267" s="33">
        <v>46149.567361111112</v>
      </c>
      <c r="L267" s="33">
        <v>46149.877208171296</v>
      </c>
      <c r="M267" s="36">
        <f t="shared" si="20"/>
        <v>277.00000000186265</v>
      </c>
      <c r="N267" s="37">
        <f t="shared" si="21"/>
        <v>12.052996111102402</v>
      </c>
      <c r="O267" s="36">
        <f>VLOOKUP(G267,SLA標準!$A$4:$C$7,2,FALSE)</f>
        <v>240</v>
      </c>
      <c r="P267" s="37">
        <f>VLOOKUP(G267,SLA標準!$A$4:$C$7,3,FALSE)</f>
        <v>24</v>
      </c>
      <c r="Q267" s="35" t="str">
        <f t="shared" si="22"/>
        <v>逾期</v>
      </c>
      <c r="R267" s="34" t="s">
        <v>47</v>
      </c>
      <c r="S267" s="35" t="str">
        <f t="shared" si="23"/>
        <v>是</v>
      </c>
      <c r="T267" s="36">
        <f>IFERROR(VLOOKUP(A267,滿意度調查!$B$4:$D$570,3,FALSE),"")</f>
        <v>4</v>
      </c>
      <c r="U267" s="35" t="str">
        <f t="shared" si="24"/>
        <v>2026-05</v>
      </c>
      <c r="V267" s="38">
        <f>IF(J267="已結案",0,(使用說明!$B$7-B267)*24)</f>
        <v>0</v>
      </c>
    </row>
    <row r="268" spans="1:22">
      <c r="A268" s="32" t="s">
        <v>716</v>
      </c>
      <c r="B268" s="33">
        <v>46149.394444444442</v>
      </c>
      <c r="C268" s="34" t="s">
        <v>662</v>
      </c>
      <c r="D268" s="34" t="s">
        <v>210</v>
      </c>
      <c r="E268" s="34" t="s">
        <v>265</v>
      </c>
      <c r="F268" s="34" t="s">
        <v>301</v>
      </c>
      <c r="G268" s="34" t="s">
        <v>242</v>
      </c>
      <c r="H268" s="34" t="s">
        <v>232</v>
      </c>
      <c r="I268" s="35" t="str">
        <f>VLOOKUP(H268,人員與團隊!$A$4:$D$27,3,FALSE)</f>
        <v>北區服務</v>
      </c>
      <c r="J268" s="34" t="s">
        <v>215</v>
      </c>
      <c r="K268" s="33">
        <v>46149.463194444441</v>
      </c>
      <c r="L268" s="33">
        <v>46150.348194467595</v>
      </c>
      <c r="M268" s="36">
        <f t="shared" si="20"/>
        <v>98.999999997904524</v>
      </c>
      <c r="N268" s="37">
        <f t="shared" si="21"/>
        <v>22.890000555664301</v>
      </c>
      <c r="O268" s="36">
        <f>VLOOKUP(G268,SLA標準!$A$4:$C$7,2,FALSE)</f>
        <v>240</v>
      </c>
      <c r="P268" s="37">
        <f>VLOOKUP(G268,SLA標準!$A$4:$C$7,3,FALSE)</f>
        <v>24</v>
      </c>
      <c r="Q268" s="35" t="str">
        <f t="shared" si="22"/>
        <v>達標</v>
      </c>
      <c r="R268" s="34" t="s">
        <v>41</v>
      </c>
      <c r="S268" s="35" t="str">
        <f t="shared" si="23"/>
        <v>是</v>
      </c>
      <c r="T268" s="36">
        <f>IFERROR(VLOOKUP(A268,滿意度調查!$B$4:$D$570,3,FALSE),"")</f>
        <v>4</v>
      </c>
      <c r="U268" s="35" t="str">
        <f t="shared" si="24"/>
        <v>2026-05</v>
      </c>
      <c r="V268" s="38">
        <f>IF(J268="已結案",0,(使用說明!$B$7-B268)*24)</f>
        <v>0</v>
      </c>
    </row>
    <row r="269" spans="1:22">
      <c r="A269" s="32" t="s">
        <v>717</v>
      </c>
      <c r="B269" s="33">
        <v>46149.397222222222</v>
      </c>
      <c r="C269" s="34" t="s">
        <v>711</v>
      </c>
      <c r="D269" s="34" t="s">
        <v>240</v>
      </c>
      <c r="E269" s="34" t="s">
        <v>230</v>
      </c>
      <c r="F269" s="34" t="s">
        <v>320</v>
      </c>
      <c r="G269" s="34" t="s">
        <v>350</v>
      </c>
      <c r="H269" s="34" t="s">
        <v>250</v>
      </c>
      <c r="I269" s="35" t="str">
        <f>VLOOKUP(H269,人員與團隊!$A$4:$D$27,3,FALSE)</f>
        <v>南區服務</v>
      </c>
      <c r="J269" s="34" t="s">
        <v>215</v>
      </c>
      <c r="K269" s="33">
        <v>46149.423611111109</v>
      </c>
      <c r="L269" s="33">
        <v>46149.983970266207</v>
      </c>
      <c r="M269" s="36">
        <f t="shared" si="20"/>
        <v>37.999999998137355</v>
      </c>
      <c r="N269" s="37">
        <f t="shared" si="21"/>
        <v>14.081953055632766</v>
      </c>
      <c r="O269" s="36">
        <f>VLOOKUP(G269,SLA標準!$A$4:$C$7,2,FALSE)</f>
        <v>30</v>
      </c>
      <c r="P269" s="37">
        <f>VLOOKUP(G269,SLA標準!$A$4:$C$7,3,FALSE)</f>
        <v>4</v>
      </c>
      <c r="Q269" s="35" t="str">
        <f t="shared" si="22"/>
        <v>逾期</v>
      </c>
      <c r="R269" s="34" t="s">
        <v>47</v>
      </c>
      <c r="S269" s="35" t="str">
        <f t="shared" si="23"/>
        <v>是</v>
      </c>
      <c r="T269" s="36">
        <f>IFERROR(VLOOKUP(A269,滿意度調查!$B$4:$D$570,3,FALSE),"")</f>
        <v>2</v>
      </c>
      <c r="U269" s="35" t="str">
        <f t="shared" si="24"/>
        <v>2026-05</v>
      </c>
      <c r="V269" s="38">
        <f>IF(J269="已結案",0,(使用說明!$B$7-B269)*24)</f>
        <v>0</v>
      </c>
    </row>
    <row r="270" spans="1:22">
      <c r="A270" s="32" t="s">
        <v>718</v>
      </c>
      <c r="B270" s="33">
        <v>46149.477083333331</v>
      </c>
      <c r="C270" s="34" t="s">
        <v>398</v>
      </c>
      <c r="D270" s="34" t="s">
        <v>225</v>
      </c>
      <c r="E270" s="34" t="s">
        <v>211</v>
      </c>
      <c r="F270" s="34" t="s">
        <v>334</v>
      </c>
      <c r="G270" s="34" t="s">
        <v>221</v>
      </c>
      <c r="H270" s="34" t="s">
        <v>262</v>
      </c>
      <c r="I270" s="35" t="str">
        <f>VLOOKUP(H270,人員與團隊!$A$4:$D$27,3,FALSE)</f>
        <v>南區服務</v>
      </c>
      <c r="J270" s="34" t="s">
        <v>215</v>
      </c>
      <c r="K270" s="33">
        <v>46149.50277777778</v>
      </c>
      <c r="L270" s="33">
        <v>46149.581617152777</v>
      </c>
      <c r="M270" s="36">
        <f t="shared" si="20"/>
        <v>37.000000005355105</v>
      </c>
      <c r="N270" s="37">
        <f t="shared" si="21"/>
        <v>2.5088116666884162</v>
      </c>
      <c r="O270" s="36">
        <f>VLOOKUP(G270,SLA標準!$A$4:$C$7,2,FALSE)</f>
        <v>60</v>
      </c>
      <c r="P270" s="37">
        <f>VLOOKUP(G270,SLA標準!$A$4:$C$7,3,FALSE)</f>
        <v>8</v>
      </c>
      <c r="Q270" s="35" t="str">
        <f t="shared" si="22"/>
        <v>達標</v>
      </c>
      <c r="R270" s="34" t="s">
        <v>47</v>
      </c>
      <c r="S270" s="35" t="str">
        <f t="shared" si="23"/>
        <v>否</v>
      </c>
      <c r="T270" s="36" t="str">
        <f>IFERROR(VLOOKUP(A270,滿意度調查!$B$4:$D$570,3,FALSE),"")</f>
        <v/>
      </c>
      <c r="U270" s="35" t="str">
        <f t="shared" si="24"/>
        <v>2026-05</v>
      </c>
      <c r="V270" s="38">
        <f>IF(J270="已結案",0,(使用說明!$B$7-B270)*24)</f>
        <v>0</v>
      </c>
    </row>
    <row r="271" spans="1:22">
      <c r="A271" s="32" t="s">
        <v>719</v>
      </c>
      <c r="B271" s="33">
        <v>46149.68472222222</v>
      </c>
      <c r="C271" s="34" t="s">
        <v>720</v>
      </c>
      <c r="D271" s="34" t="s">
        <v>210</v>
      </c>
      <c r="E271" s="34" t="s">
        <v>245</v>
      </c>
      <c r="F271" s="34" t="s">
        <v>278</v>
      </c>
      <c r="G271" s="34" t="s">
        <v>221</v>
      </c>
      <c r="H271" s="34" t="s">
        <v>285</v>
      </c>
      <c r="I271" s="35" t="str">
        <f>VLOOKUP(H271,人員與團隊!$A$4:$D$27,3,FALSE)</f>
        <v>線上服務</v>
      </c>
      <c r="J271" s="34" t="s">
        <v>215</v>
      </c>
      <c r="K271" s="33">
        <v>46149.699305555558</v>
      </c>
      <c r="L271" s="33">
        <v>46150.353527094907</v>
      </c>
      <c r="M271" s="36">
        <f t="shared" si="20"/>
        <v>21.000000005587935</v>
      </c>
      <c r="N271" s="37">
        <f t="shared" si="21"/>
        <v>16.05131694447482</v>
      </c>
      <c r="O271" s="36">
        <f>VLOOKUP(G271,SLA標準!$A$4:$C$7,2,FALSE)</f>
        <v>60</v>
      </c>
      <c r="P271" s="37">
        <f>VLOOKUP(G271,SLA標準!$A$4:$C$7,3,FALSE)</f>
        <v>8</v>
      </c>
      <c r="Q271" s="35" t="str">
        <f t="shared" si="22"/>
        <v>逾期</v>
      </c>
      <c r="R271" s="34" t="s">
        <v>47</v>
      </c>
      <c r="S271" s="35" t="str">
        <f t="shared" si="23"/>
        <v>是</v>
      </c>
      <c r="T271" s="36">
        <f>IFERROR(VLOOKUP(A271,滿意度調查!$B$4:$D$570,3,FALSE),"")</f>
        <v>3</v>
      </c>
      <c r="U271" s="35" t="str">
        <f t="shared" si="24"/>
        <v>2026-05</v>
      </c>
      <c r="V271" s="38">
        <f>IF(J271="已結案",0,(使用說明!$B$7-B271)*24)</f>
        <v>0</v>
      </c>
    </row>
    <row r="272" spans="1:22">
      <c r="A272" s="32" t="s">
        <v>721</v>
      </c>
      <c r="B272" s="33">
        <v>46149.744444444441</v>
      </c>
      <c r="C272" s="34" t="s">
        <v>281</v>
      </c>
      <c r="D272" s="34" t="s">
        <v>210</v>
      </c>
      <c r="E272" s="34" t="s">
        <v>245</v>
      </c>
      <c r="F272" s="34" t="s">
        <v>358</v>
      </c>
      <c r="G272" s="34" t="s">
        <v>221</v>
      </c>
      <c r="H272" s="34" t="s">
        <v>237</v>
      </c>
      <c r="I272" s="35" t="str">
        <f>VLOOKUP(H272,人員與團隊!$A$4:$D$27,3,FALSE)</f>
        <v>北區服務</v>
      </c>
      <c r="J272" s="34" t="s">
        <v>215</v>
      </c>
      <c r="K272" s="33">
        <v>46149.759722222225</v>
      </c>
      <c r="L272" s="33">
        <v>46150.677667696757</v>
      </c>
      <c r="M272" s="36">
        <f t="shared" si="20"/>
        <v>22.000000008847564</v>
      </c>
      <c r="N272" s="37">
        <f t="shared" si="21"/>
        <v>22.397358055575751</v>
      </c>
      <c r="O272" s="36">
        <f>VLOOKUP(G272,SLA標準!$A$4:$C$7,2,FALSE)</f>
        <v>60</v>
      </c>
      <c r="P272" s="37">
        <f>VLOOKUP(G272,SLA標準!$A$4:$C$7,3,FALSE)</f>
        <v>8</v>
      </c>
      <c r="Q272" s="35" t="str">
        <f t="shared" si="22"/>
        <v>逾期</v>
      </c>
      <c r="R272" s="34" t="s">
        <v>41</v>
      </c>
      <c r="S272" s="35" t="str">
        <f t="shared" si="23"/>
        <v>是</v>
      </c>
      <c r="T272" s="36">
        <f>IFERROR(VLOOKUP(A272,滿意度調查!$B$4:$D$570,3,FALSE),"")</f>
        <v>2</v>
      </c>
      <c r="U272" s="35" t="str">
        <f t="shared" si="24"/>
        <v>2026-05</v>
      </c>
      <c r="V272" s="38">
        <f>IF(J272="已結案",0,(使用說明!$B$7-B272)*24)</f>
        <v>0</v>
      </c>
    </row>
    <row r="273" spans="1:22">
      <c r="A273" s="32" t="s">
        <v>722</v>
      </c>
      <c r="B273" s="33">
        <v>46150.384027777778</v>
      </c>
      <c r="C273" s="34" t="s">
        <v>508</v>
      </c>
      <c r="D273" s="34" t="s">
        <v>218</v>
      </c>
      <c r="E273" s="34" t="s">
        <v>219</v>
      </c>
      <c r="F273" s="34" t="s">
        <v>220</v>
      </c>
      <c r="G273" s="34" t="s">
        <v>242</v>
      </c>
      <c r="H273" s="34" t="s">
        <v>340</v>
      </c>
      <c r="I273" s="35" t="str">
        <f>VLOOKUP(H273,人員與團隊!$A$4:$D$27,3,FALSE)</f>
        <v>北區服務</v>
      </c>
      <c r="J273" s="34" t="s">
        <v>356</v>
      </c>
      <c r="K273" s="33">
        <v>46150.615972222222</v>
      </c>
      <c r="L273" s="33"/>
      <c r="M273" s="36">
        <f t="shared" si="20"/>
        <v>333.99999999906868</v>
      </c>
      <c r="N273" s="37" t="str">
        <f t="shared" si="21"/>
        <v/>
      </c>
      <c r="O273" s="36">
        <f>VLOOKUP(G273,SLA標準!$A$4:$C$7,2,FALSE)</f>
        <v>240</v>
      </c>
      <c r="P273" s="37">
        <f>VLOOKUP(G273,SLA標準!$A$4:$C$7,3,FALSE)</f>
        <v>24</v>
      </c>
      <c r="Q273" s="35" t="str">
        <f t="shared" si="22"/>
        <v>逾期</v>
      </c>
      <c r="R273" s="34" t="s">
        <v>47</v>
      </c>
      <c r="S273" s="35" t="str">
        <f t="shared" si="23"/>
        <v>否</v>
      </c>
      <c r="T273" s="36" t="str">
        <f>IFERROR(VLOOKUP(A273,滿意度調查!$B$4:$D$570,3,FALSE),"")</f>
        <v/>
      </c>
      <c r="U273" s="35" t="str">
        <f t="shared" si="24"/>
        <v>2026-05</v>
      </c>
      <c r="V273" s="38">
        <f>IF(J273="已結案",0,(使用說明!$B$7-B273)*24)</f>
        <v>1295.7833333333256</v>
      </c>
    </row>
    <row r="274" spans="1:22">
      <c r="A274" s="32" t="s">
        <v>723</v>
      </c>
      <c r="B274" s="33">
        <v>46150.446527777778</v>
      </c>
      <c r="C274" s="34" t="s">
        <v>620</v>
      </c>
      <c r="D274" s="34" t="s">
        <v>210</v>
      </c>
      <c r="E274" s="34" t="s">
        <v>230</v>
      </c>
      <c r="F274" s="34" t="s">
        <v>320</v>
      </c>
      <c r="G274" s="34" t="s">
        <v>221</v>
      </c>
      <c r="H274" s="34" t="s">
        <v>310</v>
      </c>
      <c r="I274" s="35" t="str">
        <f>VLOOKUP(H274,人員與團隊!$A$4:$D$27,3,FALSE)</f>
        <v>線上服務</v>
      </c>
      <c r="J274" s="34" t="s">
        <v>215</v>
      </c>
      <c r="K274" s="33">
        <v>46150.453472222223</v>
      </c>
      <c r="L274" s="33">
        <v>46150.814334143521</v>
      </c>
      <c r="M274" s="36">
        <f t="shared" si="20"/>
        <v>10.000000001164153</v>
      </c>
      <c r="N274" s="37">
        <f t="shared" si="21"/>
        <v>8.8273527778219432</v>
      </c>
      <c r="O274" s="36">
        <f>VLOOKUP(G274,SLA標準!$A$4:$C$7,2,FALSE)</f>
        <v>60</v>
      </c>
      <c r="P274" s="37">
        <f>VLOOKUP(G274,SLA標準!$A$4:$C$7,3,FALSE)</f>
        <v>8</v>
      </c>
      <c r="Q274" s="35" t="str">
        <f t="shared" si="22"/>
        <v>逾期</v>
      </c>
      <c r="R274" s="34" t="s">
        <v>47</v>
      </c>
      <c r="S274" s="35" t="str">
        <f t="shared" si="23"/>
        <v>是</v>
      </c>
      <c r="T274" s="36">
        <f>IFERROR(VLOOKUP(A274,滿意度調查!$B$4:$D$570,3,FALSE),"")</f>
        <v>3</v>
      </c>
      <c r="U274" s="35" t="str">
        <f t="shared" si="24"/>
        <v>2026-05</v>
      </c>
      <c r="V274" s="38">
        <f>IF(J274="已結案",0,(使用說明!$B$7-B274)*24)</f>
        <v>0</v>
      </c>
    </row>
    <row r="275" spans="1:22">
      <c r="A275" s="32" t="s">
        <v>724</v>
      </c>
      <c r="B275" s="33">
        <v>46150.51666666667</v>
      </c>
      <c r="C275" s="34" t="s">
        <v>725</v>
      </c>
      <c r="D275" s="34" t="s">
        <v>210</v>
      </c>
      <c r="E275" s="34" t="s">
        <v>219</v>
      </c>
      <c r="F275" s="34" t="s">
        <v>371</v>
      </c>
      <c r="G275" s="34" t="s">
        <v>213</v>
      </c>
      <c r="H275" s="34" t="s">
        <v>232</v>
      </c>
      <c r="I275" s="35" t="str">
        <f>VLOOKUP(H275,人員與團隊!$A$4:$D$27,3,FALSE)</f>
        <v>北區服務</v>
      </c>
      <c r="J275" s="34" t="s">
        <v>215</v>
      </c>
      <c r="K275" s="33">
        <v>46150.584722222222</v>
      </c>
      <c r="L275" s="33">
        <v>46151.428857395833</v>
      </c>
      <c r="M275" s="36">
        <f t="shared" si="20"/>
        <v>97.999999994644895</v>
      </c>
      <c r="N275" s="37">
        <f t="shared" si="21"/>
        <v>21.892577499907929</v>
      </c>
      <c r="O275" s="36">
        <f>VLOOKUP(G275,SLA標準!$A$4:$C$7,2,FALSE)</f>
        <v>480</v>
      </c>
      <c r="P275" s="37">
        <f>VLOOKUP(G275,SLA標準!$A$4:$C$7,3,FALSE)</f>
        <v>48</v>
      </c>
      <c r="Q275" s="35" t="str">
        <f t="shared" si="22"/>
        <v>達標</v>
      </c>
      <c r="R275" s="34" t="s">
        <v>47</v>
      </c>
      <c r="S275" s="35" t="str">
        <f t="shared" si="23"/>
        <v>是</v>
      </c>
      <c r="T275" s="36">
        <f>IFERROR(VLOOKUP(A275,滿意度調查!$B$4:$D$570,3,FALSE),"")</f>
        <v>5</v>
      </c>
      <c r="U275" s="35" t="str">
        <f t="shared" si="24"/>
        <v>2026-05</v>
      </c>
      <c r="V275" s="38">
        <f>IF(J275="已結案",0,(使用說明!$B$7-B275)*24)</f>
        <v>0</v>
      </c>
    </row>
    <row r="276" spans="1:22">
      <c r="A276" s="32" t="s">
        <v>726</v>
      </c>
      <c r="B276" s="33">
        <v>46150.564583333333</v>
      </c>
      <c r="C276" s="34" t="s">
        <v>727</v>
      </c>
      <c r="D276" s="34" t="s">
        <v>210</v>
      </c>
      <c r="E276" s="34" t="s">
        <v>219</v>
      </c>
      <c r="F276" s="34" t="s">
        <v>371</v>
      </c>
      <c r="G276" s="34" t="s">
        <v>242</v>
      </c>
      <c r="H276" s="34" t="s">
        <v>232</v>
      </c>
      <c r="I276" s="35" t="str">
        <f>VLOOKUP(H276,人員與團隊!$A$4:$D$27,3,FALSE)</f>
        <v>北區服務</v>
      </c>
      <c r="J276" s="34" t="s">
        <v>215</v>
      </c>
      <c r="K276" s="33">
        <v>46150.613194444442</v>
      </c>
      <c r="L276" s="33">
        <v>46151.386114664354</v>
      </c>
      <c r="M276" s="36">
        <f t="shared" si="20"/>
        <v>69.999999997671694</v>
      </c>
      <c r="N276" s="37">
        <f t="shared" si="21"/>
        <v>19.716751944506541</v>
      </c>
      <c r="O276" s="36">
        <f>VLOOKUP(G276,SLA標準!$A$4:$C$7,2,FALSE)</f>
        <v>240</v>
      </c>
      <c r="P276" s="37">
        <f>VLOOKUP(G276,SLA標準!$A$4:$C$7,3,FALSE)</f>
        <v>24</v>
      </c>
      <c r="Q276" s="35" t="str">
        <f t="shared" si="22"/>
        <v>達標</v>
      </c>
      <c r="R276" s="34" t="s">
        <v>41</v>
      </c>
      <c r="S276" s="35" t="str">
        <f t="shared" si="23"/>
        <v>是</v>
      </c>
      <c r="T276" s="36">
        <f>IFERROR(VLOOKUP(A276,滿意度調查!$B$4:$D$570,3,FALSE),"")</f>
        <v>4</v>
      </c>
      <c r="U276" s="35" t="str">
        <f t="shared" si="24"/>
        <v>2026-05</v>
      </c>
      <c r="V276" s="38">
        <f>IF(J276="已結案",0,(使用說明!$B$7-B276)*24)</f>
        <v>0</v>
      </c>
    </row>
    <row r="277" spans="1:22">
      <c r="A277" s="32" t="s">
        <v>728</v>
      </c>
      <c r="B277" s="33">
        <v>46150.619444444441</v>
      </c>
      <c r="C277" s="34" t="s">
        <v>729</v>
      </c>
      <c r="D277" s="34" t="s">
        <v>240</v>
      </c>
      <c r="E277" s="34" t="s">
        <v>230</v>
      </c>
      <c r="F277" s="34" t="s">
        <v>320</v>
      </c>
      <c r="G277" s="34" t="s">
        <v>242</v>
      </c>
      <c r="H277" s="34" t="s">
        <v>222</v>
      </c>
      <c r="I277" s="35" t="str">
        <f>VLOOKUP(H277,人員與團隊!$A$4:$D$27,3,FALSE)</f>
        <v>北區服務</v>
      </c>
      <c r="J277" s="34" t="s">
        <v>215</v>
      </c>
      <c r="K277" s="33">
        <v>46150.813194444447</v>
      </c>
      <c r="L277" s="33">
        <v>46151.792092511576</v>
      </c>
      <c r="M277" s="36">
        <f t="shared" si="20"/>
        <v>279.0000000083819</v>
      </c>
      <c r="N277" s="37">
        <f t="shared" si="21"/>
        <v>28.14355361124035</v>
      </c>
      <c r="O277" s="36">
        <f>VLOOKUP(G277,SLA標準!$A$4:$C$7,2,FALSE)</f>
        <v>240</v>
      </c>
      <c r="P277" s="37">
        <f>VLOOKUP(G277,SLA標準!$A$4:$C$7,3,FALSE)</f>
        <v>24</v>
      </c>
      <c r="Q277" s="35" t="str">
        <f t="shared" si="22"/>
        <v>逾期</v>
      </c>
      <c r="R277" s="34" t="s">
        <v>47</v>
      </c>
      <c r="S277" s="35" t="str">
        <f t="shared" si="23"/>
        <v>否</v>
      </c>
      <c r="T277" s="36" t="str">
        <f>IFERROR(VLOOKUP(A277,滿意度調查!$B$4:$D$570,3,FALSE),"")</f>
        <v/>
      </c>
      <c r="U277" s="35" t="str">
        <f t="shared" si="24"/>
        <v>2026-05</v>
      </c>
      <c r="V277" s="38">
        <f>IF(J277="已結案",0,(使用說明!$B$7-B277)*24)</f>
        <v>0</v>
      </c>
    </row>
    <row r="278" spans="1:22">
      <c r="A278" s="32" t="s">
        <v>730</v>
      </c>
      <c r="B278" s="33">
        <v>46150.621527777781</v>
      </c>
      <c r="C278" s="34" t="s">
        <v>476</v>
      </c>
      <c r="D278" s="34" t="s">
        <v>218</v>
      </c>
      <c r="E278" s="34" t="s">
        <v>265</v>
      </c>
      <c r="F278" s="34" t="s">
        <v>266</v>
      </c>
      <c r="G278" s="34" t="s">
        <v>221</v>
      </c>
      <c r="H278" s="34" t="s">
        <v>315</v>
      </c>
      <c r="I278" s="35" t="str">
        <f>VLOOKUP(H278,人員與團隊!$A$4:$D$27,3,FALSE)</f>
        <v>北區服務</v>
      </c>
      <c r="J278" s="34" t="s">
        <v>215</v>
      </c>
      <c r="K278" s="33">
        <v>46150.655555555553</v>
      </c>
      <c r="L278" s="33">
        <v>46151.476805787039</v>
      </c>
      <c r="M278" s="36">
        <f t="shared" si="20"/>
        <v>48.999999992083758</v>
      </c>
      <c r="N278" s="37">
        <f t="shared" si="21"/>
        <v>20.52667222218588</v>
      </c>
      <c r="O278" s="36">
        <f>VLOOKUP(G278,SLA標準!$A$4:$C$7,2,FALSE)</f>
        <v>60</v>
      </c>
      <c r="P278" s="37">
        <f>VLOOKUP(G278,SLA標準!$A$4:$C$7,3,FALSE)</f>
        <v>8</v>
      </c>
      <c r="Q278" s="35" t="str">
        <f t="shared" si="22"/>
        <v>逾期</v>
      </c>
      <c r="R278" s="34" t="s">
        <v>47</v>
      </c>
      <c r="S278" s="35" t="str">
        <f t="shared" si="23"/>
        <v>是</v>
      </c>
      <c r="T278" s="36">
        <f>IFERROR(VLOOKUP(A278,滿意度調查!$B$4:$D$570,3,FALSE),"")</f>
        <v>3</v>
      </c>
      <c r="U278" s="35" t="str">
        <f t="shared" si="24"/>
        <v>2026-05</v>
      </c>
      <c r="V278" s="38">
        <f>IF(J278="已結案",0,(使用說明!$B$7-B278)*24)</f>
        <v>0</v>
      </c>
    </row>
    <row r="279" spans="1:22">
      <c r="A279" s="32" t="s">
        <v>731</v>
      </c>
      <c r="B279" s="33">
        <v>46150.688888888886</v>
      </c>
      <c r="C279" s="34" t="s">
        <v>605</v>
      </c>
      <c r="D279" s="34" t="s">
        <v>225</v>
      </c>
      <c r="E279" s="34" t="s">
        <v>235</v>
      </c>
      <c r="F279" s="34" t="s">
        <v>236</v>
      </c>
      <c r="G279" s="34" t="s">
        <v>242</v>
      </c>
      <c r="H279" s="34" t="s">
        <v>361</v>
      </c>
      <c r="I279" s="35" t="str">
        <f>VLOOKUP(H279,人員與團隊!$A$4:$D$27,3,FALSE)</f>
        <v>南區服務</v>
      </c>
      <c r="J279" s="34" t="s">
        <v>215</v>
      </c>
      <c r="K279" s="33">
        <v>46150.800694444442</v>
      </c>
      <c r="L279" s="33">
        <v>46150.961708043978</v>
      </c>
      <c r="M279" s="36">
        <f t="shared" si="20"/>
        <v>161.00000000093132</v>
      </c>
      <c r="N279" s="37">
        <f t="shared" si="21"/>
        <v>6.5476597222150303</v>
      </c>
      <c r="O279" s="36">
        <f>VLOOKUP(G279,SLA標準!$A$4:$C$7,2,FALSE)</f>
        <v>240</v>
      </c>
      <c r="P279" s="37">
        <f>VLOOKUP(G279,SLA標準!$A$4:$C$7,3,FALSE)</f>
        <v>24</v>
      </c>
      <c r="Q279" s="35" t="str">
        <f t="shared" si="22"/>
        <v>達標</v>
      </c>
      <c r="R279" s="34" t="s">
        <v>47</v>
      </c>
      <c r="S279" s="35" t="str">
        <f t="shared" si="23"/>
        <v>否</v>
      </c>
      <c r="T279" s="36" t="str">
        <f>IFERROR(VLOOKUP(A279,滿意度調查!$B$4:$D$570,3,FALSE),"")</f>
        <v/>
      </c>
      <c r="U279" s="35" t="str">
        <f t="shared" si="24"/>
        <v>2026-05</v>
      </c>
      <c r="V279" s="38">
        <f>IF(J279="已結案",0,(使用說明!$B$7-B279)*24)</f>
        <v>0</v>
      </c>
    </row>
    <row r="280" spans="1:22">
      <c r="A280" s="32" t="s">
        <v>732</v>
      </c>
      <c r="B280" s="33">
        <v>46150.699305555558</v>
      </c>
      <c r="C280" s="34" t="s">
        <v>443</v>
      </c>
      <c r="D280" s="34" t="s">
        <v>210</v>
      </c>
      <c r="E280" s="34" t="s">
        <v>211</v>
      </c>
      <c r="F280" s="34" t="s">
        <v>212</v>
      </c>
      <c r="G280" s="34" t="s">
        <v>242</v>
      </c>
      <c r="H280" s="34" t="s">
        <v>267</v>
      </c>
      <c r="I280" s="35" t="str">
        <f>VLOOKUP(H280,人員與團隊!$A$4:$D$27,3,FALSE)</f>
        <v>南區服務</v>
      </c>
      <c r="J280" s="34" t="s">
        <v>215</v>
      </c>
      <c r="K280" s="33">
        <v>46150.795138888891</v>
      </c>
      <c r="L280" s="33">
        <v>46150.898185625003</v>
      </c>
      <c r="M280" s="36">
        <f t="shared" si="20"/>
        <v>137.99999999930151</v>
      </c>
      <c r="N280" s="37">
        <f t="shared" si="21"/>
        <v>4.773121666687075</v>
      </c>
      <c r="O280" s="36">
        <f>VLOOKUP(G280,SLA標準!$A$4:$C$7,2,FALSE)</f>
        <v>240</v>
      </c>
      <c r="P280" s="37">
        <f>VLOOKUP(G280,SLA標準!$A$4:$C$7,3,FALSE)</f>
        <v>24</v>
      </c>
      <c r="Q280" s="35" t="str">
        <f t="shared" si="22"/>
        <v>達標</v>
      </c>
      <c r="R280" s="34" t="s">
        <v>41</v>
      </c>
      <c r="S280" s="35" t="str">
        <f t="shared" si="23"/>
        <v>是</v>
      </c>
      <c r="T280" s="36">
        <f>IFERROR(VLOOKUP(A280,滿意度調查!$B$4:$D$570,3,FALSE),"")</f>
        <v>4</v>
      </c>
      <c r="U280" s="35" t="str">
        <f t="shared" si="24"/>
        <v>2026-05</v>
      </c>
      <c r="V280" s="38">
        <f>IF(J280="已結案",0,(使用說明!$B$7-B280)*24)</f>
        <v>0</v>
      </c>
    </row>
    <row r="281" spans="1:22">
      <c r="A281" s="32" t="s">
        <v>733</v>
      </c>
      <c r="B281" s="33">
        <v>46150.843055555553</v>
      </c>
      <c r="C281" s="34" t="s">
        <v>564</v>
      </c>
      <c r="D281" s="34" t="s">
        <v>218</v>
      </c>
      <c r="E281" s="34" t="s">
        <v>265</v>
      </c>
      <c r="F281" s="34" t="s">
        <v>304</v>
      </c>
      <c r="G281" s="34" t="s">
        <v>221</v>
      </c>
      <c r="H281" s="34" t="s">
        <v>279</v>
      </c>
      <c r="I281" s="35" t="str">
        <f>VLOOKUP(H281,人員與團隊!$A$4:$D$27,3,FALSE)</f>
        <v>南區服務</v>
      </c>
      <c r="J281" s="34" t="s">
        <v>215</v>
      </c>
      <c r="K281" s="33">
        <v>46150.898611111108</v>
      </c>
      <c r="L281" s="33">
        <v>46151.402540914351</v>
      </c>
      <c r="M281" s="36">
        <f t="shared" si="20"/>
        <v>79.999999998835847</v>
      </c>
      <c r="N281" s="37">
        <f t="shared" si="21"/>
        <v>13.427648611133918</v>
      </c>
      <c r="O281" s="36">
        <f>VLOOKUP(G281,SLA標準!$A$4:$C$7,2,FALSE)</f>
        <v>60</v>
      </c>
      <c r="P281" s="37">
        <f>VLOOKUP(G281,SLA標準!$A$4:$C$7,3,FALSE)</f>
        <v>8</v>
      </c>
      <c r="Q281" s="35" t="str">
        <f t="shared" si="22"/>
        <v>逾期</v>
      </c>
      <c r="R281" s="34" t="s">
        <v>47</v>
      </c>
      <c r="S281" s="35" t="str">
        <f t="shared" si="23"/>
        <v>是</v>
      </c>
      <c r="T281" s="36">
        <f>IFERROR(VLOOKUP(A281,滿意度調查!$B$4:$D$570,3,FALSE),"")</f>
        <v>3</v>
      </c>
      <c r="U281" s="35" t="str">
        <f t="shared" si="24"/>
        <v>2026-05</v>
      </c>
      <c r="V281" s="38">
        <f>IF(J281="已結案",0,(使用說明!$B$7-B281)*24)</f>
        <v>0</v>
      </c>
    </row>
    <row r="282" spans="1:22">
      <c r="A282" s="32" t="s">
        <v>734</v>
      </c>
      <c r="B282" s="33">
        <v>46150.864583333336</v>
      </c>
      <c r="C282" s="34" t="s">
        <v>438</v>
      </c>
      <c r="D282" s="34" t="s">
        <v>225</v>
      </c>
      <c r="E282" s="34" t="s">
        <v>230</v>
      </c>
      <c r="F282" s="34" t="s">
        <v>231</v>
      </c>
      <c r="G282" s="34" t="s">
        <v>242</v>
      </c>
      <c r="H282" s="34" t="s">
        <v>340</v>
      </c>
      <c r="I282" s="35" t="str">
        <f>VLOOKUP(H282,人員與團隊!$A$4:$D$27,3,FALSE)</f>
        <v>北區服務</v>
      </c>
      <c r="J282" s="34" t="s">
        <v>215</v>
      </c>
      <c r="K282" s="33">
        <v>46151.013888888891</v>
      </c>
      <c r="L282" s="33">
        <v>46152.205482500001</v>
      </c>
      <c r="M282" s="36">
        <f t="shared" si="20"/>
        <v>214.99999999883585</v>
      </c>
      <c r="N282" s="37">
        <f t="shared" si="21"/>
        <v>32.181579999974929</v>
      </c>
      <c r="O282" s="36">
        <f>VLOOKUP(G282,SLA標準!$A$4:$C$7,2,FALSE)</f>
        <v>240</v>
      </c>
      <c r="P282" s="37">
        <f>VLOOKUP(G282,SLA標準!$A$4:$C$7,3,FALSE)</f>
        <v>24</v>
      </c>
      <c r="Q282" s="35" t="str">
        <f t="shared" si="22"/>
        <v>逾期</v>
      </c>
      <c r="R282" s="34" t="s">
        <v>47</v>
      </c>
      <c r="S282" s="35" t="str">
        <f t="shared" si="23"/>
        <v>是</v>
      </c>
      <c r="T282" s="36">
        <f>IFERROR(VLOOKUP(A282,滿意度調查!$B$4:$D$570,3,FALSE),"")</f>
        <v>4</v>
      </c>
      <c r="U282" s="35" t="str">
        <f t="shared" si="24"/>
        <v>2026-05</v>
      </c>
      <c r="V282" s="38">
        <f>IF(J282="已結案",0,(使用說明!$B$7-B282)*24)</f>
        <v>0</v>
      </c>
    </row>
    <row r="283" spans="1:22">
      <c r="A283" s="32" t="s">
        <v>735</v>
      </c>
      <c r="B283" s="33">
        <v>46151.426388888889</v>
      </c>
      <c r="C283" s="34" t="s">
        <v>598</v>
      </c>
      <c r="D283" s="34" t="s">
        <v>218</v>
      </c>
      <c r="E283" s="34" t="s">
        <v>219</v>
      </c>
      <c r="F283" s="34" t="s">
        <v>257</v>
      </c>
      <c r="G283" s="34" t="s">
        <v>242</v>
      </c>
      <c r="H283" s="34" t="s">
        <v>315</v>
      </c>
      <c r="I283" s="35" t="str">
        <f>VLOOKUP(H283,人員與團隊!$A$4:$D$27,3,FALSE)</f>
        <v>北區服務</v>
      </c>
      <c r="J283" s="34" t="s">
        <v>215</v>
      </c>
      <c r="K283" s="33">
        <v>46151.647222222222</v>
      </c>
      <c r="L283" s="33">
        <v>46152.058614733796</v>
      </c>
      <c r="M283" s="36">
        <f t="shared" si="20"/>
        <v>317.99999999930151</v>
      </c>
      <c r="N283" s="37">
        <f t="shared" si="21"/>
        <v>15.173420277773403</v>
      </c>
      <c r="O283" s="36">
        <f>VLOOKUP(G283,SLA標準!$A$4:$C$7,2,FALSE)</f>
        <v>240</v>
      </c>
      <c r="P283" s="37">
        <f>VLOOKUP(G283,SLA標準!$A$4:$C$7,3,FALSE)</f>
        <v>24</v>
      </c>
      <c r="Q283" s="35" t="str">
        <f t="shared" si="22"/>
        <v>逾期</v>
      </c>
      <c r="R283" s="34" t="s">
        <v>47</v>
      </c>
      <c r="S283" s="35" t="str">
        <f t="shared" si="23"/>
        <v>否</v>
      </c>
      <c r="T283" s="36" t="str">
        <f>IFERROR(VLOOKUP(A283,滿意度調查!$B$4:$D$570,3,FALSE),"")</f>
        <v/>
      </c>
      <c r="U283" s="35" t="str">
        <f t="shared" si="24"/>
        <v>2026-05</v>
      </c>
      <c r="V283" s="38">
        <f>IF(J283="已結案",0,(使用說明!$B$7-B283)*24)</f>
        <v>0</v>
      </c>
    </row>
    <row r="284" spans="1:22">
      <c r="A284" s="32" t="s">
        <v>736</v>
      </c>
      <c r="B284" s="33">
        <v>46151.486805555556</v>
      </c>
      <c r="C284" s="34" t="s">
        <v>548</v>
      </c>
      <c r="D284" s="34" t="s">
        <v>218</v>
      </c>
      <c r="E284" s="34" t="s">
        <v>265</v>
      </c>
      <c r="F284" s="34" t="s">
        <v>479</v>
      </c>
      <c r="G284" s="34" t="s">
        <v>242</v>
      </c>
      <c r="H284" s="34" t="s">
        <v>305</v>
      </c>
      <c r="I284" s="35" t="str">
        <f>VLOOKUP(H284,人員與團隊!$A$4:$D$27,3,FALSE)</f>
        <v>線上服務</v>
      </c>
      <c r="J284" s="34" t="s">
        <v>215</v>
      </c>
      <c r="K284" s="33">
        <v>46151.690972222219</v>
      </c>
      <c r="L284" s="33">
        <v>46152.564040428239</v>
      </c>
      <c r="M284" s="36">
        <f t="shared" si="20"/>
        <v>293.99999999441206</v>
      </c>
      <c r="N284" s="37">
        <f t="shared" si="21"/>
        <v>25.853636944375467</v>
      </c>
      <c r="O284" s="36">
        <f>VLOOKUP(G284,SLA標準!$A$4:$C$7,2,FALSE)</f>
        <v>240</v>
      </c>
      <c r="P284" s="37">
        <f>VLOOKUP(G284,SLA標準!$A$4:$C$7,3,FALSE)</f>
        <v>24</v>
      </c>
      <c r="Q284" s="35" t="str">
        <f t="shared" si="22"/>
        <v>逾期</v>
      </c>
      <c r="R284" s="34" t="s">
        <v>47</v>
      </c>
      <c r="S284" s="35" t="str">
        <f t="shared" si="23"/>
        <v>是</v>
      </c>
      <c r="T284" s="36">
        <f>IFERROR(VLOOKUP(A284,滿意度調查!$B$4:$D$570,3,FALSE),"")</f>
        <v>4</v>
      </c>
      <c r="U284" s="35" t="str">
        <f t="shared" si="24"/>
        <v>2026-05</v>
      </c>
      <c r="V284" s="38">
        <f>IF(J284="已結案",0,(使用說明!$B$7-B284)*24)</f>
        <v>0</v>
      </c>
    </row>
    <row r="285" spans="1:22">
      <c r="A285" s="32" t="s">
        <v>737</v>
      </c>
      <c r="B285" s="33">
        <v>46151.529861111114</v>
      </c>
      <c r="C285" s="34" t="s">
        <v>738</v>
      </c>
      <c r="D285" s="34" t="s">
        <v>225</v>
      </c>
      <c r="E285" s="34" t="s">
        <v>219</v>
      </c>
      <c r="F285" s="34" t="s">
        <v>220</v>
      </c>
      <c r="G285" s="34" t="s">
        <v>350</v>
      </c>
      <c r="H285" s="34" t="s">
        <v>279</v>
      </c>
      <c r="I285" s="35" t="str">
        <f>VLOOKUP(H285,人員與團隊!$A$4:$D$27,3,FALSE)</f>
        <v>南區服務</v>
      </c>
      <c r="J285" s="34" t="s">
        <v>215</v>
      </c>
      <c r="K285" s="33">
        <v>46151.537499999999</v>
      </c>
      <c r="L285" s="33">
        <v>46151.941791122685</v>
      </c>
      <c r="M285" s="36">
        <f t="shared" si="20"/>
        <v>10.999999993946403</v>
      </c>
      <c r="N285" s="37">
        <f t="shared" si="21"/>
        <v>9.8863202776992694</v>
      </c>
      <c r="O285" s="36">
        <f>VLOOKUP(G285,SLA標準!$A$4:$C$7,2,FALSE)</f>
        <v>30</v>
      </c>
      <c r="P285" s="37">
        <f>VLOOKUP(G285,SLA標準!$A$4:$C$7,3,FALSE)</f>
        <v>4</v>
      </c>
      <c r="Q285" s="35" t="str">
        <f t="shared" si="22"/>
        <v>逾期</v>
      </c>
      <c r="R285" s="34" t="s">
        <v>47</v>
      </c>
      <c r="S285" s="35" t="str">
        <f t="shared" si="23"/>
        <v>否</v>
      </c>
      <c r="T285" s="36" t="str">
        <f>IFERROR(VLOOKUP(A285,滿意度調查!$B$4:$D$570,3,FALSE),"")</f>
        <v/>
      </c>
      <c r="U285" s="35" t="str">
        <f t="shared" si="24"/>
        <v>2026-05</v>
      </c>
      <c r="V285" s="38">
        <f>IF(J285="已結案",0,(使用說明!$B$7-B285)*24)</f>
        <v>0</v>
      </c>
    </row>
    <row r="286" spans="1:22">
      <c r="A286" s="32" t="s">
        <v>739</v>
      </c>
      <c r="B286" s="33">
        <v>46151.589583333334</v>
      </c>
      <c r="C286" s="34" t="s">
        <v>740</v>
      </c>
      <c r="D286" s="34" t="s">
        <v>218</v>
      </c>
      <c r="E286" s="34" t="s">
        <v>265</v>
      </c>
      <c r="F286" s="34" t="s">
        <v>301</v>
      </c>
      <c r="G286" s="34" t="s">
        <v>242</v>
      </c>
      <c r="H286" s="34" t="s">
        <v>361</v>
      </c>
      <c r="I286" s="35" t="str">
        <f>VLOOKUP(H286,人員與團隊!$A$4:$D$27,3,FALSE)</f>
        <v>南區服務</v>
      </c>
      <c r="J286" s="34" t="s">
        <v>215</v>
      </c>
      <c r="K286" s="33">
        <v>46151.738194444442</v>
      </c>
      <c r="L286" s="33">
        <v>46152.71627365741</v>
      </c>
      <c r="M286" s="36">
        <f t="shared" si="20"/>
        <v>213.99999999557622</v>
      </c>
      <c r="N286" s="37">
        <f t="shared" si="21"/>
        <v>27.040567777818069</v>
      </c>
      <c r="O286" s="36">
        <f>VLOOKUP(G286,SLA標準!$A$4:$C$7,2,FALSE)</f>
        <v>240</v>
      </c>
      <c r="P286" s="37">
        <f>VLOOKUP(G286,SLA標準!$A$4:$C$7,3,FALSE)</f>
        <v>24</v>
      </c>
      <c r="Q286" s="35" t="str">
        <f t="shared" si="22"/>
        <v>逾期</v>
      </c>
      <c r="R286" s="34" t="s">
        <v>47</v>
      </c>
      <c r="S286" s="35" t="str">
        <f t="shared" si="23"/>
        <v>是</v>
      </c>
      <c r="T286" s="36">
        <f>IFERROR(VLOOKUP(A286,滿意度調查!$B$4:$D$570,3,FALSE),"")</f>
        <v>4</v>
      </c>
      <c r="U286" s="35" t="str">
        <f t="shared" si="24"/>
        <v>2026-05</v>
      </c>
      <c r="V286" s="38">
        <f>IF(J286="已結案",0,(使用說明!$B$7-B286)*24)</f>
        <v>0</v>
      </c>
    </row>
    <row r="287" spans="1:22">
      <c r="A287" s="32" t="s">
        <v>741</v>
      </c>
      <c r="B287" s="33">
        <v>46151.722916666666</v>
      </c>
      <c r="C287" s="34" t="s">
        <v>742</v>
      </c>
      <c r="D287" s="34" t="s">
        <v>210</v>
      </c>
      <c r="E287" s="34" t="s">
        <v>265</v>
      </c>
      <c r="F287" s="34" t="s">
        <v>304</v>
      </c>
      <c r="G287" s="34" t="s">
        <v>242</v>
      </c>
      <c r="H287" s="34" t="s">
        <v>227</v>
      </c>
      <c r="I287" s="35" t="str">
        <f>VLOOKUP(H287,人員與團隊!$A$4:$D$27,3,FALSE)</f>
        <v>北區服務</v>
      </c>
      <c r="J287" s="34" t="s">
        <v>215</v>
      </c>
      <c r="K287" s="33">
        <v>46151.769444444442</v>
      </c>
      <c r="L287" s="33">
        <v>46152.471199641201</v>
      </c>
      <c r="M287" s="36">
        <f t="shared" si="20"/>
        <v>66.999999998370185</v>
      </c>
      <c r="N287" s="37">
        <f t="shared" si="21"/>
        <v>17.958791388839018</v>
      </c>
      <c r="O287" s="36">
        <f>VLOOKUP(G287,SLA標準!$A$4:$C$7,2,FALSE)</f>
        <v>240</v>
      </c>
      <c r="P287" s="37">
        <f>VLOOKUP(G287,SLA標準!$A$4:$C$7,3,FALSE)</f>
        <v>24</v>
      </c>
      <c r="Q287" s="35" t="str">
        <f t="shared" si="22"/>
        <v>達標</v>
      </c>
      <c r="R287" s="34" t="s">
        <v>41</v>
      </c>
      <c r="S287" s="35" t="str">
        <f t="shared" si="23"/>
        <v>否</v>
      </c>
      <c r="T287" s="36" t="str">
        <f>IFERROR(VLOOKUP(A287,滿意度調查!$B$4:$D$570,3,FALSE),"")</f>
        <v/>
      </c>
      <c r="U287" s="35" t="str">
        <f t="shared" si="24"/>
        <v>2026-05</v>
      </c>
      <c r="V287" s="38">
        <f>IF(J287="已結案",0,(使用說明!$B$7-B287)*24)</f>
        <v>0</v>
      </c>
    </row>
    <row r="288" spans="1:22">
      <c r="A288" s="32" t="s">
        <v>743</v>
      </c>
      <c r="B288" s="33">
        <v>46151.753472222219</v>
      </c>
      <c r="C288" s="34" t="s">
        <v>744</v>
      </c>
      <c r="D288" s="34" t="s">
        <v>210</v>
      </c>
      <c r="E288" s="34" t="s">
        <v>219</v>
      </c>
      <c r="F288" s="34" t="s">
        <v>371</v>
      </c>
      <c r="G288" s="34" t="s">
        <v>221</v>
      </c>
      <c r="H288" s="34" t="s">
        <v>285</v>
      </c>
      <c r="I288" s="35" t="str">
        <f>VLOOKUP(H288,人員與團隊!$A$4:$D$27,3,FALSE)</f>
        <v>線上服務</v>
      </c>
      <c r="J288" s="34" t="s">
        <v>215</v>
      </c>
      <c r="K288" s="33">
        <v>46151.763888888891</v>
      </c>
      <c r="L288" s="33">
        <v>46152.387016064815</v>
      </c>
      <c r="M288" s="36">
        <f t="shared" si="20"/>
        <v>15.000000006984919</v>
      </c>
      <c r="N288" s="37">
        <f t="shared" si="21"/>
        <v>15.205052222299855</v>
      </c>
      <c r="O288" s="36">
        <f>VLOOKUP(G288,SLA標準!$A$4:$C$7,2,FALSE)</f>
        <v>60</v>
      </c>
      <c r="P288" s="37">
        <f>VLOOKUP(G288,SLA標準!$A$4:$C$7,3,FALSE)</f>
        <v>8</v>
      </c>
      <c r="Q288" s="35" t="str">
        <f t="shared" si="22"/>
        <v>逾期</v>
      </c>
      <c r="R288" s="34" t="s">
        <v>41</v>
      </c>
      <c r="S288" s="35" t="str">
        <f t="shared" si="23"/>
        <v>是</v>
      </c>
      <c r="T288" s="36">
        <f>IFERROR(VLOOKUP(A288,滿意度調查!$B$4:$D$570,3,FALSE),"")</f>
        <v>3</v>
      </c>
      <c r="U288" s="35" t="str">
        <f t="shared" si="24"/>
        <v>2026-05</v>
      </c>
      <c r="V288" s="38">
        <f>IF(J288="已結案",0,(使用說明!$B$7-B288)*24)</f>
        <v>0</v>
      </c>
    </row>
    <row r="289" spans="1:22">
      <c r="A289" s="32" t="s">
        <v>745</v>
      </c>
      <c r="B289" s="33">
        <v>46152.540277777778</v>
      </c>
      <c r="C289" s="34" t="s">
        <v>746</v>
      </c>
      <c r="D289" s="34" t="s">
        <v>218</v>
      </c>
      <c r="E289" s="34" t="s">
        <v>211</v>
      </c>
      <c r="F289" s="34" t="s">
        <v>331</v>
      </c>
      <c r="G289" s="34" t="s">
        <v>242</v>
      </c>
      <c r="H289" s="34" t="s">
        <v>285</v>
      </c>
      <c r="I289" s="35" t="str">
        <f>VLOOKUP(H289,人員與團隊!$A$4:$D$27,3,FALSE)</f>
        <v>線上服務</v>
      </c>
      <c r="J289" s="34" t="s">
        <v>215</v>
      </c>
      <c r="K289" s="33">
        <v>46152.693055555559</v>
      </c>
      <c r="L289" s="33">
        <v>46152.81965484954</v>
      </c>
      <c r="M289" s="36">
        <f t="shared" si="20"/>
        <v>220.00000000465661</v>
      </c>
      <c r="N289" s="37">
        <f t="shared" si="21"/>
        <v>6.705049722280819</v>
      </c>
      <c r="O289" s="36">
        <f>VLOOKUP(G289,SLA標準!$A$4:$C$7,2,FALSE)</f>
        <v>240</v>
      </c>
      <c r="P289" s="37">
        <f>VLOOKUP(G289,SLA標準!$A$4:$C$7,3,FALSE)</f>
        <v>24</v>
      </c>
      <c r="Q289" s="35" t="str">
        <f t="shared" si="22"/>
        <v>達標</v>
      </c>
      <c r="R289" s="34" t="s">
        <v>41</v>
      </c>
      <c r="S289" s="35" t="str">
        <f t="shared" si="23"/>
        <v>是</v>
      </c>
      <c r="T289" s="36">
        <f>IFERROR(VLOOKUP(A289,滿意度調查!$B$4:$D$570,3,FALSE),"")</f>
        <v>4</v>
      </c>
      <c r="U289" s="35" t="str">
        <f t="shared" si="24"/>
        <v>2026-05</v>
      </c>
      <c r="V289" s="38">
        <f>IF(J289="已結案",0,(使用說明!$B$7-B289)*24)</f>
        <v>0</v>
      </c>
    </row>
    <row r="290" spans="1:22">
      <c r="A290" s="32" t="s">
        <v>747</v>
      </c>
      <c r="B290" s="33">
        <v>46152.541666666664</v>
      </c>
      <c r="C290" s="34" t="s">
        <v>748</v>
      </c>
      <c r="D290" s="34" t="s">
        <v>218</v>
      </c>
      <c r="E290" s="34" t="s">
        <v>245</v>
      </c>
      <c r="F290" s="34" t="s">
        <v>358</v>
      </c>
      <c r="G290" s="34" t="s">
        <v>221</v>
      </c>
      <c r="H290" s="34" t="s">
        <v>227</v>
      </c>
      <c r="I290" s="35" t="str">
        <f>VLOOKUP(H290,人員與團隊!$A$4:$D$27,3,FALSE)</f>
        <v>北區服務</v>
      </c>
      <c r="J290" s="34" t="s">
        <v>215</v>
      </c>
      <c r="K290" s="33">
        <v>46152.579861111109</v>
      </c>
      <c r="L290" s="33">
        <v>46153.72805391204</v>
      </c>
      <c r="M290" s="36">
        <f t="shared" si="20"/>
        <v>55.000000001164153</v>
      </c>
      <c r="N290" s="37">
        <f t="shared" si="21"/>
        <v>28.473293889022898</v>
      </c>
      <c r="O290" s="36">
        <f>VLOOKUP(G290,SLA標準!$A$4:$C$7,2,FALSE)</f>
        <v>60</v>
      </c>
      <c r="P290" s="37">
        <f>VLOOKUP(G290,SLA標準!$A$4:$C$7,3,FALSE)</f>
        <v>8</v>
      </c>
      <c r="Q290" s="35" t="str">
        <f t="shared" si="22"/>
        <v>逾期</v>
      </c>
      <c r="R290" s="34" t="s">
        <v>47</v>
      </c>
      <c r="S290" s="35" t="str">
        <f t="shared" si="23"/>
        <v>是</v>
      </c>
      <c r="T290" s="36">
        <f>IFERROR(VLOOKUP(A290,滿意度調查!$B$4:$D$570,3,FALSE),"")</f>
        <v>2</v>
      </c>
      <c r="U290" s="35" t="str">
        <f t="shared" si="24"/>
        <v>2026-05</v>
      </c>
      <c r="V290" s="38">
        <f>IF(J290="已結案",0,(使用說明!$B$7-B290)*24)</f>
        <v>0</v>
      </c>
    </row>
    <row r="291" spans="1:22">
      <c r="A291" s="32" t="s">
        <v>749</v>
      </c>
      <c r="B291" s="33">
        <v>46152.560416666667</v>
      </c>
      <c r="C291" s="34" t="s">
        <v>423</v>
      </c>
      <c r="D291" s="34" t="s">
        <v>218</v>
      </c>
      <c r="E291" s="34" t="s">
        <v>219</v>
      </c>
      <c r="F291" s="34" t="s">
        <v>371</v>
      </c>
      <c r="G291" s="34" t="s">
        <v>213</v>
      </c>
      <c r="H291" s="34" t="s">
        <v>214</v>
      </c>
      <c r="I291" s="35" t="str">
        <f>VLOOKUP(H291,人員與團隊!$A$4:$D$27,3,FALSE)</f>
        <v>北區服務</v>
      </c>
      <c r="J291" s="34" t="s">
        <v>215</v>
      </c>
      <c r="K291" s="33">
        <v>46152.986805555556</v>
      </c>
      <c r="L291" s="33">
        <v>46153.503332581022</v>
      </c>
      <c r="M291" s="36">
        <f t="shared" si="20"/>
        <v>614.00000000023283</v>
      </c>
      <c r="N291" s="37">
        <f t="shared" si="21"/>
        <v>22.62998194451211</v>
      </c>
      <c r="O291" s="36">
        <f>VLOOKUP(G291,SLA標準!$A$4:$C$7,2,FALSE)</f>
        <v>480</v>
      </c>
      <c r="P291" s="37">
        <f>VLOOKUP(G291,SLA標準!$A$4:$C$7,3,FALSE)</f>
        <v>48</v>
      </c>
      <c r="Q291" s="35" t="str">
        <f t="shared" si="22"/>
        <v>逾期</v>
      </c>
      <c r="R291" s="34" t="s">
        <v>47</v>
      </c>
      <c r="S291" s="35" t="str">
        <f t="shared" si="23"/>
        <v>是</v>
      </c>
      <c r="T291" s="36">
        <f>IFERROR(VLOOKUP(A291,滿意度調查!$B$4:$D$570,3,FALSE),"")</f>
        <v>3</v>
      </c>
      <c r="U291" s="35" t="str">
        <f t="shared" si="24"/>
        <v>2026-05</v>
      </c>
      <c r="V291" s="38">
        <f>IF(J291="已結案",0,(使用說明!$B$7-B291)*24)</f>
        <v>0</v>
      </c>
    </row>
    <row r="292" spans="1:22">
      <c r="A292" s="32" t="s">
        <v>750</v>
      </c>
      <c r="B292" s="33">
        <v>46152.588194444441</v>
      </c>
      <c r="C292" s="34" t="s">
        <v>327</v>
      </c>
      <c r="D292" s="34" t="s">
        <v>240</v>
      </c>
      <c r="E292" s="34" t="s">
        <v>265</v>
      </c>
      <c r="F292" s="34" t="s">
        <v>479</v>
      </c>
      <c r="G292" s="34" t="s">
        <v>221</v>
      </c>
      <c r="H292" s="34" t="s">
        <v>243</v>
      </c>
      <c r="I292" s="35" t="str">
        <f>VLOOKUP(H292,人員與團隊!$A$4:$D$27,3,FALSE)</f>
        <v>南區服務</v>
      </c>
      <c r="J292" s="34" t="s">
        <v>215</v>
      </c>
      <c r="K292" s="33">
        <v>46152.634722222225</v>
      </c>
      <c r="L292" s="33">
        <v>46153.457094641206</v>
      </c>
      <c r="M292" s="36">
        <f t="shared" si="20"/>
        <v>67.000000008847564</v>
      </c>
      <c r="N292" s="37">
        <f t="shared" si="21"/>
        <v>20.853604722360615</v>
      </c>
      <c r="O292" s="36">
        <f>VLOOKUP(G292,SLA標準!$A$4:$C$7,2,FALSE)</f>
        <v>60</v>
      </c>
      <c r="P292" s="37">
        <f>VLOOKUP(G292,SLA標準!$A$4:$C$7,3,FALSE)</f>
        <v>8</v>
      </c>
      <c r="Q292" s="35" t="str">
        <f t="shared" si="22"/>
        <v>逾期</v>
      </c>
      <c r="R292" s="34" t="s">
        <v>47</v>
      </c>
      <c r="S292" s="35" t="str">
        <f t="shared" si="23"/>
        <v>否</v>
      </c>
      <c r="T292" s="36" t="str">
        <f>IFERROR(VLOOKUP(A292,滿意度調查!$B$4:$D$570,3,FALSE),"")</f>
        <v/>
      </c>
      <c r="U292" s="35" t="str">
        <f t="shared" si="24"/>
        <v>2026-05</v>
      </c>
      <c r="V292" s="38">
        <f>IF(J292="已結案",0,(使用說明!$B$7-B292)*24)</f>
        <v>0</v>
      </c>
    </row>
    <row r="293" spans="1:22">
      <c r="A293" s="32" t="s">
        <v>751</v>
      </c>
      <c r="B293" s="33">
        <v>46152.665277777778</v>
      </c>
      <c r="C293" s="34" t="s">
        <v>752</v>
      </c>
      <c r="D293" s="34" t="s">
        <v>240</v>
      </c>
      <c r="E293" s="34" t="s">
        <v>265</v>
      </c>
      <c r="F293" s="34" t="s">
        <v>301</v>
      </c>
      <c r="G293" s="34" t="s">
        <v>242</v>
      </c>
      <c r="H293" s="34" t="s">
        <v>222</v>
      </c>
      <c r="I293" s="35" t="str">
        <f>VLOOKUP(H293,人員與團隊!$A$4:$D$27,3,FALSE)</f>
        <v>北區服務</v>
      </c>
      <c r="J293" s="34" t="s">
        <v>215</v>
      </c>
      <c r="K293" s="33">
        <v>46152.884722222225</v>
      </c>
      <c r="L293" s="33">
        <v>46153.68892197917</v>
      </c>
      <c r="M293" s="36">
        <f t="shared" si="20"/>
        <v>316.00000000325963</v>
      </c>
      <c r="N293" s="37">
        <f t="shared" si="21"/>
        <v>24.567460833408404</v>
      </c>
      <c r="O293" s="36">
        <f>VLOOKUP(G293,SLA標準!$A$4:$C$7,2,FALSE)</f>
        <v>240</v>
      </c>
      <c r="P293" s="37">
        <f>VLOOKUP(G293,SLA標準!$A$4:$C$7,3,FALSE)</f>
        <v>24</v>
      </c>
      <c r="Q293" s="35" t="str">
        <f t="shared" si="22"/>
        <v>逾期</v>
      </c>
      <c r="R293" s="34" t="s">
        <v>47</v>
      </c>
      <c r="S293" s="35" t="str">
        <f t="shared" si="23"/>
        <v>否</v>
      </c>
      <c r="T293" s="36" t="str">
        <f>IFERROR(VLOOKUP(A293,滿意度調查!$B$4:$D$570,3,FALSE),"")</f>
        <v/>
      </c>
      <c r="U293" s="35" t="str">
        <f t="shared" si="24"/>
        <v>2026-05</v>
      </c>
      <c r="V293" s="38">
        <f>IF(J293="已結案",0,(使用說明!$B$7-B293)*24)</f>
        <v>0</v>
      </c>
    </row>
    <row r="294" spans="1:22">
      <c r="A294" s="32" t="s">
        <v>753</v>
      </c>
      <c r="B294" s="33">
        <v>46152.672222222223</v>
      </c>
      <c r="C294" s="34" t="s">
        <v>754</v>
      </c>
      <c r="D294" s="34" t="s">
        <v>210</v>
      </c>
      <c r="E294" s="34" t="s">
        <v>245</v>
      </c>
      <c r="F294" s="34" t="s">
        <v>358</v>
      </c>
      <c r="G294" s="34" t="s">
        <v>350</v>
      </c>
      <c r="H294" s="34" t="s">
        <v>262</v>
      </c>
      <c r="I294" s="35" t="str">
        <f>VLOOKUP(H294,人員與團隊!$A$4:$D$27,3,FALSE)</f>
        <v>南區服務</v>
      </c>
      <c r="J294" s="34" t="s">
        <v>215</v>
      </c>
      <c r="K294" s="33">
        <v>46152.682638888888</v>
      </c>
      <c r="L294" s="33">
        <v>46153.256710671296</v>
      </c>
      <c r="M294" s="36">
        <f t="shared" si="20"/>
        <v>14.99999999650754</v>
      </c>
      <c r="N294" s="37">
        <f t="shared" si="21"/>
        <v>14.027722777740564</v>
      </c>
      <c r="O294" s="36">
        <f>VLOOKUP(G294,SLA標準!$A$4:$C$7,2,FALSE)</f>
        <v>30</v>
      </c>
      <c r="P294" s="37">
        <f>VLOOKUP(G294,SLA標準!$A$4:$C$7,3,FALSE)</f>
        <v>4</v>
      </c>
      <c r="Q294" s="35" t="str">
        <f t="shared" si="22"/>
        <v>逾期</v>
      </c>
      <c r="R294" s="34" t="s">
        <v>47</v>
      </c>
      <c r="S294" s="35" t="str">
        <f t="shared" si="23"/>
        <v>否</v>
      </c>
      <c r="T294" s="36" t="str">
        <f>IFERROR(VLOOKUP(A294,滿意度調查!$B$4:$D$570,3,FALSE),"")</f>
        <v/>
      </c>
      <c r="U294" s="35" t="str">
        <f t="shared" si="24"/>
        <v>2026-05</v>
      </c>
      <c r="V294" s="38">
        <f>IF(J294="已結案",0,(使用說明!$B$7-B294)*24)</f>
        <v>0</v>
      </c>
    </row>
    <row r="295" spans="1:22">
      <c r="A295" s="32" t="s">
        <v>755</v>
      </c>
      <c r="B295" s="33">
        <v>46152.772916666669</v>
      </c>
      <c r="C295" s="34" t="s">
        <v>629</v>
      </c>
      <c r="D295" s="34" t="s">
        <v>210</v>
      </c>
      <c r="E295" s="34" t="s">
        <v>219</v>
      </c>
      <c r="F295" s="34" t="s">
        <v>220</v>
      </c>
      <c r="G295" s="34" t="s">
        <v>242</v>
      </c>
      <c r="H295" s="34" t="s">
        <v>250</v>
      </c>
      <c r="I295" s="35" t="str">
        <f>VLOOKUP(H295,人員與團隊!$A$4:$D$27,3,FALSE)</f>
        <v>南區服務</v>
      </c>
      <c r="J295" s="34" t="s">
        <v>215</v>
      </c>
      <c r="K295" s="33">
        <v>46152.843055555553</v>
      </c>
      <c r="L295" s="33">
        <v>46153.386887962966</v>
      </c>
      <c r="M295" s="36">
        <f t="shared" si="20"/>
        <v>100.9999999939464</v>
      </c>
      <c r="N295" s="37">
        <f t="shared" si="21"/>
        <v>14.735311111144256</v>
      </c>
      <c r="O295" s="36">
        <f>VLOOKUP(G295,SLA標準!$A$4:$C$7,2,FALSE)</f>
        <v>240</v>
      </c>
      <c r="P295" s="37">
        <f>VLOOKUP(G295,SLA標準!$A$4:$C$7,3,FALSE)</f>
        <v>24</v>
      </c>
      <c r="Q295" s="35" t="str">
        <f t="shared" si="22"/>
        <v>達標</v>
      </c>
      <c r="R295" s="34" t="s">
        <v>47</v>
      </c>
      <c r="S295" s="35" t="str">
        <f t="shared" si="23"/>
        <v>是</v>
      </c>
      <c r="T295" s="36">
        <f>IFERROR(VLOOKUP(A295,滿意度調查!$B$4:$D$570,3,FALSE),"")</f>
        <v>4</v>
      </c>
      <c r="U295" s="35" t="str">
        <f t="shared" si="24"/>
        <v>2026-05</v>
      </c>
      <c r="V295" s="38">
        <f>IF(J295="已結案",0,(使用說明!$B$7-B295)*24)</f>
        <v>0</v>
      </c>
    </row>
    <row r="296" spans="1:22">
      <c r="A296" s="32" t="s">
        <v>756</v>
      </c>
      <c r="B296" s="33">
        <v>46152.803472222222</v>
      </c>
      <c r="C296" s="34" t="s">
        <v>757</v>
      </c>
      <c r="D296" s="34" t="s">
        <v>218</v>
      </c>
      <c r="E296" s="34" t="s">
        <v>230</v>
      </c>
      <c r="F296" s="34" t="s">
        <v>272</v>
      </c>
      <c r="G296" s="34" t="s">
        <v>221</v>
      </c>
      <c r="H296" s="34" t="s">
        <v>274</v>
      </c>
      <c r="I296" s="35" t="str">
        <f>VLOOKUP(H296,人員與團隊!$A$4:$D$27,3,FALSE)</f>
        <v>南區服務</v>
      </c>
      <c r="J296" s="34" t="s">
        <v>215</v>
      </c>
      <c r="K296" s="33">
        <v>46152.861805555556</v>
      </c>
      <c r="L296" s="33">
        <v>46153.438115462966</v>
      </c>
      <c r="M296" s="36">
        <f t="shared" si="20"/>
        <v>84.000000001396984</v>
      </c>
      <c r="N296" s="37">
        <f t="shared" si="21"/>
        <v>15.231437777867541</v>
      </c>
      <c r="O296" s="36">
        <f>VLOOKUP(G296,SLA標準!$A$4:$C$7,2,FALSE)</f>
        <v>60</v>
      </c>
      <c r="P296" s="37">
        <f>VLOOKUP(G296,SLA標準!$A$4:$C$7,3,FALSE)</f>
        <v>8</v>
      </c>
      <c r="Q296" s="35" t="str">
        <f t="shared" si="22"/>
        <v>逾期</v>
      </c>
      <c r="R296" s="34" t="s">
        <v>47</v>
      </c>
      <c r="S296" s="35" t="str">
        <f t="shared" si="23"/>
        <v>是</v>
      </c>
      <c r="T296" s="36">
        <f>IFERROR(VLOOKUP(A296,滿意度調查!$B$4:$D$570,3,FALSE),"")</f>
        <v>3</v>
      </c>
      <c r="U296" s="35" t="str">
        <f t="shared" si="24"/>
        <v>2026-05</v>
      </c>
      <c r="V296" s="38">
        <f>IF(J296="已結案",0,(使用說明!$B$7-B296)*24)</f>
        <v>0</v>
      </c>
    </row>
    <row r="297" spans="1:22">
      <c r="A297" s="32" t="s">
        <v>758</v>
      </c>
      <c r="B297" s="33">
        <v>46152.815972222219</v>
      </c>
      <c r="C297" s="34" t="s">
        <v>573</v>
      </c>
      <c r="D297" s="34" t="s">
        <v>225</v>
      </c>
      <c r="E297" s="34" t="s">
        <v>265</v>
      </c>
      <c r="F297" s="34" t="s">
        <v>304</v>
      </c>
      <c r="G297" s="34" t="s">
        <v>350</v>
      </c>
      <c r="H297" s="34" t="s">
        <v>328</v>
      </c>
      <c r="I297" s="35" t="str">
        <f>VLOOKUP(H297,人員與團隊!$A$4:$D$27,3,FALSE)</f>
        <v>北區服務</v>
      </c>
      <c r="J297" s="34" t="s">
        <v>215</v>
      </c>
      <c r="K297" s="33">
        <v>46152.828472222223</v>
      </c>
      <c r="L297" s="33">
        <v>46153.030557442129</v>
      </c>
      <c r="M297" s="36">
        <f t="shared" si="20"/>
        <v>18.000000006286427</v>
      </c>
      <c r="N297" s="37">
        <f t="shared" si="21"/>
        <v>5.1500452778418548</v>
      </c>
      <c r="O297" s="36">
        <f>VLOOKUP(G297,SLA標準!$A$4:$C$7,2,FALSE)</f>
        <v>30</v>
      </c>
      <c r="P297" s="37">
        <f>VLOOKUP(G297,SLA標準!$A$4:$C$7,3,FALSE)</f>
        <v>4</v>
      </c>
      <c r="Q297" s="35" t="str">
        <f t="shared" si="22"/>
        <v>逾期</v>
      </c>
      <c r="R297" s="34" t="s">
        <v>47</v>
      </c>
      <c r="S297" s="35" t="str">
        <f t="shared" si="23"/>
        <v>是</v>
      </c>
      <c r="T297" s="36">
        <f>IFERROR(VLOOKUP(A297,滿意度調查!$B$4:$D$570,3,FALSE),"")</f>
        <v>4</v>
      </c>
      <c r="U297" s="35" t="str">
        <f t="shared" si="24"/>
        <v>2026-05</v>
      </c>
      <c r="V297" s="38">
        <f>IF(J297="已結案",0,(使用說明!$B$7-B297)*24)</f>
        <v>0</v>
      </c>
    </row>
    <row r="298" spans="1:22">
      <c r="A298" s="32" t="s">
        <v>759</v>
      </c>
      <c r="B298" s="33">
        <v>46152.819444444445</v>
      </c>
      <c r="C298" s="34" t="s">
        <v>387</v>
      </c>
      <c r="D298" s="34" t="s">
        <v>210</v>
      </c>
      <c r="E298" s="34" t="s">
        <v>245</v>
      </c>
      <c r="F298" s="34" t="s">
        <v>282</v>
      </c>
      <c r="G298" s="34" t="s">
        <v>242</v>
      </c>
      <c r="H298" s="34" t="s">
        <v>285</v>
      </c>
      <c r="I298" s="35" t="str">
        <f>VLOOKUP(H298,人員與團隊!$A$4:$D$27,3,FALSE)</f>
        <v>線上服務</v>
      </c>
      <c r="J298" s="34" t="s">
        <v>215</v>
      </c>
      <c r="K298" s="33">
        <v>46152.855555555558</v>
      </c>
      <c r="L298" s="33">
        <v>46154.214327071757</v>
      </c>
      <c r="M298" s="36">
        <f t="shared" si="20"/>
        <v>52.000000001862645</v>
      </c>
      <c r="N298" s="37">
        <f t="shared" si="21"/>
        <v>33.477183055481873</v>
      </c>
      <c r="O298" s="36">
        <f>VLOOKUP(G298,SLA標準!$A$4:$C$7,2,FALSE)</f>
        <v>240</v>
      </c>
      <c r="P298" s="37">
        <f>VLOOKUP(G298,SLA標準!$A$4:$C$7,3,FALSE)</f>
        <v>24</v>
      </c>
      <c r="Q298" s="35" t="str">
        <f t="shared" si="22"/>
        <v>逾期</v>
      </c>
      <c r="R298" s="34" t="s">
        <v>47</v>
      </c>
      <c r="S298" s="35" t="str">
        <f t="shared" si="23"/>
        <v>是</v>
      </c>
      <c r="T298" s="36">
        <f>IFERROR(VLOOKUP(A298,滿意度調查!$B$4:$D$570,3,FALSE),"")</f>
        <v>3</v>
      </c>
      <c r="U298" s="35" t="str">
        <f t="shared" si="24"/>
        <v>2026-05</v>
      </c>
      <c r="V298" s="38">
        <f>IF(J298="已結案",0,(使用說明!$B$7-B298)*24)</f>
        <v>0</v>
      </c>
    </row>
    <row r="299" spans="1:22">
      <c r="A299" s="32" t="s">
        <v>760</v>
      </c>
      <c r="B299" s="33">
        <v>46152.864583333336</v>
      </c>
      <c r="C299" s="34" t="s">
        <v>729</v>
      </c>
      <c r="D299" s="34" t="s">
        <v>218</v>
      </c>
      <c r="E299" s="34" t="s">
        <v>235</v>
      </c>
      <c r="F299" s="34" t="s">
        <v>253</v>
      </c>
      <c r="G299" s="34" t="s">
        <v>213</v>
      </c>
      <c r="H299" s="34" t="s">
        <v>232</v>
      </c>
      <c r="I299" s="35" t="str">
        <f>VLOOKUP(H299,人員與團隊!$A$4:$D$27,3,FALSE)</f>
        <v>北區服務</v>
      </c>
      <c r="J299" s="34" t="s">
        <v>215</v>
      </c>
      <c r="K299" s="33">
        <v>46153.28402777778</v>
      </c>
      <c r="L299" s="33">
        <v>46153.410342395837</v>
      </c>
      <c r="M299" s="36">
        <f t="shared" si="20"/>
        <v>603.99999999906868</v>
      </c>
      <c r="N299" s="37">
        <f t="shared" si="21"/>
        <v>13.098217500024475</v>
      </c>
      <c r="O299" s="36">
        <f>VLOOKUP(G299,SLA標準!$A$4:$C$7,2,FALSE)</f>
        <v>480</v>
      </c>
      <c r="P299" s="37">
        <f>VLOOKUP(G299,SLA標準!$A$4:$C$7,3,FALSE)</f>
        <v>48</v>
      </c>
      <c r="Q299" s="35" t="str">
        <f t="shared" si="22"/>
        <v>逾期</v>
      </c>
      <c r="R299" s="34" t="s">
        <v>47</v>
      </c>
      <c r="S299" s="35" t="str">
        <f t="shared" si="23"/>
        <v>是</v>
      </c>
      <c r="T299" s="36">
        <f>IFERROR(VLOOKUP(A299,滿意度調查!$B$4:$D$570,3,FALSE),"")</f>
        <v>4</v>
      </c>
      <c r="U299" s="35" t="str">
        <f t="shared" si="24"/>
        <v>2026-05</v>
      </c>
      <c r="V299" s="38">
        <f>IF(J299="已結案",0,(使用說明!$B$7-B299)*24)</f>
        <v>0</v>
      </c>
    </row>
    <row r="300" spans="1:22">
      <c r="A300" s="32" t="s">
        <v>761</v>
      </c>
      <c r="B300" s="33">
        <v>46153.43472222222</v>
      </c>
      <c r="C300" s="34" t="s">
        <v>491</v>
      </c>
      <c r="D300" s="34" t="s">
        <v>210</v>
      </c>
      <c r="E300" s="34" t="s">
        <v>265</v>
      </c>
      <c r="F300" s="34" t="s">
        <v>479</v>
      </c>
      <c r="G300" s="34" t="s">
        <v>213</v>
      </c>
      <c r="H300" s="34" t="s">
        <v>250</v>
      </c>
      <c r="I300" s="35" t="str">
        <f>VLOOKUP(H300,人員與團隊!$A$4:$D$27,3,FALSE)</f>
        <v>南區服務</v>
      </c>
      <c r="J300" s="34" t="s">
        <v>215</v>
      </c>
      <c r="K300" s="33">
        <v>46153.629166666666</v>
      </c>
      <c r="L300" s="33">
        <v>46154.3375566088</v>
      </c>
      <c r="M300" s="36">
        <f t="shared" si="20"/>
        <v>280.00000000116415</v>
      </c>
      <c r="N300" s="37">
        <f t="shared" si="21"/>
        <v>21.668025277904235</v>
      </c>
      <c r="O300" s="36">
        <f>VLOOKUP(G300,SLA標準!$A$4:$C$7,2,FALSE)</f>
        <v>480</v>
      </c>
      <c r="P300" s="37">
        <f>VLOOKUP(G300,SLA標準!$A$4:$C$7,3,FALSE)</f>
        <v>48</v>
      </c>
      <c r="Q300" s="35" t="str">
        <f t="shared" si="22"/>
        <v>達標</v>
      </c>
      <c r="R300" s="34" t="s">
        <v>47</v>
      </c>
      <c r="S300" s="35" t="str">
        <f t="shared" si="23"/>
        <v>是</v>
      </c>
      <c r="T300" s="36">
        <f>IFERROR(VLOOKUP(A300,滿意度調查!$B$4:$D$570,3,FALSE),"")</f>
        <v>5</v>
      </c>
      <c r="U300" s="35" t="str">
        <f t="shared" si="24"/>
        <v>2026-05</v>
      </c>
      <c r="V300" s="38">
        <f>IF(J300="已結案",0,(使用說明!$B$7-B300)*24)</f>
        <v>0</v>
      </c>
    </row>
    <row r="301" spans="1:22">
      <c r="A301" s="32" t="s">
        <v>762</v>
      </c>
      <c r="B301" s="33">
        <v>46153.486805555556</v>
      </c>
      <c r="C301" s="34" t="s">
        <v>464</v>
      </c>
      <c r="D301" s="34" t="s">
        <v>218</v>
      </c>
      <c r="E301" s="34" t="s">
        <v>265</v>
      </c>
      <c r="F301" s="34" t="s">
        <v>304</v>
      </c>
      <c r="G301" s="34" t="s">
        <v>221</v>
      </c>
      <c r="H301" s="34" t="s">
        <v>328</v>
      </c>
      <c r="I301" s="35" t="str">
        <f>VLOOKUP(H301,人員與團隊!$A$4:$D$27,3,FALSE)</f>
        <v>北區服務</v>
      </c>
      <c r="J301" s="34" t="s">
        <v>275</v>
      </c>
      <c r="K301" s="33">
        <v>46153.548611111109</v>
      </c>
      <c r="L301" s="33"/>
      <c r="M301" s="36">
        <f t="shared" si="20"/>
        <v>88.999999996740371</v>
      </c>
      <c r="N301" s="37" t="str">
        <f t="shared" si="21"/>
        <v/>
      </c>
      <c r="O301" s="36">
        <f>VLOOKUP(G301,SLA標準!$A$4:$C$7,2,FALSE)</f>
        <v>60</v>
      </c>
      <c r="P301" s="37">
        <f>VLOOKUP(G301,SLA標準!$A$4:$C$7,3,FALSE)</f>
        <v>8</v>
      </c>
      <c r="Q301" s="35" t="str">
        <f t="shared" si="22"/>
        <v>逾期</v>
      </c>
      <c r="R301" s="34" t="s">
        <v>47</v>
      </c>
      <c r="S301" s="35" t="str">
        <f t="shared" si="23"/>
        <v>否</v>
      </c>
      <c r="T301" s="36" t="str">
        <f>IFERROR(VLOOKUP(A301,滿意度調查!$B$4:$D$570,3,FALSE),"")</f>
        <v/>
      </c>
      <c r="U301" s="35" t="str">
        <f t="shared" si="24"/>
        <v>2026-05</v>
      </c>
      <c r="V301" s="38">
        <f>IF(J301="已結案",0,(使用說明!$B$7-B301)*24)</f>
        <v>1221.3166666666511</v>
      </c>
    </row>
    <row r="302" spans="1:22">
      <c r="A302" s="32" t="s">
        <v>763</v>
      </c>
      <c r="B302" s="33">
        <v>46153.529861111114</v>
      </c>
      <c r="C302" s="34" t="s">
        <v>764</v>
      </c>
      <c r="D302" s="34" t="s">
        <v>210</v>
      </c>
      <c r="E302" s="34" t="s">
        <v>245</v>
      </c>
      <c r="F302" s="34" t="s">
        <v>278</v>
      </c>
      <c r="G302" s="34" t="s">
        <v>242</v>
      </c>
      <c r="H302" s="34" t="s">
        <v>384</v>
      </c>
      <c r="I302" s="35" t="str">
        <f>VLOOKUP(H302,人員與團隊!$A$4:$D$27,3,FALSE)</f>
        <v>線上服務</v>
      </c>
      <c r="J302" s="34" t="s">
        <v>215</v>
      </c>
      <c r="K302" s="33">
        <v>46153.584027777775</v>
      </c>
      <c r="L302" s="33">
        <v>46154.171412465279</v>
      </c>
      <c r="M302" s="36">
        <f t="shared" si="20"/>
        <v>77.999999992316589</v>
      </c>
      <c r="N302" s="37">
        <f t="shared" si="21"/>
        <v>15.397232499963138</v>
      </c>
      <c r="O302" s="36">
        <f>VLOOKUP(G302,SLA標準!$A$4:$C$7,2,FALSE)</f>
        <v>240</v>
      </c>
      <c r="P302" s="37">
        <f>VLOOKUP(G302,SLA標準!$A$4:$C$7,3,FALSE)</f>
        <v>24</v>
      </c>
      <c r="Q302" s="35" t="str">
        <f t="shared" si="22"/>
        <v>達標</v>
      </c>
      <c r="R302" s="34" t="s">
        <v>47</v>
      </c>
      <c r="S302" s="35" t="str">
        <f t="shared" si="23"/>
        <v>是</v>
      </c>
      <c r="T302" s="36">
        <f>IFERROR(VLOOKUP(A302,滿意度調查!$B$4:$D$570,3,FALSE),"")</f>
        <v>5</v>
      </c>
      <c r="U302" s="35" t="str">
        <f t="shared" si="24"/>
        <v>2026-05</v>
      </c>
      <c r="V302" s="38">
        <f>IF(J302="已結案",0,(使用說明!$B$7-B302)*24)</f>
        <v>0</v>
      </c>
    </row>
    <row r="303" spans="1:22">
      <c r="A303" s="32" t="s">
        <v>765</v>
      </c>
      <c r="B303" s="33">
        <v>46153.556250000001</v>
      </c>
      <c r="C303" s="34" t="s">
        <v>415</v>
      </c>
      <c r="D303" s="34" t="s">
        <v>225</v>
      </c>
      <c r="E303" s="34" t="s">
        <v>211</v>
      </c>
      <c r="F303" s="34" t="s">
        <v>331</v>
      </c>
      <c r="G303" s="34" t="s">
        <v>213</v>
      </c>
      <c r="H303" s="34" t="s">
        <v>279</v>
      </c>
      <c r="I303" s="35" t="str">
        <f>VLOOKUP(H303,人員與團隊!$A$4:$D$27,3,FALSE)</f>
        <v>南區服務</v>
      </c>
      <c r="J303" s="34" t="s">
        <v>215</v>
      </c>
      <c r="K303" s="33">
        <v>46153.76666666667</v>
      </c>
      <c r="L303" s="33">
        <v>46153.900878194443</v>
      </c>
      <c r="M303" s="36">
        <f t="shared" si="20"/>
        <v>303.00000000279397</v>
      </c>
      <c r="N303" s="37">
        <f t="shared" si="21"/>
        <v>8.2710766665986739</v>
      </c>
      <c r="O303" s="36">
        <f>VLOOKUP(G303,SLA標準!$A$4:$C$7,2,FALSE)</f>
        <v>480</v>
      </c>
      <c r="P303" s="37">
        <f>VLOOKUP(G303,SLA標準!$A$4:$C$7,3,FALSE)</f>
        <v>48</v>
      </c>
      <c r="Q303" s="35" t="str">
        <f t="shared" si="22"/>
        <v>達標</v>
      </c>
      <c r="R303" s="34" t="s">
        <v>47</v>
      </c>
      <c r="S303" s="35" t="str">
        <f t="shared" si="23"/>
        <v>是</v>
      </c>
      <c r="T303" s="36">
        <f>IFERROR(VLOOKUP(A303,滿意度調查!$B$4:$D$570,3,FALSE),"")</f>
        <v>5</v>
      </c>
      <c r="U303" s="35" t="str">
        <f t="shared" si="24"/>
        <v>2026-05</v>
      </c>
      <c r="V303" s="38">
        <f>IF(J303="已結案",0,(使用說明!$B$7-B303)*24)</f>
        <v>0</v>
      </c>
    </row>
    <row r="304" spans="1:22">
      <c r="A304" s="32" t="s">
        <v>766</v>
      </c>
      <c r="B304" s="33">
        <v>46153.592361111114</v>
      </c>
      <c r="C304" s="34" t="s">
        <v>491</v>
      </c>
      <c r="D304" s="34" t="s">
        <v>218</v>
      </c>
      <c r="E304" s="34" t="s">
        <v>235</v>
      </c>
      <c r="F304" s="34" t="s">
        <v>236</v>
      </c>
      <c r="G304" s="34" t="s">
        <v>221</v>
      </c>
      <c r="H304" s="34" t="s">
        <v>381</v>
      </c>
      <c r="I304" s="35" t="str">
        <f>VLOOKUP(H304,人員與團隊!$A$4:$D$27,3,FALSE)</f>
        <v>線上服務</v>
      </c>
      <c r="J304" s="34" t="s">
        <v>215</v>
      </c>
      <c r="K304" s="33">
        <v>46153.651388888888</v>
      </c>
      <c r="L304" s="33">
        <v>46154.018758969905</v>
      </c>
      <c r="M304" s="36">
        <f t="shared" si="20"/>
        <v>84.999999994179234</v>
      </c>
      <c r="N304" s="37">
        <f t="shared" si="21"/>
        <v>10.233548610995058</v>
      </c>
      <c r="O304" s="36">
        <f>VLOOKUP(G304,SLA標準!$A$4:$C$7,2,FALSE)</f>
        <v>60</v>
      </c>
      <c r="P304" s="37">
        <f>VLOOKUP(G304,SLA標準!$A$4:$C$7,3,FALSE)</f>
        <v>8</v>
      </c>
      <c r="Q304" s="35" t="str">
        <f t="shared" si="22"/>
        <v>逾期</v>
      </c>
      <c r="R304" s="34" t="s">
        <v>47</v>
      </c>
      <c r="S304" s="35" t="str">
        <f t="shared" si="23"/>
        <v>是</v>
      </c>
      <c r="T304" s="36">
        <f>IFERROR(VLOOKUP(A304,滿意度調查!$B$4:$D$570,3,FALSE),"")</f>
        <v>3</v>
      </c>
      <c r="U304" s="35" t="str">
        <f t="shared" si="24"/>
        <v>2026-05</v>
      </c>
      <c r="V304" s="38">
        <f>IF(J304="已結案",0,(使用說明!$B$7-B304)*24)</f>
        <v>0</v>
      </c>
    </row>
    <row r="305" spans="1:22">
      <c r="A305" s="32" t="s">
        <v>767</v>
      </c>
      <c r="B305" s="33">
        <v>46153.682638888888</v>
      </c>
      <c r="C305" s="34" t="s">
        <v>740</v>
      </c>
      <c r="D305" s="34" t="s">
        <v>225</v>
      </c>
      <c r="E305" s="34" t="s">
        <v>230</v>
      </c>
      <c r="F305" s="34" t="s">
        <v>272</v>
      </c>
      <c r="G305" s="34" t="s">
        <v>213</v>
      </c>
      <c r="H305" s="34" t="s">
        <v>237</v>
      </c>
      <c r="I305" s="35" t="str">
        <f>VLOOKUP(H305,人員與團隊!$A$4:$D$27,3,FALSE)</f>
        <v>北區服務</v>
      </c>
      <c r="J305" s="34" t="s">
        <v>215</v>
      </c>
      <c r="K305" s="33">
        <v>46153.777083333334</v>
      </c>
      <c r="L305" s="33">
        <v>46154.745531527777</v>
      </c>
      <c r="M305" s="36">
        <f t="shared" si="20"/>
        <v>136.00000000325963</v>
      </c>
      <c r="N305" s="37">
        <f t="shared" si="21"/>
        <v>25.509423333336599</v>
      </c>
      <c r="O305" s="36">
        <f>VLOOKUP(G305,SLA標準!$A$4:$C$7,2,FALSE)</f>
        <v>480</v>
      </c>
      <c r="P305" s="37">
        <f>VLOOKUP(G305,SLA標準!$A$4:$C$7,3,FALSE)</f>
        <v>48</v>
      </c>
      <c r="Q305" s="35" t="str">
        <f t="shared" si="22"/>
        <v>達標</v>
      </c>
      <c r="R305" s="34" t="s">
        <v>41</v>
      </c>
      <c r="S305" s="35" t="str">
        <f t="shared" si="23"/>
        <v>是</v>
      </c>
      <c r="T305" s="36">
        <f>IFERROR(VLOOKUP(A305,滿意度調查!$B$4:$D$570,3,FALSE),"")</f>
        <v>4</v>
      </c>
      <c r="U305" s="35" t="str">
        <f t="shared" si="24"/>
        <v>2026-05</v>
      </c>
      <c r="V305" s="38">
        <f>IF(J305="已結案",0,(使用說明!$B$7-B305)*24)</f>
        <v>0</v>
      </c>
    </row>
    <row r="306" spans="1:22">
      <c r="A306" s="32" t="s">
        <v>768</v>
      </c>
      <c r="B306" s="33">
        <v>46153.709027777775</v>
      </c>
      <c r="C306" s="34" t="s">
        <v>769</v>
      </c>
      <c r="D306" s="34" t="s">
        <v>225</v>
      </c>
      <c r="E306" s="34" t="s">
        <v>219</v>
      </c>
      <c r="F306" s="34" t="s">
        <v>257</v>
      </c>
      <c r="G306" s="34" t="s">
        <v>213</v>
      </c>
      <c r="H306" s="34" t="s">
        <v>279</v>
      </c>
      <c r="I306" s="35" t="str">
        <f>VLOOKUP(H306,人員與團隊!$A$4:$D$27,3,FALSE)</f>
        <v>南區服務</v>
      </c>
      <c r="J306" s="34" t="s">
        <v>215</v>
      </c>
      <c r="K306" s="33">
        <v>46153.96597222222</v>
      </c>
      <c r="L306" s="33">
        <v>46154.626294733796</v>
      </c>
      <c r="M306" s="36">
        <f t="shared" si="20"/>
        <v>370.00000000116415</v>
      </c>
      <c r="N306" s="37">
        <f t="shared" si="21"/>
        <v>22.014406944508664</v>
      </c>
      <c r="O306" s="36">
        <f>VLOOKUP(G306,SLA標準!$A$4:$C$7,2,FALSE)</f>
        <v>480</v>
      </c>
      <c r="P306" s="37">
        <f>VLOOKUP(G306,SLA標準!$A$4:$C$7,3,FALSE)</f>
        <v>48</v>
      </c>
      <c r="Q306" s="35" t="str">
        <f t="shared" si="22"/>
        <v>達標</v>
      </c>
      <c r="R306" s="34" t="s">
        <v>47</v>
      </c>
      <c r="S306" s="35" t="str">
        <f t="shared" si="23"/>
        <v>否</v>
      </c>
      <c r="T306" s="36" t="str">
        <f>IFERROR(VLOOKUP(A306,滿意度調查!$B$4:$D$570,3,FALSE),"")</f>
        <v/>
      </c>
      <c r="U306" s="35" t="str">
        <f t="shared" si="24"/>
        <v>2026-05</v>
      </c>
      <c r="V306" s="38">
        <f>IF(J306="已結案",0,(使用說明!$B$7-B306)*24)</f>
        <v>0</v>
      </c>
    </row>
    <row r="307" spans="1:22">
      <c r="A307" s="32" t="s">
        <v>770</v>
      </c>
      <c r="B307" s="33">
        <v>46153.818749999999</v>
      </c>
      <c r="C307" s="34" t="s">
        <v>771</v>
      </c>
      <c r="D307" s="34" t="s">
        <v>240</v>
      </c>
      <c r="E307" s="34" t="s">
        <v>235</v>
      </c>
      <c r="F307" s="34" t="s">
        <v>241</v>
      </c>
      <c r="G307" s="34" t="s">
        <v>242</v>
      </c>
      <c r="H307" s="34" t="s">
        <v>340</v>
      </c>
      <c r="I307" s="35" t="str">
        <f>VLOOKUP(H307,人員與團隊!$A$4:$D$27,3,FALSE)</f>
        <v>北區服務</v>
      </c>
      <c r="J307" s="34" t="s">
        <v>215</v>
      </c>
      <c r="K307" s="33">
        <v>46153.98333333333</v>
      </c>
      <c r="L307" s="33">
        <v>46154.261089409723</v>
      </c>
      <c r="M307" s="36">
        <f t="shared" si="20"/>
        <v>236.99999999720603</v>
      </c>
      <c r="N307" s="37">
        <f t="shared" si="21"/>
        <v>10.616145833395422</v>
      </c>
      <c r="O307" s="36">
        <f>VLOOKUP(G307,SLA標準!$A$4:$C$7,2,FALSE)</f>
        <v>240</v>
      </c>
      <c r="P307" s="37">
        <f>VLOOKUP(G307,SLA標準!$A$4:$C$7,3,FALSE)</f>
        <v>24</v>
      </c>
      <c r="Q307" s="35" t="str">
        <f t="shared" si="22"/>
        <v>達標</v>
      </c>
      <c r="R307" s="34" t="s">
        <v>47</v>
      </c>
      <c r="S307" s="35" t="str">
        <f t="shared" si="23"/>
        <v>是</v>
      </c>
      <c r="T307" s="36">
        <f>IFERROR(VLOOKUP(A307,滿意度調查!$B$4:$D$570,3,FALSE),"")</f>
        <v>5</v>
      </c>
      <c r="U307" s="35" t="str">
        <f t="shared" si="24"/>
        <v>2026-05</v>
      </c>
      <c r="V307" s="38">
        <f>IF(J307="已結案",0,(使用說明!$B$7-B307)*24)</f>
        <v>0</v>
      </c>
    </row>
    <row r="308" spans="1:22">
      <c r="A308" s="32" t="s">
        <v>772</v>
      </c>
      <c r="B308" s="33">
        <v>46154.586805555555</v>
      </c>
      <c r="C308" s="34" t="s">
        <v>383</v>
      </c>
      <c r="D308" s="34" t="s">
        <v>210</v>
      </c>
      <c r="E308" s="34" t="s">
        <v>235</v>
      </c>
      <c r="F308" s="34" t="s">
        <v>253</v>
      </c>
      <c r="G308" s="34" t="s">
        <v>242</v>
      </c>
      <c r="H308" s="34" t="s">
        <v>408</v>
      </c>
      <c r="I308" s="35" t="str">
        <f>VLOOKUP(H308,人員與團隊!$A$4:$D$27,3,FALSE)</f>
        <v>線上服務</v>
      </c>
      <c r="J308" s="34" t="s">
        <v>215</v>
      </c>
      <c r="K308" s="33">
        <v>46154.664583333331</v>
      </c>
      <c r="L308" s="33">
        <v>46154.97537857639</v>
      </c>
      <c r="M308" s="36">
        <f t="shared" si="20"/>
        <v>111.99999999837019</v>
      </c>
      <c r="N308" s="37">
        <f t="shared" si="21"/>
        <v>9.325752500037197</v>
      </c>
      <c r="O308" s="36">
        <f>VLOOKUP(G308,SLA標準!$A$4:$C$7,2,FALSE)</f>
        <v>240</v>
      </c>
      <c r="P308" s="37">
        <f>VLOOKUP(G308,SLA標準!$A$4:$C$7,3,FALSE)</f>
        <v>24</v>
      </c>
      <c r="Q308" s="35" t="str">
        <f t="shared" si="22"/>
        <v>達標</v>
      </c>
      <c r="R308" s="34" t="s">
        <v>41</v>
      </c>
      <c r="S308" s="35" t="str">
        <f t="shared" si="23"/>
        <v>是</v>
      </c>
      <c r="T308" s="36">
        <f>IFERROR(VLOOKUP(A308,滿意度調查!$B$4:$D$570,3,FALSE),"")</f>
        <v>4</v>
      </c>
      <c r="U308" s="35" t="str">
        <f t="shared" si="24"/>
        <v>2026-05</v>
      </c>
      <c r="V308" s="38">
        <f>IF(J308="已結案",0,(使用說明!$B$7-B308)*24)</f>
        <v>0</v>
      </c>
    </row>
    <row r="309" spans="1:22">
      <c r="A309" s="32" t="s">
        <v>773</v>
      </c>
      <c r="B309" s="33">
        <v>46154.606249999997</v>
      </c>
      <c r="C309" s="34" t="s">
        <v>644</v>
      </c>
      <c r="D309" s="34" t="s">
        <v>210</v>
      </c>
      <c r="E309" s="34" t="s">
        <v>235</v>
      </c>
      <c r="F309" s="34" t="s">
        <v>298</v>
      </c>
      <c r="G309" s="34" t="s">
        <v>242</v>
      </c>
      <c r="H309" s="34" t="s">
        <v>310</v>
      </c>
      <c r="I309" s="35" t="str">
        <f>VLOOKUP(H309,人員與團隊!$A$4:$D$27,3,FALSE)</f>
        <v>線上服務</v>
      </c>
      <c r="J309" s="34" t="s">
        <v>774</v>
      </c>
      <c r="K309" s="33">
        <v>46154.629166666666</v>
      </c>
      <c r="L309" s="33"/>
      <c r="M309" s="36">
        <f t="shared" si="20"/>
        <v>33.000000002793968</v>
      </c>
      <c r="N309" s="37" t="str">
        <f t="shared" si="21"/>
        <v/>
      </c>
      <c r="O309" s="36">
        <f>VLOOKUP(G309,SLA標準!$A$4:$C$7,2,FALSE)</f>
        <v>240</v>
      </c>
      <c r="P309" s="37">
        <f>VLOOKUP(G309,SLA標準!$A$4:$C$7,3,FALSE)</f>
        <v>24</v>
      </c>
      <c r="Q309" s="35" t="str">
        <f t="shared" si="22"/>
        <v>逾期</v>
      </c>
      <c r="R309" s="34" t="s">
        <v>47</v>
      </c>
      <c r="S309" s="35" t="str">
        <f t="shared" si="23"/>
        <v>否</v>
      </c>
      <c r="T309" s="36" t="str">
        <f>IFERROR(VLOOKUP(A309,滿意度調查!$B$4:$D$570,3,FALSE),"")</f>
        <v/>
      </c>
      <c r="U309" s="35" t="str">
        <f t="shared" si="24"/>
        <v>2026-05</v>
      </c>
      <c r="V309" s="38">
        <f>IF(J309="已結案",0,(使用說明!$B$7-B309)*24)</f>
        <v>1194.4500000000698</v>
      </c>
    </row>
    <row r="310" spans="1:22">
      <c r="A310" s="32" t="s">
        <v>775</v>
      </c>
      <c r="B310" s="33">
        <v>46154.637499999997</v>
      </c>
      <c r="C310" s="34" t="s">
        <v>368</v>
      </c>
      <c r="D310" s="34" t="s">
        <v>240</v>
      </c>
      <c r="E310" s="34" t="s">
        <v>245</v>
      </c>
      <c r="F310" s="34" t="s">
        <v>282</v>
      </c>
      <c r="G310" s="34" t="s">
        <v>242</v>
      </c>
      <c r="H310" s="34" t="s">
        <v>328</v>
      </c>
      <c r="I310" s="35" t="str">
        <f>VLOOKUP(H310,人員與團隊!$A$4:$D$27,3,FALSE)</f>
        <v>北區服務</v>
      </c>
      <c r="J310" s="34" t="s">
        <v>215</v>
      </c>
      <c r="K310" s="33">
        <v>46154.864583333336</v>
      </c>
      <c r="L310" s="33">
        <v>46156.47257140046</v>
      </c>
      <c r="M310" s="36">
        <f t="shared" si="20"/>
        <v>327.00000000768341</v>
      </c>
      <c r="N310" s="37">
        <f t="shared" si="21"/>
        <v>44.041713611106388</v>
      </c>
      <c r="O310" s="36">
        <f>VLOOKUP(G310,SLA標準!$A$4:$C$7,2,FALSE)</f>
        <v>240</v>
      </c>
      <c r="P310" s="37">
        <f>VLOOKUP(G310,SLA標準!$A$4:$C$7,3,FALSE)</f>
        <v>24</v>
      </c>
      <c r="Q310" s="35" t="str">
        <f t="shared" si="22"/>
        <v>逾期</v>
      </c>
      <c r="R310" s="34" t="s">
        <v>41</v>
      </c>
      <c r="S310" s="35" t="str">
        <f t="shared" si="23"/>
        <v>是</v>
      </c>
      <c r="T310" s="36">
        <f>IFERROR(VLOOKUP(A310,滿意度調查!$B$4:$D$570,3,FALSE),"")</f>
        <v>2</v>
      </c>
      <c r="U310" s="35" t="str">
        <f t="shared" si="24"/>
        <v>2026-05</v>
      </c>
      <c r="V310" s="38">
        <f>IF(J310="已結案",0,(使用說明!$B$7-B310)*24)</f>
        <v>0</v>
      </c>
    </row>
    <row r="311" spans="1:22">
      <c r="A311" s="32" t="s">
        <v>776</v>
      </c>
      <c r="B311" s="33">
        <v>46154.638888888891</v>
      </c>
      <c r="C311" s="34" t="s">
        <v>777</v>
      </c>
      <c r="D311" s="34" t="s">
        <v>240</v>
      </c>
      <c r="E311" s="34" t="s">
        <v>230</v>
      </c>
      <c r="F311" s="34" t="s">
        <v>231</v>
      </c>
      <c r="G311" s="34" t="s">
        <v>242</v>
      </c>
      <c r="H311" s="34" t="s">
        <v>315</v>
      </c>
      <c r="I311" s="35" t="str">
        <f>VLOOKUP(H311,人員與團隊!$A$4:$D$27,3,FALSE)</f>
        <v>北區服務</v>
      </c>
      <c r="J311" s="34" t="s">
        <v>215</v>
      </c>
      <c r="K311" s="33">
        <v>46154.866666666669</v>
      </c>
      <c r="L311" s="33">
        <v>46155.617447037039</v>
      </c>
      <c r="M311" s="36">
        <f t="shared" si="20"/>
        <v>328.00000000046566</v>
      </c>
      <c r="N311" s="37">
        <f t="shared" si="21"/>
        <v>23.48539555555908</v>
      </c>
      <c r="O311" s="36">
        <f>VLOOKUP(G311,SLA標準!$A$4:$C$7,2,FALSE)</f>
        <v>240</v>
      </c>
      <c r="P311" s="37">
        <f>VLOOKUP(G311,SLA標準!$A$4:$C$7,3,FALSE)</f>
        <v>24</v>
      </c>
      <c r="Q311" s="35" t="str">
        <f t="shared" si="22"/>
        <v>逾期</v>
      </c>
      <c r="R311" s="34" t="s">
        <v>47</v>
      </c>
      <c r="S311" s="35" t="str">
        <f t="shared" si="23"/>
        <v>是</v>
      </c>
      <c r="T311" s="36">
        <f>IFERROR(VLOOKUP(A311,滿意度調查!$B$4:$D$570,3,FALSE),"")</f>
        <v>4</v>
      </c>
      <c r="U311" s="35" t="str">
        <f t="shared" si="24"/>
        <v>2026-05</v>
      </c>
      <c r="V311" s="38">
        <f>IF(J311="已結案",0,(使用說明!$B$7-B311)*24)</f>
        <v>0</v>
      </c>
    </row>
    <row r="312" spans="1:22">
      <c r="A312" s="32" t="s">
        <v>778</v>
      </c>
      <c r="B312" s="33">
        <v>46154.786111111112</v>
      </c>
      <c r="C312" s="34" t="s">
        <v>779</v>
      </c>
      <c r="D312" s="34" t="s">
        <v>210</v>
      </c>
      <c r="E312" s="34" t="s">
        <v>235</v>
      </c>
      <c r="F312" s="34" t="s">
        <v>253</v>
      </c>
      <c r="G312" s="34" t="s">
        <v>242</v>
      </c>
      <c r="H312" s="34" t="s">
        <v>381</v>
      </c>
      <c r="I312" s="35" t="str">
        <f>VLOOKUP(H312,人員與團隊!$A$4:$D$27,3,FALSE)</f>
        <v>線上服務</v>
      </c>
      <c r="J312" s="34" t="s">
        <v>215</v>
      </c>
      <c r="K312" s="33">
        <v>46154.837500000001</v>
      </c>
      <c r="L312" s="33">
        <v>46155.266787523149</v>
      </c>
      <c r="M312" s="36">
        <f t="shared" si="20"/>
        <v>74.000000000232831</v>
      </c>
      <c r="N312" s="37">
        <f t="shared" si="21"/>
        <v>11.536233888880815</v>
      </c>
      <c r="O312" s="36">
        <f>VLOOKUP(G312,SLA標準!$A$4:$C$7,2,FALSE)</f>
        <v>240</v>
      </c>
      <c r="P312" s="37">
        <f>VLOOKUP(G312,SLA標準!$A$4:$C$7,3,FALSE)</f>
        <v>24</v>
      </c>
      <c r="Q312" s="35" t="str">
        <f t="shared" si="22"/>
        <v>達標</v>
      </c>
      <c r="R312" s="34" t="s">
        <v>47</v>
      </c>
      <c r="S312" s="35" t="str">
        <f t="shared" si="23"/>
        <v>是</v>
      </c>
      <c r="T312" s="36">
        <f>IFERROR(VLOOKUP(A312,滿意度調查!$B$4:$D$570,3,FALSE),"")</f>
        <v>5</v>
      </c>
      <c r="U312" s="35" t="str">
        <f t="shared" si="24"/>
        <v>2026-05</v>
      </c>
      <c r="V312" s="38">
        <f>IF(J312="已結案",0,(使用說明!$B$7-B312)*24)</f>
        <v>0</v>
      </c>
    </row>
    <row r="313" spans="1:22">
      <c r="A313" s="32" t="s">
        <v>780</v>
      </c>
      <c r="B313" s="33">
        <v>46154.857638888891</v>
      </c>
      <c r="C313" s="34" t="s">
        <v>333</v>
      </c>
      <c r="D313" s="34" t="s">
        <v>210</v>
      </c>
      <c r="E313" s="34" t="s">
        <v>235</v>
      </c>
      <c r="F313" s="34" t="s">
        <v>253</v>
      </c>
      <c r="G313" s="34" t="s">
        <v>242</v>
      </c>
      <c r="H313" s="34" t="s">
        <v>372</v>
      </c>
      <c r="I313" s="35" t="str">
        <f>VLOOKUP(H313,人員與團隊!$A$4:$D$27,3,FALSE)</f>
        <v>南區服務</v>
      </c>
      <c r="J313" s="34" t="s">
        <v>215</v>
      </c>
      <c r="K313" s="33">
        <v>46154.947916666664</v>
      </c>
      <c r="L313" s="33">
        <v>46155.471325243052</v>
      </c>
      <c r="M313" s="36">
        <f t="shared" si="20"/>
        <v>129.99999999417923</v>
      </c>
      <c r="N313" s="37">
        <f t="shared" si="21"/>
        <v>14.728472499875352</v>
      </c>
      <c r="O313" s="36">
        <f>VLOOKUP(G313,SLA標準!$A$4:$C$7,2,FALSE)</f>
        <v>240</v>
      </c>
      <c r="P313" s="37">
        <f>VLOOKUP(G313,SLA標準!$A$4:$C$7,3,FALSE)</f>
        <v>24</v>
      </c>
      <c r="Q313" s="35" t="str">
        <f t="shared" si="22"/>
        <v>達標</v>
      </c>
      <c r="R313" s="34" t="s">
        <v>47</v>
      </c>
      <c r="S313" s="35" t="str">
        <f t="shared" si="23"/>
        <v>是</v>
      </c>
      <c r="T313" s="36">
        <f>IFERROR(VLOOKUP(A313,滿意度調查!$B$4:$D$570,3,FALSE),"")</f>
        <v>5</v>
      </c>
      <c r="U313" s="35" t="str">
        <f t="shared" si="24"/>
        <v>2026-05</v>
      </c>
      <c r="V313" s="38">
        <f>IF(J313="已結案",0,(使用說明!$B$7-B313)*24)</f>
        <v>0</v>
      </c>
    </row>
    <row r="314" spans="1:22">
      <c r="A314" s="32" t="s">
        <v>781</v>
      </c>
      <c r="B314" s="33">
        <v>46155.386805555558</v>
      </c>
      <c r="C314" s="34" t="s">
        <v>782</v>
      </c>
      <c r="D314" s="34" t="s">
        <v>210</v>
      </c>
      <c r="E314" s="34" t="s">
        <v>219</v>
      </c>
      <c r="F314" s="34" t="s">
        <v>249</v>
      </c>
      <c r="G314" s="34" t="s">
        <v>242</v>
      </c>
      <c r="H314" s="34" t="s">
        <v>285</v>
      </c>
      <c r="I314" s="35" t="str">
        <f>VLOOKUP(H314,人員與團隊!$A$4:$D$27,3,FALSE)</f>
        <v>線上服務</v>
      </c>
      <c r="J314" s="34" t="s">
        <v>215</v>
      </c>
      <c r="K314" s="33">
        <v>46155.456250000003</v>
      </c>
      <c r="L314" s="33">
        <v>46155.830992997682</v>
      </c>
      <c r="M314" s="36">
        <f t="shared" si="20"/>
        <v>100.00000000116415</v>
      </c>
      <c r="N314" s="37">
        <f t="shared" si="21"/>
        <v>10.660498610988725</v>
      </c>
      <c r="O314" s="36">
        <f>VLOOKUP(G314,SLA標準!$A$4:$C$7,2,FALSE)</f>
        <v>240</v>
      </c>
      <c r="P314" s="37">
        <f>VLOOKUP(G314,SLA標準!$A$4:$C$7,3,FALSE)</f>
        <v>24</v>
      </c>
      <c r="Q314" s="35" t="str">
        <f t="shared" si="22"/>
        <v>達標</v>
      </c>
      <c r="R314" s="34" t="s">
        <v>47</v>
      </c>
      <c r="S314" s="35" t="str">
        <f t="shared" si="23"/>
        <v>否</v>
      </c>
      <c r="T314" s="36" t="str">
        <f>IFERROR(VLOOKUP(A314,滿意度調查!$B$4:$D$570,3,FALSE),"")</f>
        <v/>
      </c>
      <c r="U314" s="35" t="str">
        <f t="shared" si="24"/>
        <v>2026-05</v>
      </c>
      <c r="V314" s="38">
        <f>IF(J314="已結案",0,(使用說明!$B$7-B314)*24)</f>
        <v>0</v>
      </c>
    </row>
    <row r="315" spans="1:22">
      <c r="A315" s="32" t="s">
        <v>783</v>
      </c>
      <c r="B315" s="33">
        <v>46155.413888888892</v>
      </c>
      <c r="C315" s="34" t="s">
        <v>752</v>
      </c>
      <c r="D315" s="34" t="s">
        <v>225</v>
      </c>
      <c r="E315" s="34" t="s">
        <v>265</v>
      </c>
      <c r="F315" s="34" t="s">
        <v>266</v>
      </c>
      <c r="G315" s="34" t="s">
        <v>242</v>
      </c>
      <c r="H315" s="34" t="s">
        <v>250</v>
      </c>
      <c r="I315" s="35" t="str">
        <f>VLOOKUP(H315,人員與團隊!$A$4:$D$27,3,FALSE)</f>
        <v>南區服務</v>
      </c>
      <c r="J315" s="34" t="s">
        <v>215</v>
      </c>
      <c r="K315" s="33">
        <v>46155.538888888892</v>
      </c>
      <c r="L315" s="33">
        <v>46156.00921491898</v>
      </c>
      <c r="M315" s="36">
        <f t="shared" si="20"/>
        <v>180</v>
      </c>
      <c r="N315" s="37">
        <f t="shared" si="21"/>
        <v>14.287824722123332</v>
      </c>
      <c r="O315" s="36">
        <f>VLOOKUP(G315,SLA標準!$A$4:$C$7,2,FALSE)</f>
        <v>240</v>
      </c>
      <c r="P315" s="37">
        <f>VLOOKUP(G315,SLA標準!$A$4:$C$7,3,FALSE)</f>
        <v>24</v>
      </c>
      <c r="Q315" s="35" t="str">
        <f t="shared" si="22"/>
        <v>達標</v>
      </c>
      <c r="R315" s="34" t="s">
        <v>47</v>
      </c>
      <c r="S315" s="35" t="str">
        <f t="shared" si="23"/>
        <v>是</v>
      </c>
      <c r="T315" s="36">
        <f>IFERROR(VLOOKUP(A315,滿意度調查!$B$4:$D$570,3,FALSE),"")</f>
        <v>5</v>
      </c>
      <c r="U315" s="35" t="str">
        <f t="shared" si="24"/>
        <v>2026-05</v>
      </c>
      <c r="V315" s="38">
        <f>IF(J315="已結案",0,(使用說明!$B$7-B315)*24)</f>
        <v>0</v>
      </c>
    </row>
    <row r="316" spans="1:22">
      <c r="A316" s="32" t="s">
        <v>784</v>
      </c>
      <c r="B316" s="33">
        <v>46155.541666666664</v>
      </c>
      <c r="C316" s="34" t="s">
        <v>515</v>
      </c>
      <c r="D316" s="34" t="s">
        <v>210</v>
      </c>
      <c r="E316" s="34" t="s">
        <v>245</v>
      </c>
      <c r="F316" s="34" t="s">
        <v>278</v>
      </c>
      <c r="G316" s="34" t="s">
        <v>242</v>
      </c>
      <c r="H316" s="34" t="s">
        <v>361</v>
      </c>
      <c r="I316" s="35" t="str">
        <f>VLOOKUP(H316,人員與團隊!$A$4:$D$27,3,FALSE)</f>
        <v>南區服務</v>
      </c>
      <c r="J316" s="34" t="s">
        <v>215</v>
      </c>
      <c r="K316" s="33">
        <v>46155.606249999997</v>
      </c>
      <c r="L316" s="33">
        <v>46156.164136863423</v>
      </c>
      <c r="M316" s="36">
        <f t="shared" si="20"/>
        <v>92.999999999301508</v>
      </c>
      <c r="N316" s="37">
        <f t="shared" si="21"/>
        <v>14.93928472220432</v>
      </c>
      <c r="O316" s="36">
        <f>VLOOKUP(G316,SLA標準!$A$4:$C$7,2,FALSE)</f>
        <v>240</v>
      </c>
      <c r="P316" s="37">
        <f>VLOOKUP(G316,SLA標準!$A$4:$C$7,3,FALSE)</f>
        <v>24</v>
      </c>
      <c r="Q316" s="35" t="str">
        <f t="shared" si="22"/>
        <v>達標</v>
      </c>
      <c r="R316" s="34" t="s">
        <v>41</v>
      </c>
      <c r="S316" s="35" t="str">
        <f t="shared" si="23"/>
        <v>是</v>
      </c>
      <c r="T316" s="36">
        <f>IFERROR(VLOOKUP(A316,滿意度調查!$B$4:$D$570,3,FALSE),"")</f>
        <v>4</v>
      </c>
      <c r="U316" s="35" t="str">
        <f t="shared" si="24"/>
        <v>2026-05</v>
      </c>
      <c r="V316" s="38">
        <f>IF(J316="已結案",0,(使用說明!$B$7-B316)*24)</f>
        <v>0</v>
      </c>
    </row>
    <row r="317" spans="1:22">
      <c r="A317" s="32" t="s">
        <v>785</v>
      </c>
      <c r="B317" s="33">
        <v>46155.583333333336</v>
      </c>
      <c r="C317" s="34" t="s">
        <v>786</v>
      </c>
      <c r="D317" s="34" t="s">
        <v>225</v>
      </c>
      <c r="E317" s="34" t="s">
        <v>265</v>
      </c>
      <c r="F317" s="34" t="s">
        <v>266</v>
      </c>
      <c r="G317" s="34" t="s">
        <v>221</v>
      </c>
      <c r="H317" s="34" t="s">
        <v>328</v>
      </c>
      <c r="I317" s="35" t="str">
        <f>VLOOKUP(H317,人員與團隊!$A$4:$D$27,3,FALSE)</f>
        <v>北區服務</v>
      </c>
      <c r="J317" s="34" t="s">
        <v>215</v>
      </c>
      <c r="K317" s="33">
        <v>46155.595138888886</v>
      </c>
      <c r="L317" s="33">
        <v>46156.46882238426</v>
      </c>
      <c r="M317" s="36">
        <f t="shared" si="20"/>
        <v>16.999999992549419</v>
      </c>
      <c r="N317" s="37">
        <f t="shared" si="21"/>
        <v>21.251737222191878</v>
      </c>
      <c r="O317" s="36">
        <f>VLOOKUP(G317,SLA標準!$A$4:$C$7,2,FALSE)</f>
        <v>60</v>
      </c>
      <c r="P317" s="37">
        <f>VLOOKUP(G317,SLA標準!$A$4:$C$7,3,FALSE)</f>
        <v>8</v>
      </c>
      <c r="Q317" s="35" t="str">
        <f t="shared" si="22"/>
        <v>逾期</v>
      </c>
      <c r="R317" s="34" t="s">
        <v>47</v>
      </c>
      <c r="S317" s="35" t="str">
        <f t="shared" si="23"/>
        <v>是</v>
      </c>
      <c r="T317" s="36">
        <f>IFERROR(VLOOKUP(A317,滿意度調查!$B$4:$D$570,3,FALSE),"")</f>
        <v>2</v>
      </c>
      <c r="U317" s="35" t="str">
        <f t="shared" si="24"/>
        <v>2026-05</v>
      </c>
      <c r="V317" s="38">
        <f>IF(J317="已結案",0,(使用說明!$B$7-B317)*24)</f>
        <v>0</v>
      </c>
    </row>
    <row r="318" spans="1:22">
      <c r="A318" s="32" t="s">
        <v>787</v>
      </c>
      <c r="B318" s="33">
        <v>46155.65902777778</v>
      </c>
      <c r="C318" s="34" t="s">
        <v>662</v>
      </c>
      <c r="D318" s="34" t="s">
        <v>240</v>
      </c>
      <c r="E318" s="34" t="s">
        <v>211</v>
      </c>
      <c r="F318" s="34" t="s">
        <v>212</v>
      </c>
      <c r="G318" s="34" t="s">
        <v>221</v>
      </c>
      <c r="H318" s="34" t="s">
        <v>243</v>
      </c>
      <c r="I318" s="35" t="str">
        <f>VLOOKUP(H318,人員與團隊!$A$4:$D$27,3,FALSE)</f>
        <v>南區服務</v>
      </c>
      <c r="J318" s="34" t="s">
        <v>215</v>
      </c>
      <c r="K318" s="33">
        <v>46155.700694444444</v>
      </c>
      <c r="L318" s="33">
        <v>46155.765773888888</v>
      </c>
      <c r="M318" s="36">
        <f t="shared" si="20"/>
        <v>59.99999999650754</v>
      </c>
      <c r="N318" s="37">
        <f t="shared" si="21"/>
        <v>2.5619066666113213</v>
      </c>
      <c r="O318" s="36">
        <f>VLOOKUP(G318,SLA標準!$A$4:$C$7,2,FALSE)</f>
        <v>60</v>
      </c>
      <c r="P318" s="37">
        <f>VLOOKUP(G318,SLA標準!$A$4:$C$7,3,FALSE)</f>
        <v>8</v>
      </c>
      <c r="Q318" s="35" t="str">
        <f t="shared" si="22"/>
        <v>達標</v>
      </c>
      <c r="R318" s="34" t="s">
        <v>47</v>
      </c>
      <c r="S318" s="35" t="str">
        <f t="shared" si="23"/>
        <v>是</v>
      </c>
      <c r="T318" s="36">
        <f>IFERROR(VLOOKUP(A318,滿意度調查!$B$4:$D$570,3,FALSE),"")</f>
        <v>4</v>
      </c>
      <c r="U318" s="35" t="str">
        <f t="shared" si="24"/>
        <v>2026-05</v>
      </c>
      <c r="V318" s="38">
        <f>IF(J318="已結案",0,(使用說明!$B$7-B318)*24)</f>
        <v>0</v>
      </c>
    </row>
    <row r="319" spans="1:22">
      <c r="A319" s="32" t="s">
        <v>788</v>
      </c>
      <c r="B319" s="33">
        <v>46155.71875</v>
      </c>
      <c r="C319" s="34" t="s">
        <v>789</v>
      </c>
      <c r="D319" s="34" t="s">
        <v>210</v>
      </c>
      <c r="E319" s="34" t="s">
        <v>235</v>
      </c>
      <c r="F319" s="34" t="s">
        <v>298</v>
      </c>
      <c r="G319" s="34" t="s">
        <v>221</v>
      </c>
      <c r="H319" s="34" t="s">
        <v>243</v>
      </c>
      <c r="I319" s="35" t="str">
        <f>VLOOKUP(H319,人員與團隊!$A$4:$D$27,3,FALSE)</f>
        <v>南區服務</v>
      </c>
      <c r="J319" s="34" t="s">
        <v>215</v>
      </c>
      <c r="K319" s="33">
        <v>46155.736805555556</v>
      </c>
      <c r="L319" s="33">
        <v>46156.048435231482</v>
      </c>
      <c r="M319" s="36">
        <f t="shared" si="20"/>
        <v>26.000000000931323</v>
      </c>
      <c r="N319" s="37">
        <f t="shared" si="21"/>
        <v>7.9124455555574968</v>
      </c>
      <c r="O319" s="36">
        <f>VLOOKUP(G319,SLA標準!$A$4:$C$7,2,FALSE)</f>
        <v>60</v>
      </c>
      <c r="P319" s="37">
        <f>VLOOKUP(G319,SLA標準!$A$4:$C$7,3,FALSE)</f>
        <v>8</v>
      </c>
      <c r="Q319" s="35" t="str">
        <f t="shared" si="22"/>
        <v>達標</v>
      </c>
      <c r="R319" s="34" t="s">
        <v>47</v>
      </c>
      <c r="S319" s="35" t="str">
        <f t="shared" si="23"/>
        <v>是</v>
      </c>
      <c r="T319" s="36">
        <f>IFERROR(VLOOKUP(A319,滿意度調查!$B$4:$D$570,3,FALSE),"")</f>
        <v>5</v>
      </c>
      <c r="U319" s="35" t="str">
        <f t="shared" si="24"/>
        <v>2026-05</v>
      </c>
      <c r="V319" s="38">
        <f>IF(J319="已結案",0,(使用說明!$B$7-B319)*24)</f>
        <v>0</v>
      </c>
    </row>
    <row r="320" spans="1:22">
      <c r="A320" s="32" t="s">
        <v>790</v>
      </c>
      <c r="B320" s="33">
        <v>46155.727083333331</v>
      </c>
      <c r="C320" s="34" t="s">
        <v>791</v>
      </c>
      <c r="D320" s="34" t="s">
        <v>210</v>
      </c>
      <c r="E320" s="34" t="s">
        <v>230</v>
      </c>
      <c r="F320" s="34" t="s">
        <v>272</v>
      </c>
      <c r="G320" s="34" t="s">
        <v>242</v>
      </c>
      <c r="H320" s="34" t="s">
        <v>254</v>
      </c>
      <c r="I320" s="35" t="str">
        <f>VLOOKUP(H320,人員與團隊!$A$4:$D$27,3,FALSE)</f>
        <v>線上服務</v>
      </c>
      <c r="J320" s="34" t="s">
        <v>215</v>
      </c>
      <c r="K320" s="33">
        <v>46155.822916666664</v>
      </c>
      <c r="L320" s="33">
        <v>46156.913282488429</v>
      </c>
      <c r="M320" s="36">
        <f t="shared" si="20"/>
        <v>137.99999999930151</v>
      </c>
      <c r="N320" s="37">
        <f t="shared" si="21"/>
        <v>28.468779722345062</v>
      </c>
      <c r="O320" s="36">
        <f>VLOOKUP(G320,SLA標準!$A$4:$C$7,2,FALSE)</f>
        <v>240</v>
      </c>
      <c r="P320" s="37">
        <f>VLOOKUP(G320,SLA標準!$A$4:$C$7,3,FALSE)</f>
        <v>24</v>
      </c>
      <c r="Q320" s="35" t="str">
        <f t="shared" si="22"/>
        <v>逾期</v>
      </c>
      <c r="R320" s="34" t="s">
        <v>47</v>
      </c>
      <c r="S320" s="35" t="str">
        <f t="shared" si="23"/>
        <v>是</v>
      </c>
      <c r="T320" s="36">
        <f>IFERROR(VLOOKUP(A320,滿意度調查!$B$4:$D$570,3,FALSE),"")</f>
        <v>4</v>
      </c>
      <c r="U320" s="35" t="str">
        <f t="shared" si="24"/>
        <v>2026-05</v>
      </c>
      <c r="V320" s="38">
        <f>IF(J320="已結案",0,(使用說明!$B$7-B320)*24)</f>
        <v>0</v>
      </c>
    </row>
    <row r="321" spans="1:22">
      <c r="A321" s="32" t="s">
        <v>792</v>
      </c>
      <c r="B321" s="33">
        <v>46155.75277777778</v>
      </c>
      <c r="C321" s="34" t="s">
        <v>464</v>
      </c>
      <c r="D321" s="34" t="s">
        <v>240</v>
      </c>
      <c r="E321" s="34" t="s">
        <v>219</v>
      </c>
      <c r="F321" s="34" t="s">
        <v>220</v>
      </c>
      <c r="G321" s="34" t="s">
        <v>221</v>
      </c>
      <c r="H321" s="34" t="s">
        <v>328</v>
      </c>
      <c r="I321" s="35" t="str">
        <f>VLOOKUP(H321,人員與團隊!$A$4:$D$27,3,FALSE)</f>
        <v>北區服務</v>
      </c>
      <c r="J321" s="34" t="s">
        <v>215</v>
      </c>
      <c r="K321" s="33">
        <v>46155.795138888891</v>
      </c>
      <c r="L321" s="33">
        <v>46156.066041041668</v>
      </c>
      <c r="M321" s="36">
        <f t="shared" si="20"/>
        <v>60.999999999767169</v>
      </c>
      <c r="N321" s="37">
        <f t="shared" si="21"/>
        <v>7.5183183333138004</v>
      </c>
      <c r="O321" s="36">
        <f>VLOOKUP(G321,SLA標準!$A$4:$C$7,2,FALSE)</f>
        <v>60</v>
      </c>
      <c r="P321" s="37">
        <f>VLOOKUP(G321,SLA標準!$A$4:$C$7,3,FALSE)</f>
        <v>8</v>
      </c>
      <c r="Q321" s="35" t="str">
        <f t="shared" si="22"/>
        <v>逾期</v>
      </c>
      <c r="R321" s="34" t="s">
        <v>47</v>
      </c>
      <c r="S321" s="35" t="str">
        <f t="shared" si="23"/>
        <v>否</v>
      </c>
      <c r="T321" s="36" t="str">
        <f>IFERROR(VLOOKUP(A321,滿意度調查!$B$4:$D$570,3,FALSE),"")</f>
        <v/>
      </c>
      <c r="U321" s="35" t="str">
        <f t="shared" si="24"/>
        <v>2026-05</v>
      </c>
      <c r="V321" s="38">
        <f>IF(J321="已結案",0,(使用說明!$B$7-B321)*24)</f>
        <v>0</v>
      </c>
    </row>
    <row r="322" spans="1:22">
      <c r="A322" s="32" t="s">
        <v>793</v>
      </c>
      <c r="B322" s="33">
        <v>46155.794444444444</v>
      </c>
      <c r="C322" s="34" t="s">
        <v>478</v>
      </c>
      <c r="D322" s="34" t="s">
        <v>218</v>
      </c>
      <c r="E322" s="34" t="s">
        <v>235</v>
      </c>
      <c r="F322" s="34" t="s">
        <v>236</v>
      </c>
      <c r="G322" s="34" t="s">
        <v>242</v>
      </c>
      <c r="H322" s="34" t="s">
        <v>262</v>
      </c>
      <c r="I322" s="35" t="str">
        <f>VLOOKUP(H322,人員與團隊!$A$4:$D$27,3,FALSE)</f>
        <v>南區服務</v>
      </c>
      <c r="J322" s="34" t="s">
        <v>215</v>
      </c>
      <c r="K322" s="33">
        <v>46155.927083333336</v>
      </c>
      <c r="L322" s="33">
        <v>46156.282314791664</v>
      </c>
      <c r="M322" s="36">
        <f t="shared" si="20"/>
        <v>191.00000000442378</v>
      </c>
      <c r="N322" s="37">
        <f t="shared" si="21"/>
        <v>11.708888333290815</v>
      </c>
      <c r="O322" s="36">
        <f>VLOOKUP(G322,SLA標準!$A$4:$C$7,2,FALSE)</f>
        <v>240</v>
      </c>
      <c r="P322" s="37">
        <f>VLOOKUP(G322,SLA標準!$A$4:$C$7,3,FALSE)</f>
        <v>24</v>
      </c>
      <c r="Q322" s="35" t="str">
        <f t="shared" si="22"/>
        <v>達標</v>
      </c>
      <c r="R322" s="34" t="s">
        <v>47</v>
      </c>
      <c r="S322" s="35" t="str">
        <f t="shared" si="23"/>
        <v>是</v>
      </c>
      <c r="T322" s="36">
        <f>IFERROR(VLOOKUP(A322,滿意度調查!$B$4:$D$570,3,FALSE),"")</f>
        <v>5</v>
      </c>
      <c r="U322" s="35" t="str">
        <f t="shared" si="24"/>
        <v>2026-05</v>
      </c>
      <c r="V322" s="38">
        <f>IF(J322="已結案",0,(使用說明!$B$7-B322)*24)</f>
        <v>0</v>
      </c>
    </row>
    <row r="323" spans="1:22">
      <c r="A323" s="32" t="s">
        <v>794</v>
      </c>
      <c r="B323" s="33">
        <v>46155.794444444444</v>
      </c>
      <c r="C323" s="34" t="s">
        <v>795</v>
      </c>
      <c r="D323" s="34" t="s">
        <v>240</v>
      </c>
      <c r="E323" s="34" t="s">
        <v>245</v>
      </c>
      <c r="F323" s="34" t="s">
        <v>278</v>
      </c>
      <c r="G323" s="34" t="s">
        <v>213</v>
      </c>
      <c r="H323" s="34" t="s">
        <v>279</v>
      </c>
      <c r="I323" s="35" t="str">
        <f>VLOOKUP(H323,人員與團隊!$A$4:$D$27,3,FALSE)</f>
        <v>南區服務</v>
      </c>
      <c r="J323" s="34" t="s">
        <v>215</v>
      </c>
      <c r="K323" s="33">
        <v>46156.307638888888</v>
      </c>
      <c r="L323" s="33">
        <v>46157.186620289351</v>
      </c>
      <c r="M323" s="36">
        <f t="shared" si="20"/>
        <v>738.99999999906868</v>
      </c>
      <c r="N323" s="37">
        <f t="shared" si="21"/>
        <v>33.4122202777653</v>
      </c>
      <c r="O323" s="36">
        <f>VLOOKUP(G323,SLA標準!$A$4:$C$7,2,FALSE)</f>
        <v>480</v>
      </c>
      <c r="P323" s="37">
        <f>VLOOKUP(G323,SLA標準!$A$4:$C$7,3,FALSE)</f>
        <v>48</v>
      </c>
      <c r="Q323" s="35" t="str">
        <f t="shared" si="22"/>
        <v>逾期</v>
      </c>
      <c r="R323" s="34" t="s">
        <v>47</v>
      </c>
      <c r="S323" s="35" t="str">
        <f t="shared" si="23"/>
        <v>否</v>
      </c>
      <c r="T323" s="36" t="str">
        <f>IFERROR(VLOOKUP(A323,滿意度調查!$B$4:$D$570,3,FALSE),"")</f>
        <v/>
      </c>
      <c r="U323" s="35" t="str">
        <f t="shared" si="24"/>
        <v>2026-05</v>
      </c>
      <c r="V323" s="38">
        <f>IF(J323="已結案",0,(使用說明!$B$7-B323)*24)</f>
        <v>0</v>
      </c>
    </row>
    <row r="324" spans="1:22">
      <c r="A324" s="32" t="s">
        <v>796</v>
      </c>
      <c r="B324" s="33">
        <v>46155.81527777778</v>
      </c>
      <c r="C324" s="34" t="s">
        <v>582</v>
      </c>
      <c r="D324" s="34" t="s">
        <v>210</v>
      </c>
      <c r="E324" s="34" t="s">
        <v>211</v>
      </c>
      <c r="F324" s="34" t="s">
        <v>226</v>
      </c>
      <c r="G324" s="34" t="s">
        <v>213</v>
      </c>
      <c r="H324" s="34" t="s">
        <v>250</v>
      </c>
      <c r="I324" s="35" t="str">
        <f>VLOOKUP(H324,人員與團隊!$A$4:$D$27,3,FALSE)</f>
        <v>南區服務</v>
      </c>
      <c r="J324" s="34" t="s">
        <v>215</v>
      </c>
      <c r="K324" s="33">
        <v>46155.943055555559</v>
      </c>
      <c r="L324" s="33">
        <v>46156.113690729166</v>
      </c>
      <c r="M324" s="36">
        <f t="shared" ref="M324:M387" si="25">IF(K324="","",(K324-B324)*1440)</f>
        <v>184.00000000256114</v>
      </c>
      <c r="N324" s="37">
        <f t="shared" ref="N324:N387" si="26">IF(L324="","",(L324-B324)*24)</f>
        <v>7.1619108332670294</v>
      </c>
      <c r="O324" s="36">
        <f>VLOOKUP(G324,SLA標準!$A$4:$C$7,2,FALSE)</f>
        <v>480</v>
      </c>
      <c r="P324" s="37">
        <f>VLOOKUP(G324,SLA標準!$A$4:$C$7,3,FALSE)</f>
        <v>48</v>
      </c>
      <c r="Q324" s="35" t="str">
        <f t="shared" ref="Q324:Q387" si="27">IF(J324="已結案",IF(AND(M324&lt;=O324,N324&lt;=P324),"達標","逾期"),IF(OR(M324&gt;O324,V324&gt;P324),"逾期","進行中"))</f>
        <v>達標</v>
      </c>
      <c r="R324" s="34" t="s">
        <v>47</v>
      </c>
      <c r="S324" s="35" t="str">
        <f t="shared" ref="S324:S387" si="28">IF(T324="","否","是")</f>
        <v>是</v>
      </c>
      <c r="T324" s="36">
        <f>IFERROR(VLOOKUP(A324,滿意度調查!$B$4:$D$570,3,FALSE),"")</f>
        <v>5</v>
      </c>
      <c r="U324" s="35" t="str">
        <f t="shared" ref="U324:U387" si="29">TEXT(B324,"yyyy-mm")</f>
        <v>2026-05</v>
      </c>
      <c r="V324" s="38">
        <f>IF(J324="已結案",0,(使用說明!$B$7-B324)*24)</f>
        <v>0</v>
      </c>
    </row>
    <row r="325" spans="1:22">
      <c r="A325" s="32" t="s">
        <v>797</v>
      </c>
      <c r="B325" s="33">
        <v>46155.873611111114</v>
      </c>
      <c r="C325" s="34" t="s">
        <v>413</v>
      </c>
      <c r="D325" s="34" t="s">
        <v>240</v>
      </c>
      <c r="E325" s="34" t="s">
        <v>219</v>
      </c>
      <c r="F325" s="34" t="s">
        <v>249</v>
      </c>
      <c r="G325" s="34" t="s">
        <v>242</v>
      </c>
      <c r="H325" s="34" t="s">
        <v>285</v>
      </c>
      <c r="I325" s="35" t="str">
        <f>VLOOKUP(H325,人員與團隊!$A$4:$D$27,3,FALSE)</f>
        <v>線上服務</v>
      </c>
      <c r="J325" s="34" t="s">
        <v>215</v>
      </c>
      <c r="K325" s="33">
        <v>46156.034722222219</v>
      </c>
      <c r="L325" s="33">
        <v>46156.249502025465</v>
      </c>
      <c r="M325" s="36">
        <f t="shared" si="25"/>
        <v>231.99999999138527</v>
      </c>
      <c r="N325" s="37">
        <f t="shared" si="26"/>
        <v>9.0213819444179535</v>
      </c>
      <c r="O325" s="36">
        <f>VLOOKUP(G325,SLA標準!$A$4:$C$7,2,FALSE)</f>
        <v>240</v>
      </c>
      <c r="P325" s="37">
        <f>VLOOKUP(G325,SLA標準!$A$4:$C$7,3,FALSE)</f>
        <v>24</v>
      </c>
      <c r="Q325" s="35" t="str">
        <f t="shared" si="27"/>
        <v>達標</v>
      </c>
      <c r="R325" s="34" t="s">
        <v>47</v>
      </c>
      <c r="S325" s="35" t="str">
        <f t="shared" si="28"/>
        <v>是</v>
      </c>
      <c r="T325" s="36">
        <f>IFERROR(VLOOKUP(A325,滿意度調查!$B$4:$D$570,3,FALSE),"")</f>
        <v>4</v>
      </c>
      <c r="U325" s="35" t="str">
        <f t="shared" si="29"/>
        <v>2026-05</v>
      </c>
      <c r="V325" s="38">
        <f>IF(J325="已結案",0,(使用說明!$B$7-B325)*24)</f>
        <v>0</v>
      </c>
    </row>
    <row r="326" spans="1:22">
      <c r="A326" s="32" t="s">
        <v>798</v>
      </c>
      <c r="B326" s="33">
        <v>46156.38958333333</v>
      </c>
      <c r="C326" s="34" t="s">
        <v>322</v>
      </c>
      <c r="D326" s="34" t="s">
        <v>218</v>
      </c>
      <c r="E326" s="34" t="s">
        <v>235</v>
      </c>
      <c r="F326" s="34" t="s">
        <v>298</v>
      </c>
      <c r="G326" s="34" t="s">
        <v>213</v>
      </c>
      <c r="H326" s="34" t="s">
        <v>372</v>
      </c>
      <c r="I326" s="35" t="str">
        <f>VLOOKUP(H326,人員與團隊!$A$4:$D$27,3,FALSE)</f>
        <v>南區服務</v>
      </c>
      <c r="J326" s="34" t="s">
        <v>215</v>
      </c>
      <c r="K326" s="33">
        <v>46156.879861111112</v>
      </c>
      <c r="L326" s="33">
        <v>46157.026243252316</v>
      </c>
      <c r="M326" s="36">
        <f t="shared" si="25"/>
        <v>706.00000000675209</v>
      </c>
      <c r="N326" s="37">
        <f t="shared" si="26"/>
        <v>15.279838055663276</v>
      </c>
      <c r="O326" s="36">
        <f>VLOOKUP(G326,SLA標準!$A$4:$C$7,2,FALSE)</f>
        <v>480</v>
      </c>
      <c r="P326" s="37">
        <f>VLOOKUP(G326,SLA標準!$A$4:$C$7,3,FALSE)</f>
        <v>48</v>
      </c>
      <c r="Q326" s="35" t="str">
        <f t="shared" si="27"/>
        <v>逾期</v>
      </c>
      <c r="R326" s="34" t="s">
        <v>47</v>
      </c>
      <c r="S326" s="35" t="str">
        <f t="shared" si="28"/>
        <v>是</v>
      </c>
      <c r="T326" s="36">
        <f>IFERROR(VLOOKUP(A326,滿意度調查!$B$4:$D$570,3,FALSE),"")</f>
        <v>4</v>
      </c>
      <c r="U326" s="35" t="str">
        <f t="shared" si="29"/>
        <v>2026-05</v>
      </c>
      <c r="V326" s="38">
        <f>IF(J326="已結案",0,(使用說明!$B$7-B326)*24)</f>
        <v>0</v>
      </c>
    </row>
    <row r="327" spans="1:22">
      <c r="A327" s="32" t="s">
        <v>799</v>
      </c>
      <c r="B327" s="33">
        <v>46156.40347222222</v>
      </c>
      <c r="C327" s="34" t="s">
        <v>269</v>
      </c>
      <c r="D327" s="34" t="s">
        <v>210</v>
      </c>
      <c r="E327" s="34" t="s">
        <v>235</v>
      </c>
      <c r="F327" s="34" t="s">
        <v>236</v>
      </c>
      <c r="G327" s="34" t="s">
        <v>221</v>
      </c>
      <c r="H327" s="34" t="s">
        <v>315</v>
      </c>
      <c r="I327" s="35" t="str">
        <f>VLOOKUP(H327,人員與團隊!$A$4:$D$27,3,FALSE)</f>
        <v>北區服務</v>
      </c>
      <c r="J327" s="34" t="s">
        <v>215</v>
      </c>
      <c r="K327" s="33">
        <v>46156.415972222225</v>
      </c>
      <c r="L327" s="33">
        <v>46156.808493136574</v>
      </c>
      <c r="M327" s="36">
        <f t="shared" si="25"/>
        <v>18.000000006286427</v>
      </c>
      <c r="N327" s="37">
        <f t="shared" si="26"/>
        <v>9.7205019444809295</v>
      </c>
      <c r="O327" s="36">
        <f>VLOOKUP(G327,SLA標準!$A$4:$C$7,2,FALSE)</f>
        <v>60</v>
      </c>
      <c r="P327" s="37">
        <f>VLOOKUP(G327,SLA標準!$A$4:$C$7,3,FALSE)</f>
        <v>8</v>
      </c>
      <c r="Q327" s="35" t="str">
        <f t="shared" si="27"/>
        <v>逾期</v>
      </c>
      <c r="R327" s="34" t="s">
        <v>47</v>
      </c>
      <c r="S327" s="35" t="str">
        <f t="shared" si="28"/>
        <v>是</v>
      </c>
      <c r="T327" s="36">
        <f>IFERROR(VLOOKUP(A327,滿意度調查!$B$4:$D$570,3,FALSE),"")</f>
        <v>4</v>
      </c>
      <c r="U327" s="35" t="str">
        <f t="shared" si="29"/>
        <v>2026-05</v>
      </c>
      <c r="V327" s="38">
        <f>IF(J327="已結案",0,(使用說明!$B$7-B327)*24)</f>
        <v>0</v>
      </c>
    </row>
    <row r="328" spans="1:22">
      <c r="A328" s="32" t="s">
        <v>800</v>
      </c>
      <c r="B328" s="33">
        <v>46156.44027777778</v>
      </c>
      <c r="C328" s="34" t="s">
        <v>801</v>
      </c>
      <c r="D328" s="34" t="s">
        <v>210</v>
      </c>
      <c r="E328" s="34" t="s">
        <v>219</v>
      </c>
      <c r="F328" s="34" t="s">
        <v>220</v>
      </c>
      <c r="G328" s="34" t="s">
        <v>350</v>
      </c>
      <c r="H328" s="34" t="s">
        <v>381</v>
      </c>
      <c r="I328" s="35" t="str">
        <f>VLOOKUP(H328,人員與團隊!$A$4:$D$27,3,FALSE)</f>
        <v>線上服務</v>
      </c>
      <c r="J328" s="34" t="s">
        <v>215</v>
      </c>
      <c r="K328" s="33">
        <v>46156.450694444444</v>
      </c>
      <c r="L328" s="33">
        <v>46156.86201853009</v>
      </c>
      <c r="M328" s="36">
        <f t="shared" si="25"/>
        <v>14.99999999650754</v>
      </c>
      <c r="N328" s="37">
        <f t="shared" si="26"/>
        <v>10.121778055443428</v>
      </c>
      <c r="O328" s="36">
        <f>VLOOKUP(G328,SLA標準!$A$4:$C$7,2,FALSE)</f>
        <v>30</v>
      </c>
      <c r="P328" s="37">
        <f>VLOOKUP(G328,SLA標準!$A$4:$C$7,3,FALSE)</f>
        <v>4</v>
      </c>
      <c r="Q328" s="35" t="str">
        <f t="shared" si="27"/>
        <v>逾期</v>
      </c>
      <c r="R328" s="34" t="s">
        <v>47</v>
      </c>
      <c r="S328" s="35" t="str">
        <f t="shared" si="28"/>
        <v>是</v>
      </c>
      <c r="T328" s="36">
        <f>IFERROR(VLOOKUP(A328,滿意度調查!$B$4:$D$570,3,FALSE),"")</f>
        <v>3</v>
      </c>
      <c r="U328" s="35" t="str">
        <f t="shared" si="29"/>
        <v>2026-05</v>
      </c>
      <c r="V328" s="38">
        <f>IF(J328="已結案",0,(使用說明!$B$7-B328)*24)</f>
        <v>0</v>
      </c>
    </row>
    <row r="329" spans="1:22">
      <c r="A329" s="32" t="s">
        <v>802</v>
      </c>
      <c r="B329" s="33">
        <v>46156.441666666666</v>
      </c>
      <c r="C329" s="34" t="s">
        <v>287</v>
      </c>
      <c r="D329" s="34" t="s">
        <v>225</v>
      </c>
      <c r="E329" s="34" t="s">
        <v>230</v>
      </c>
      <c r="F329" s="34" t="s">
        <v>320</v>
      </c>
      <c r="G329" s="34" t="s">
        <v>242</v>
      </c>
      <c r="H329" s="34" t="s">
        <v>214</v>
      </c>
      <c r="I329" s="35" t="str">
        <f>VLOOKUP(H329,人員與團隊!$A$4:$D$27,3,FALSE)</f>
        <v>北區服務</v>
      </c>
      <c r="J329" s="34" t="s">
        <v>215</v>
      </c>
      <c r="K329" s="33">
        <v>46156.523611111108</v>
      </c>
      <c r="L329" s="33">
        <v>46157.585090555556</v>
      </c>
      <c r="M329" s="36">
        <f t="shared" si="25"/>
        <v>117.9999999969732</v>
      </c>
      <c r="N329" s="37">
        <f t="shared" si="26"/>
        <v>27.442173333372921</v>
      </c>
      <c r="O329" s="36">
        <f>VLOOKUP(G329,SLA標準!$A$4:$C$7,2,FALSE)</f>
        <v>240</v>
      </c>
      <c r="P329" s="37">
        <f>VLOOKUP(G329,SLA標準!$A$4:$C$7,3,FALSE)</f>
        <v>24</v>
      </c>
      <c r="Q329" s="35" t="str">
        <f t="shared" si="27"/>
        <v>逾期</v>
      </c>
      <c r="R329" s="34" t="s">
        <v>47</v>
      </c>
      <c r="S329" s="35" t="str">
        <f t="shared" si="28"/>
        <v>是</v>
      </c>
      <c r="T329" s="36">
        <f>IFERROR(VLOOKUP(A329,滿意度調查!$B$4:$D$570,3,FALSE),"")</f>
        <v>4</v>
      </c>
      <c r="U329" s="35" t="str">
        <f t="shared" si="29"/>
        <v>2026-05</v>
      </c>
      <c r="V329" s="38">
        <f>IF(J329="已結案",0,(使用說明!$B$7-B329)*24)</f>
        <v>0</v>
      </c>
    </row>
    <row r="330" spans="1:22">
      <c r="A330" s="32" t="s">
        <v>803</v>
      </c>
      <c r="B330" s="33">
        <v>46156.482638888891</v>
      </c>
      <c r="C330" s="34" t="s">
        <v>804</v>
      </c>
      <c r="D330" s="34" t="s">
        <v>218</v>
      </c>
      <c r="E330" s="34" t="s">
        <v>211</v>
      </c>
      <c r="F330" s="34" t="s">
        <v>331</v>
      </c>
      <c r="G330" s="34" t="s">
        <v>242</v>
      </c>
      <c r="H330" s="34" t="s">
        <v>285</v>
      </c>
      <c r="I330" s="35" t="str">
        <f>VLOOKUP(H330,人員與團隊!$A$4:$D$27,3,FALSE)</f>
        <v>線上服務</v>
      </c>
      <c r="J330" s="34" t="s">
        <v>215</v>
      </c>
      <c r="K330" s="33">
        <v>46156.705555555556</v>
      </c>
      <c r="L330" s="33">
        <v>46156.773653229167</v>
      </c>
      <c r="M330" s="36">
        <f t="shared" si="25"/>
        <v>320.99999999860302</v>
      </c>
      <c r="N330" s="37">
        <f t="shared" si="26"/>
        <v>6.9843441666453145</v>
      </c>
      <c r="O330" s="36">
        <f>VLOOKUP(G330,SLA標準!$A$4:$C$7,2,FALSE)</f>
        <v>240</v>
      </c>
      <c r="P330" s="37">
        <f>VLOOKUP(G330,SLA標準!$A$4:$C$7,3,FALSE)</f>
        <v>24</v>
      </c>
      <c r="Q330" s="35" t="str">
        <f t="shared" si="27"/>
        <v>逾期</v>
      </c>
      <c r="R330" s="34" t="s">
        <v>47</v>
      </c>
      <c r="S330" s="35" t="str">
        <f t="shared" si="28"/>
        <v>否</v>
      </c>
      <c r="T330" s="36" t="str">
        <f>IFERROR(VLOOKUP(A330,滿意度調查!$B$4:$D$570,3,FALSE),"")</f>
        <v/>
      </c>
      <c r="U330" s="35" t="str">
        <f t="shared" si="29"/>
        <v>2026-05</v>
      </c>
      <c r="V330" s="38">
        <f>IF(J330="已結案",0,(使用說明!$B$7-B330)*24)</f>
        <v>0</v>
      </c>
    </row>
    <row r="331" spans="1:22">
      <c r="A331" s="32" t="s">
        <v>805</v>
      </c>
      <c r="B331" s="33">
        <v>46156.695138888892</v>
      </c>
      <c r="C331" s="34" t="s">
        <v>564</v>
      </c>
      <c r="D331" s="34" t="s">
        <v>240</v>
      </c>
      <c r="E331" s="34" t="s">
        <v>265</v>
      </c>
      <c r="F331" s="34" t="s">
        <v>301</v>
      </c>
      <c r="G331" s="34" t="s">
        <v>242</v>
      </c>
      <c r="H331" s="34" t="s">
        <v>361</v>
      </c>
      <c r="I331" s="35" t="str">
        <f>VLOOKUP(H331,人員與團隊!$A$4:$D$27,3,FALSE)</f>
        <v>南區服務</v>
      </c>
      <c r="J331" s="34" t="s">
        <v>215</v>
      </c>
      <c r="K331" s="33">
        <v>46156.870833333334</v>
      </c>
      <c r="L331" s="33">
        <v>46157.844617777781</v>
      </c>
      <c r="M331" s="36">
        <f t="shared" si="25"/>
        <v>252.9999999969732</v>
      </c>
      <c r="N331" s="37">
        <f t="shared" si="26"/>
        <v>27.587493333325256</v>
      </c>
      <c r="O331" s="36">
        <f>VLOOKUP(G331,SLA標準!$A$4:$C$7,2,FALSE)</f>
        <v>240</v>
      </c>
      <c r="P331" s="37">
        <f>VLOOKUP(G331,SLA標準!$A$4:$C$7,3,FALSE)</f>
        <v>24</v>
      </c>
      <c r="Q331" s="35" t="str">
        <f t="shared" si="27"/>
        <v>逾期</v>
      </c>
      <c r="R331" s="34" t="s">
        <v>47</v>
      </c>
      <c r="S331" s="35" t="str">
        <f t="shared" si="28"/>
        <v>是</v>
      </c>
      <c r="T331" s="36">
        <f>IFERROR(VLOOKUP(A331,滿意度調查!$B$4:$D$570,3,FALSE),"")</f>
        <v>3</v>
      </c>
      <c r="U331" s="35" t="str">
        <f t="shared" si="29"/>
        <v>2026-05</v>
      </c>
      <c r="V331" s="38">
        <f>IF(J331="已結案",0,(使用說明!$B$7-B331)*24)</f>
        <v>0</v>
      </c>
    </row>
    <row r="332" spans="1:22">
      <c r="A332" s="32" t="s">
        <v>806</v>
      </c>
      <c r="B332" s="33">
        <v>46156.767361111109</v>
      </c>
      <c r="C332" s="34" t="s">
        <v>769</v>
      </c>
      <c r="D332" s="34" t="s">
        <v>210</v>
      </c>
      <c r="E332" s="34" t="s">
        <v>211</v>
      </c>
      <c r="F332" s="34" t="s">
        <v>212</v>
      </c>
      <c r="G332" s="34" t="s">
        <v>242</v>
      </c>
      <c r="H332" s="34" t="s">
        <v>361</v>
      </c>
      <c r="I332" s="35" t="str">
        <f>VLOOKUP(H332,人員與團隊!$A$4:$D$27,3,FALSE)</f>
        <v>南區服務</v>
      </c>
      <c r="J332" s="34" t="s">
        <v>215</v>
      </c>
      <c r="K332" s="33">
        <v>46156.794444444444</v>
      </c>
      <c r="L332" s="33">
        <v>46156.915697175929</v>
      </c>
      <c r="M332" s="36">
        <f t="shared" si="25"/>
        <v>39.000000001396984</v>
      </c>
      <c r="N332" s="37">
        <f t="shared" si="26"/>
        <v>3.5600655556772836</v>
      </c>
      <c r="O332" s="36">
        <f>VLOOKUP(G332,SLA標準!$A$4:$C$7,2,FALSE)</f>
        <v>240</v>
      </c>
      <c r="P332" s="37">
        <f>VLOOKUP(G332,SLA標準!$A$4:$C$7,3,FALSE)</f>
        <v>24</v>
      </c>
      <c r="Q332" s="35" t="str">
        <f t="shared" si="27"/>
        <v>達標</v>
      </c>
      <c r="R332" s="34" t="s">
        <v>47</v>
      </c>
      <c r="S332" s="35" t="str">
        <f t="shared" si="28"/>
        <v>是</v>
      </c>
      <c r="T332" s="36">
        <f>IFERROR(VLOOKUP(A332,滿意度調查!$B$4:$D$570,3,FALSE),"")</f>
        <v>5</v>
      </c>
      <c r="U332" s="35" t="str">
        <f t="shared" si="29"/>
        <v>2026-05</v>
      </c>
      <c r="V332" s="38">
        <f>IF(J332="已結案",0,(使用說明!$B$7-B332)*24)</f>
        <v>0</v>
      </c>
    </row>
    <row r="333" spans="1:22">
      <c r="A333" s="32" t="s">
        <v>807</v>
      </c>
      <c r="B333" s="33">
        <v>46157.354861111111</v>
      </c>
      <c r="C333" s="34" t="s">
        <v>808</v>
      </c>
      <c r="D333" s="34" t="s">
        <v>225</v>
      </c>
      <c r="E333" s="34" t="s">
        <v>245</v>
      </c>
      <c r="F333" s="34" t="s">
        <v>282</v>
      </c>
      <c r="G333" s="34" t="s">
        <v>221</v>
      </c>
      <c r="H333" s="34" t="s">
        <v>237</v>
      </c>
      <c r="I333" s="35" t="str">
        <f>VLOOKUP(H333,人員與團隊!$A$4:$D$27,3,FALSE)</f>
        <v>北區服務</v>
      </c>
      <c r="J333" s="34" t="s">
        <v>215</v>
      </c>
      <c r="K333" s="33">
        <v>46157.379861111112</v>
      </c>
      <c r="L333" s="33">
        <v>46157.883580775466</v>
      </c>
      <c r="M333" s="36">
        <f t="shared" si="25"/>
        <v>36.000000002095476</v>
      </c>
      <c r="N333" s="37">
        <f t="shared" si="26"/>
        <v>12.689271944516804</v>
      </c>
      <c r="O333" s="36">
        <f>VLOOKUP(G333,SLA標準!$A$4:$C$7,2,FALSE)</f>
        <v>60</v>
      </c>
      <c r="P333" s="37">
        <f>VLOOKUP(G333,SLA標準!$A$4:$C$7,3,FALSE)</f>
        <v>8</v>
      </c>
      <c r="Q333" s="35" t="str">
        <f t="shared" si="27"/>
        <v>逾期</v>
      </c>
      <c r="R333" s="34" t="s">
        <v>47</v>
      </c>
      <c r="S333" s="35" t="str">
        <f t="shared" si="28"/>
        <v>是</v>
      </c>
      <c r="T333" s="36">
        <f>IFERROR(VLOOKUP(A333,滿意度調查!$B$4:$D$570,3,FALSE),"")</f>
        <v>3</v>
      </c>
      <c r="U333" s="35" t="str">
        <f t="shared" si="29"/>
        <v>2026-05</v>
      </c>
      <c r="V333" s="38">
        <f>IF(J333="已結案",0,(使用說明!$B$7-B333)*24)</f>
        <v>0</v>
      </c>
    </row>
    <row r="334" spans="1:22">
      <c r="A334" s="32" t="s">
        <v>809</v>
      </c>
      <c r="B334" s="33">
        <v>46157.444444444445</v>
      </c>
      <c r="C334" s="34" t="s">
        <v>330</v>
      </c>
      <c r="D334" s="34" t="s">
        <v>218</v>
      </c>
      <c r="E334" s="34" t="s">
        <v>219</v>
      </c>
      <c r="F334" s="34" t="s">
        <v>371</v>
      </c>
      <c r="G334" s="34" t="s">
        <v>242</v>
      </c>
      <c r="H334" s="34" t="s">
        <v>328</v>
      </c>
      <c r="I334" s="35" t="str">
        <f>VLOOKUP(H334,人員與團隊!$A$4:$D$27,3,FALSE)</f>
        <v>北區服務</v>
      </c>
      <c r="J334" s="34" t="s">
        <v>215</v>
      </c>
      <c r="K334" s="33">
        <v>46157.630555555559</v>
      </c>
      <c r="L334" s="33">
        <v>46158.289074629633</v>
      </c>
      <c r="M334" s="36">
        <f t="shared" si="25"/>
        <v>268.00000000395812</v>
      </c>
      <c r="N334" s="37">
        <f t="shared" si="26"/>
        <v>20.27112444449449</v>
      </c>
      <c r="O334" s="36">
        <f>VLOOKUP(G334,SLA標準!$A$4:$C$7,2,FALSE)</f>
        <v>240</v>
      </c>
      <c r="P334" s="37">
        <f>VLOOKUP(G334,SLA標準!$A$4:$C$7,3,FALSE)</f>
        <v>24</v>
      </c>
      <c r="Q334" s="35" t="str">
        <f t="shared" si="27"/>
        <v>逾期</v>
      </c>
      <c r="R334" s="34" t="s">
        <v>47</v>
      </c>
      <c r="S334" s="35" t="str">
        <f t="shared" si="28"/>
        <v>是</v>
      </c>
      <c r="T334" s="36">
        <f>IFERROR(VLOOKUP(A334,滿意度調查!$B$4:$D$570,3,FALSE),"")</f>
        <v>3</v>
      </c>
      <c r="U334" s="35" t="str">
        <f t="shared" si="29"/>
        <v>2026-05</v>
      </c>
      <c r="V334" s="38">
        <f>IF(J334="已結案",0,(使用說明!$B$7-B334)*24)</f>
        <v>0</v>
      </c>
    </row>
    <row r="335" spans="1:22">
      <c r="A335" s="32" t="s">
        <v>810</v>
      </c>
      <c r="B335" s="33">
        <v>46157.498611111114</v>
      </c>
      <c r="C335" s="34" t="s">
        <v>387</v>
      </c>
      <c r="D335" s="34" t="s">
        <v>210</v>
      </c>
      <c r="E335" s="34" t="s">
        <v>235</v>
      </c>
      <c r="F335" s="34" t="s">
        <v>298</v>
      </c>
      <c r="G335" s="34" t="s">
        <v>221</v>
      </c>
      <c r="H335" s="34" t="s">
        <v>340</v>
      </c>
      <c r="I335" s="35" t="str">
        <f>VLOOKUP(H335,人員與團隊!$A$4:$D$27,3,FALSE)</f>
        <v>北區服務</v>
      </c>
      <c r="J335" s="34" t="s">
        <v>215</v>
      </c>
      <c r="K335" s="33">
        <v>46157.51666666667</v>
      </c>
      <c r="L335" s="33">
        <v>46157.678898368053</v>
      </c>
      <c r="M335" s="36">
        <f t="shared" si="25"/>
        <v>26.000000000931323</v>
      </c>
      <c r="N335" s="37">
        <f t="shared" si="26"/>
        <v>4.3268941665301099</v>
      </c>
      <c r="O335" s="36">
        <f>VLOOKUP(G335,SLA標準!$A$4:$C$7,2,FALSE)</f>
        <v>60</v>
      </c>
      <c r="P335" s="37">
        <f>VLOOKUP(G335,SLA標準!$A$4:$C$7,3,FALSE)</f>
        <v>8</v>
      </c>
      <c r="Q335" s="35" t="str">
        <f t="shared" si="27"/>
        <v>達標</v>
      </c>
      <c r="R335" s="34" t="s">
        <v>47</v>
      </c>
      <c r="S335" s="35" t="str">
        <f t="shared" si="28"/>
        <v>是</v>
      </c>
      <c r="T335" s="36">
        <f>IFERROR(VLOOKUP(A335,滿意度調查!$B$4:$D$570,3,FALSE),"")</f>
        <v>5</v>
      </c>
      <c r="U335" s="35" t="str">
        <f t="shared" si="29"/>
        <v>2026-05</v>
      </c>
      <c r="V335" s="38">
        <f>IF(J335="已結案",0,(使用說明!$B$7-B335)*24)</f>
        <v>0</v>
      </c>
    </row>
    <row r="336" spans="1:22">
      <c r="A336" s="32" t="s">
        <v>811</v>
      </c>
      <c r="B336" s="33">
        <v>46157.565972222219</v>
      </c>
      <c r="C336" s="34" t="s">
        <v>640</v>
      </c>
      <c r="D336" s="34" t="s">
        <v>240</v>
      </c>
      <c r="E336" s="34" t="s">
        <v>219</v>
      </c>
      <c r="F336" s="34" t="s">
        <v>371</v>
      </c>
      <c r="G336" s="34" t="s">
        <v>242</v>
      </c>
      <c r="H336" s="34" t="s">
        <v>279</v>
      </c>
      <c r="I336" s="35" t="str">
        <f>VLOOKUP(H336,人員與團隊!$A$4:$D$27,3,FALSE)</f>
        <v>南區服務</v>
      </c>
      <c r="J336" s="34" t="s">
        <v>215</v>
      </c>
      <c r="K336" s="33">
        <v>46157.692361111112</v>
      </c>
      <c r="L336" s="33">
        <v>46158.119202048612</v>
      </c>
      <c r="M336" s="36">
        <f t="shared" si="25"/>
        <v>182.00000000651926</v>
      </c>
      <c r="N336" s="37">
        <f t="shared" si="26"/>
        <v>13.277515833440702</v>
      </c>
      <c r="O336" s="36">
        <f>VLOOKUP(G336,SLA標準!$A$4:$C$7,2,FALSE)</f>
        <v>240</v>
      </c>
      <c r="P336" s="37">
        <f>VLOOKUP(G336,SLA標準!$A$4:$C$7,3,FALSE)</f>
        <v>24</v>
      </c>
      <c r="Q336" s="35" t="str">
        <f t="shared" si="27"/>
        <v>達標</v>
      </c>
      <c r="R336" s="34" t="s">
        <v>47</v>
      </c>
      <c r="S336" s="35" t="str">
        <f t="shared" si="28"/>
        <v>否</v>
      </c>
      <c r="T336" s="36" t="str">
        <f>IFERROR(VLOOKUP(A336,滿意度調查!$B$4:$D$570,3,FALSE),"")</f>
        <v/>
      </c>
      <c r="U336" s="35" t="str">
        <f t="shared" si="29"/>
        <v>2026-05</v>
      </c>
      <c r="V336" s="38">
        <f>IF(J336="已結案",0,(使用說明!$B$7-B336)*24)</f>
        <v>0</v>
      </c>
    </row>
    <row r="337" spans="1:22">
      <c r="A337" s="32" t="s">
        <v>812</v>
      </c>
      <c r="B337" s="33">
        <v>46157.575694444444</v>
      </c>
      <c r="C337" s="34" t="s">
        <v>588</v>
      </c>
      <c r="D337" s="34" t="s">
        <v>218</v>
      </c>
      <c r="E337" s="34" t="s">
        <v>219</v>
      </c>
      <c r="F337" s="34" t="s">
        <v>249</v>
      </c>
      <c r="G337" s="34" t="s">
        <v>242</v>
      </c>
      <c r="H337" s="34" t="s">
        <v>232</v>
      </c>
      <c r="I337" s="35" t="str">
        <f>VLOOKUP(H337,人員與團隊!$A$4:$D$27,3,FALSE)</f>
        <v>北區服務</v>
      </c>
      <c r="J337" s="34" t="s">
        <v>215</v>
      </c>
      <c r="K337" s="33">
        <v>46157.706250000003</v>
      </c>
      <c r="L337" s="33">
        <v>46158.067541631943</v>
      </c>
      <c r="M337" s="36">
        <f t="shared" si="25"/>
        <v>188.00000000512227</v>
      </c>
      <c r="N337" s="37">
        <f t="shared" si="26"/>
        <v>11.804332499974407</v>
      </c>
      <c r="O337" s="36">
        <f>VLOOKUP(G337,SLA標準!$A$4:$C$7,2,FALSE)</f>
        <v>240</v>
      </c>
      <c r="P337" s="37">
        <f>VLOOKUP(G337,SLA標準!$A$4:$C$7,3,FALSE)</f>
        <v>24</v>
      </c>
      <c r="Q337" s="35" t="str">
        <f t="shared" si="27"/>
        <v>達標</v>
      </c>
      <c r="R337" s="34" t="s">
        <v>47</v>
      </c>
      <c r="S337" s="35" t="str">
        <f t="shared" si="28"/>
        <v>是</v>
      </c>
      <c r="T337" s="36">
        <f>IFERROR(VLOOKUP(A337,滿意度調查!$B$4:$D$570,3,FALSE),"")</f>
        <v>5</v>
      </c>
      <c r="U337" s="35" t="str">
        <f t="shared" si="29"/>
        <v>2026-05</v>
      </c>
      <c r="V337" s="38">
        <f>IF(J337="已結案",0,(使用說明!$B$7-B337)*24)</f>
        <v>0</v>
      </c>
    </row>
    <row r="338" spans="1:22">
      <c r="A338" s="32" t="s">
        <v>813</v>
      </c>
      <c r="B338" s="33">
        <v>46157.59097222222</v>
      </c>
      <c r="C338" s="34" t="s">
        <v>333</v>
      </c>
      <c r="D338" s="34" t="s">
        <v>218</v>
      </c>
      <c r="E338" s="34" t="s">
        <v>265</v>
      </c>
      <c r="F338" s="34" t="s">
        <v>479</v>
      </c>
      <c r="G338" s="34" t="s">
        <v>350</v>
      </c>
      <c r="H338" s="34" t="s">
        <v>315</v>
      </c>
      <c r="I338" s="35" t="str">
        <f>VLOOKUP(H338,人員與團隊!$A$4:$D$27,3,FALSE)</f>
        <v>北區服務</v>
      </c>
      <c r="J338" s="34" t="s">
        <v>215</v>
      </c>
      <c r="K338" s="33">
        <v>46157.606249999997</v>
      </c>
      <c r="L338" s="33">
        <v>46157.844576412041</v>
      </c>
      <c r="M338" s="36">
        <f t="shared" si="25"/>
        <v>21.999999998370185</v>
      </c>
      <c r="N338" s="37">
        <f t="shared" si="26"/>
        <v>6.0865005556843244</v>
      </c>
      <c r="O338" s="36">
        <f>VLOOKUP(G338,SLA標準!$A$4:$C$7,2,FALSE)</f>
        <v>30</v>
      </c>
      <c r="P338" s="37">
        <f>VLOOKUP(G338,SLA標準!$A$4:$C$7,3,FALSE)</f>
        <v>4</v>
      </c>
      <c r="Q338" s="35" t="str">
        <f t="shared" si="27"/>
        <v>逾期</v>
      </c>
      <c r="R338" s="34" t="s">
        <v>47</v>
      </c>
      <c r="S338" s="35" t="str">
        <f t="shared" si="28"/>
        <v>是</v>
      </c>
      <c r="T338" s="36">
        <f>IFERROR(VLOOKUP(A338,滿意度調查!$B$4:$D$570,3,FALSE),"")</f>
        <v>3</v>
      </c>
      <c r="U338" s="35" t="str">
        <f t="shared" si="29"/>
        <v>2026-05</v>
      </c>
      <c r="V338" s="38">
        <f>IF(J338="已結案",0,(使用說明!$B$7-B338)*24)</f>
        <v>0</v>
      </c>
    </row>
    <row r="339" spans="1:22">
      <c r="A339" s="32" t="s">
        <v>814</v>
      </c>
      <c r="B339" s="33">
        <v>46157.65347222222</v>
      </c>
      <c r="C339" s="34" t="s">
        <v>815</v>
      </c>
      <c r="D339" s="34" t="s">
        <v>225</v>
      </c>
      <c r="E339" s="34" t="s">
        <v>265</v>
      </c>
      <c r="F339" s="34" t="s">
        <v>301</v>
      </c>
      <c r="G339" s="34" t="s">
        <v>242</v>
      </c>
      <c r="H339" s="34" t="s">
        <v>372</v>
      </c>
      <c r="I339" s="35" t="str">
        <f>VLOOKUP(H339,人員與團隊!$A$4:$D$27,3,FALSE)</f>
        <v>南區服務</v>
      </c>
      <c r="J339" s="34" t="s">
        <v>215</v>
      </c>
      <c r="K339" s="33">
        <v>46157.711805555555</v>
      </c>
      <c r="L339" s="33">
        <v>46158.239409652779</v>
      </c>
      <c r="M339" s="36">
        <f t="shared" si="25"/>
        <v>84.000000001396984</v>
      </c>
      <c r="N339" s="37">
        <f t="shared" si="26"/>
        <v>14.062498333398253</v>
      </c>
      <c r="O339" s="36">
        <f>VLOOKUP(G339,SLA標準!$A$4:$C$7,2,FALSE)</f>
        <v>240</v>
      </c>
      <c r="P339" s="37">
        <f>VLOOKUP(G339,SLA標準!$A$4:$C$7,3,FALSE)</f>
        <v>24</v>
      </c>
      <c r="Q339" s="35" t="str">
        <f t="shared" si="27"/>
        <v>達標</v>
      </c>
      <c r="R339" s="34" t="s">
        <v>47</v>
      </c>
      <c r="S339" s="35" t="str">
        <f t="shared" si="28"/>
        <v>否</v>
      </c>
      <c r="T339" s="36" t="str">
        <f>IFERROR(VLOOKUP(A339,滿意度調查!$B$4:$D$570,3,FALSE),"")</f>
        <v/>
      </c>
      <c r="U339" s="35" t="str">
        <f t="shared" si="29"/>
        <v>2026-05</v>
      </c>
      <c r="V339" s="38">
        <f>IF(J339="已結案",0,(使用說明!$B$7-B339)*24)</f>
        <v>0</v>
      </c>
    </row>
    <row r="340" spans="1:22">
      <c r="A340" s="32" t="s">
        <v>816</v>
      </c>
      <c r="B340" s="33">
        <v>46157.70208333333</v>
      </c>
      <c r="C340" s="34" t="s">
        <v>801</v>
      </c>
      <c r="D340" s="34" t="s">
        <v>218</v>
      </c>
      <c r="E340" s="34" t="s">
        <v>245</v>
      </c>
      <c r="F340" s="34" t="s">
        <v>358</v>
      </c>
      <c r="G340" s="34" t="s">
        <v>242</v>
      </c>
      <c r="H340" s="34" t="s">
        <v>361</v>
      </c>
      <c r="I340" s="35" t="str">
        <f>VLOOKUP(H340,人員與團隊!$A$4:$D$27,3,FALSE)</f>
        <v>南區服務</v>
      </c>
      <c r="J340" s="34" t="s">
        <v>215</v>
      </c>
      <c r="K340" s="33">
        <v>46157.999305555553</v>
      </c>
      <c r="L340" s="33">
        <v>46158.790231469909</v>
      </c>
      <c r="M340" s="36">
        <f t="shared" si="25"/>
        <v>428.00000000162981</v>
      </c>
      <c r="N340" s="37">
        <f t="shared" si="26"/>
        <v>26.115555277909152</v>
      </c>
      <c r="O340" s="36">
        <f>VLOOKUP(G340,SLA標準!$A$4:$C$7,2,FALSE)</f>
        <v>240</v>
      </c>
      <c r="P340" s="37">
        <f>VLOOKUP(G340,SLA標準!$A$4:$C$7,3,FALSE)</f>
        <v>24</v>
      </c>
      <c r="Q340" s="35" t="str">
        <f t="shared" si="27"/>
        <v>逾期</v>
      </c>
      <c r="R340" s="34" t="s">
        <v>47</v>
      </c>
      <c r="S340" s="35" t="str">
        <f t="shared" si="28"/>
        <v>是</v>
      </c>
      <c r="T340" s="36">
        <f>IFERROR(VLOOKUP(A340,滿意度調查!$B$4:$D$570,3,FALSE),"")</f>
        <v>4</v>
      </c>
      <c r="U340" s="35" t="str">
        <f t="shared" si="29"/>
        <v>2026-05</v>
      </c>
      <c r="V340" s="38">
        <f>IF(J340="已結案",0,(使用說明!$B$7-B340)*24)</f>
        <v>0</v>
      </c>
    </row>
    <row r="341" spans="1:22">
      <c r="A341" s="32" t="s">
        <v>817</v>
      </c>
      <c r="B341" s="33">
        <v>46157.833333333336</v>
      </c>
      <c r="C341" s="34" t="s">
        <v>259</v>
      </c>
      <c r="D341" s="34" t="s">
        <v>218</v>
      </c>
      <c r="E341" s="34" t="s">
        <v>219</v>
      </c>
      <c r="F341" s="34" t="s">
        <v>257</v>
      </c>
      <c r="G341" s="34" t="s">
        <v>242</v>
      </c>
      <c r="H341" s="34" t="s">
        <v>250</v>
      </c>
      <c r="I341" s="35" t="str">
        <f>VLOOKUP(H341,人員與團隊!$A$4:$D$27,3,FALSE)</f>
        <v>南區服務</v>
      </c>
      <c r="J341" s="34" t="s">
        <v>215</v>
      </c>
      <c r="K341" s="33">
        <v>46157.959722222222</v>
      </c>
      <c r="L341" s="33">
        <v>46158.199808321762</v>
      </c>
      <c r="M341" s="36">
        <f t="shared" si="25"/>
        <v>181.99999999604188</v>
      </c>
      <c r="N341" s="37">
        <f t="shared" si="26"/>
        <v>8.795399722235743</v>
      </c>
      <c r="O341" s="36">
        <f>VLOOKUP(G341,SLA標準!$A$4:$C$7,2,FALSE)</f>
        <v>240</v>
      </c>
      <c r="P341" s="37">
        <f>VLOOKUP(G341,SLA標準!$A$4:$C$7,3,FALSE)</f>
        <v>24</v>
      </c>
      <c r="Q341" s="35" t="str">
        <f t="shared" si="27"/>
        <v>達標</v>
      </c>
      <c r="R341" s="34" t="s">
        <v>47</v>
      </c>
      <c r="S341" s="35" t="str">
        <f t="shared" si="28"/>
        <v>是</v>
      </c>
      <c r="T341" s="36">
        <f>IFERROR(VLOOKUP(A341,滿意度調查!$B$4:$D$570,3,FALSE),"")</f>
        <v>4</v>
      </c>
      <c r="U341" s="35" t="str">
        <f t="shared" si="29"/>
        <v>2026-05</v>
      </c>
      <c r="V341" s="38">
        <f>IF(J341="已結案",0,(使用說明!$B$7-B341)*24)</f>
        <v>0</v>
      </c>
    </row>
    <row r="342" spans="1:22">
      <c r="A342" s="32" t="s">
        <v>818</v>
      </c>
      <c r="B342" s="33">
        <v>46158.474999999999</v>
      </c>
      <c r="C342" s="34" t="s">
        <v>391</v>
      </c>
      <c r="D342" s="34" t="s">
        <v>240</v>
      </c>
      <c r="E342" s="34" t="s">
        <v>265</v>
      </c>
      <c r="F342" s="34" t="s">
        <v>266</v>
      </c>
      <c r="G342" s="34" t="s">
        <v>242</v>
      </c>
      <c r="H342" s="34" t="s">
        <v>250</v>
      </c>
      <c r="I342" s="35" t="str">
        <f>VLOOKUP(H342,人員與團隊!$A$4:$D$27,3,FALSE)</f>
        <v>南區服務</v>
      </c>
      <c r="J342" s="34" t="s">
        <v>215</v>
      </c>
      <c r="K342" s="33">
        <v>46158.577777777777</v>
      </c>
      <c r="L342" s="33">
        <v>46159.032683761572</v>
      </c>
      <c r="M342" s="36">
        <f t="shared" si="25"/>
        <v>148.00000000046566</v>
      </c>
      <c r="N342" s="37">
        <f t="shared" si="26"/>
        <v>13.38441027776571</v>
      </c>
      <c r="O342" s="36">
        <f>VLOOKUP(G342,SLA標準!$A$4:$C$7,2,FALSE)</f>
        <v>240</v>
      </c>
      <c r="P342" s="37">
        <f>VLOOKUP(G342,SLA標準!$A$4:$C$7,3,FALSE)</f>
        <v>24</v>
      </c>
      <c r="Q342" s="35" t="str">
        <f t="shared" si="27"/>
        <v>達標</v>
      </c>
      <c r="R342" s="34" t="s">
        <v>41</v>
      </c>
      <c r="S342" s="35" t="str">
        <f t="shared" si="28"/>
        <v>是</v>
      </c>
      <c r="T342" s="36">
        <f>IFERROR(VLOOKUP(A342,滿意度調查!$B$4:$D$570,3,FALSE),"")</f>
        <v>4</v>
      </c>
      <c r="U342" s="35" t="str">
        <f t="shared" si="29"/>
        <v>2026-05</v>
      </c>
      <c r="V342" s="38">
        <f>IF(J342="已結案",0,(使用說明!$B$7-B342)*24)</f>
        <v>0</v>
      </c>
    </row>
    <row r="343" spans="1:22">
      <c r="A343" s="32" t="s">
        <v>819</v>
      </c>
      <c r="B343" s="33">
        <v>46158.491666666669</v>
      </c>
      <c r="C343" s="34" t="s">
        <v>400</v>
      </c>
      <c r="D343" s="34" t="s">
        <v>210</v>
      </c>
      <c r="E343" s="34" t="s">
        <v>211</v>
      </c>
      <c r="F343" s="34" t="s">
        <v>212</v>
      </c>
      <c r="G343" s="34" t="s">
        <v>213</v>
      </c>
      <c r="H343" s="34" t="s">
        <v>325</v>
      </c>
      <c r="I343" s="35" t="str">
        <f>VLOOKUP(H343,人員與團隊!$A$4:$D$27,3,FALSE)</f>
        <v>線上服務</v>
      </c>
      <c r="J343" s="34" t="s">
        <v>215</v>
      </c>
      <c r="K343" s="33">
        <v>46158.540277777778</v>
      </c>
      <c r="L343" s="33">
        <v>46158.821421064815</v>
      </c>
      <c r="M343" s="36">
        <f t="shared" si="25"/>
        <v>69.999999997671694</v>
      </c>
      <c r="N343" s="37">
        <f t="shared" si="26"/>
        <v>7.9141055555082858</v>
      </c>
      <c r="O343" s="36">
        <f>VLOOKUP(G343,SLA標準!$A$4:$C$7,2,FALSE)</f>
        <v>480</v>
      </c>
      <c r="P343" s="37">
        <f>VLOOKUP(G343,SLA標準!$A$4:$C$7,3,FALSE)</f>
        <v>48</v>
      </c>
      <c r="Q343" s="35" t="str">
        <f t="shared" si="27"/>
        <v>達標</v>
      </c>
      <c r="R343" s="34" t="s">
        <v>47</v>
      </c>
      <c r="S343" s="35" t="str">
        <f t="shared" si="28"/>
        <v>是</v>
      </c>
      <c r="T343" s="36">
        <f>IFERROR(VLOOKUP(A343,滿意度調查!$B$4:$D$570,3,FALSE),"")</f>
        <v>4</v>
      </c>
      <c r="U343" s="35" t="str">
        <f t="shared" si="29"/>
        <v>2026-05</v>
      </c>
      <c r="V343" s="38">
        <f>IF(J343="已結案",0,(使用說明!$B$7-B343)*24)</f>
        <v>0</v>
      </c>
    </row>
    <row r="344" spans="1:22">
      <c r="A344" s="32" t="s">
        <v>820</v>
      </c>
      <c r="B344" s="33">
        <v>46158.498611111114</v>
      </c>
      <c r="C344" s="34" t="s">
        <v>289</v>
      </c>
      <c r="D344" s="34" t="s">
        <v>210</v>
      </c>
      <c r="E344" s="34" t="s">
        <v>245</v>
      </c>
      <c r="F344" s="34" t="s">
        <v>246</v>
      </c>
      <c r="G344" s="34" t="s">
        <v>242</v>
      </c>
      <c r="H344" s="34" t="s">
        <v>254</v>
      </c>
      <c r="I344" s="35" t="str">
        <f>VLOOKUP(H344,人員與團隊!$A$4:$D$27,3,FALSE)</f>
        <v>線上服務</v>
      </c>
      <c r="J344" s="34" t="s">
        <v>215</v>
      </c>
      <c r="K344" s="33">
        <v>46158.535416666666</v>
      </c>
      <c r="L344" s="33">
        <v>46160.209180694445</v>
      </c>
      <c r="M344" s="36">
        <f t="shared" si="25"/>
        <v>52.999999994644895</v>
      </c>
      <c r="N344" s="37">
        <f t="shared" si="26"/>
        <v>41.053669999935664</v>
      </c>
      <c r="O344" s="36">
        <f>VLOOKUP(G344,SLA標準!$A$4:$C$7,2,FALSE)</f>
        <v>240</v>
      </c>
      <c r="P344" s="37">
        <f>VLOOKUP(G344,SLA標準!$A$4:$C$7,3,FALSE)</f>
        <v>24</v>
      </c>
      <c r="Q344" s="35" t="str">
        <f t="shared" si="27"/>
        <v>逾期</v>
      </c>
      <c r="R344" s="34" t="s">
        <v>47</v>
      </c>
      <c r="S344" s="35" t="str">
        <f t="shared" si="28"/>
        <v>是</v>
      </c>
      <c r="T344" s="36">
        <f>IFERROR(VLOOKUP(A344,滿意度調查!$B$4:$D$570,3,FALSE),"")</f>
        <v>4</v>
      </c>
      <c r="U344" s="35" t="str">
        <f t="shared" si="29"/>
        <v>2026-05</v>
      </c>
      <c r="V344" s="38">
        <f>IF(J344="已結案",0,(使用說明!$B$7-B344)*24)</f>
        <v>0</v>
      </c>
    </row>
    <row r="345" spans="1:22">
      <c r="A345" s="32" t="s">
        <v>821</v>
      </c>
      <c r="B345" s="33">
        <v>46158.665277777778</v>
      </c>
      <c r="C345" s="34" t="s">
        <v>822</v>
      </c>
      <c r="D345" s="34" t="s">
        <v>225</v>
      </c>
      <c r="E345" s="34" t="s">
        <v>265</v>
      </c>
      <c r="F345" s="34" t="s">
        <v>266</v>
      </c>
      <c r="G345" s="34" t="s">
        <v>221</v>
      </c>
      <c r="H345" s="34" t="s">
        <v>214</v>
      </c>
      <c r="I345" s="35" t="str">
        <f>VLOOKUP(H345,人員與團隊!$A$4:$D$27,3,FALSE)</f>
        <v>北區服務</v>
      </c>
      <c r="J345" s="34" t="s">
        <v>215</v>
      </c>
      <c r="K345" s="33">
        <v>46158.695833333331</v>
      </c>
      <c r="L345" s="33">
        <v>46158.97102474537</v>
      </c>
      <c r="M345" s="36">
        <f t="shared" si="25"/>
        <v>43.999999996740371</v>
      </c>
      <c r="N345" s="37">
        <f t="shared" si="26"/>
        <v>7.3379272221936844</v>
      </c>
      <c r="O345" s="36">
        <f>VLOOKUP(G345,SLA標準!$A$4:$C$7,2,FALSE)</f>
        <v>60</v>
      </c>
      <c r="P345" s="37">
        <f>VLOOKUP(G345,SLA標準!$A$4:$C$7,3,FALSE)</f>
        <v>8</v>
      </c>
      <c r="Q345" s="35" t="str">
        <f t="shared" si="27"/>
        <v>達標</v>
      </c>
      <c r="R345" s="34" t="s">
        <v>41</v>
      </c>
      <c r="S345" s="35" t="str">
        <f t="shared" si="28"/>
        <v>否</v>
      </c>
      <c r="T345" s="36" t="str">
        <f>IFERROR(VLOOKUP(A345,滿意度調查!$B$4:$D$570,3,FALSE),"")</f>
        <v/>
      </c>
      <c r="U345" s="35" t="str">
        <f t="shared" si="29"/>
        <v>2026-05</v>
      </c>
      <c r="V345" s="38">
        <f>IF(J345="已結案",0,(使用說明!$B$7-B345)*24)</f>
        <v>0</v>
      </c>
    </row>
    <row r="346" spans="1:22">
      <c r="A346" s="32" t="s">
        <v>823</v>
      </c>
      <c r="B346" s="33">
        <v>46158.685416666667</v>
      </c>
      <c r="C346" s="34" t="s">
        <v>824</v>
      </c>
      <c r="D346" s="34" t="s">
        <v>225</v>
      </c>
      <c r="E346" s="34" t="s">
        <v>235</v>
      </c>
      <c r="F346" s="34" t="s">
        <v>253</v>
      </c>
      <c r="G346" s="34" t="s">
        <v>242</v>
      </c>
      <c r="H346" s="34" t="s">
        <v>237</v>
      </c>
      <c r="I346" s="35" t="str">
        <f>VLOOKUP(H346,人員與團隊!$A$4:$D$27,3,FALSE)</f>
        <v>北區服務</v>
      </c>
      <c r="J346" s="34" t="s">
        <v>215</v>
      </c>
      <c r="K346" s="33">
        <v>46158.794444444444</v>
      </c>
      <c r="L346" s="33">
        <v>46158.994433101849</v>
      </c>
      <c r="M346" s="36">
        <f t="shared" si="25"/>
        <v>156.99999999837019</v>
      </c>
      <c r="N346" s="37">
        <f t="shared" si="26"/>
        <v>7.4163944443571381</v>
      </c>
      <c r="O346" s="36">
        <f>VLOOKUP(G346,SLA標準!$A$4:$C$7,2,FALSE)</f>
        <v>240</v>
      </c>
      <c r="P346" s="37">
        <f>VLOOKUP(G346,SLA標準!$A$4:$C$7,3,FALSE)</f>
        <v>24</v>
      </c>
      <c r="Q346" s="35" t="str">
        <f t="shared" si="27"/>
        <v>達標</v>
      </c>
      <c r="R346" s="34" t="s">
        <v>47</v>
      </c>
      <c r="S346" s="35" t="str">
        <f t="shared" si="28"/>
        <v>否</v>
      </c>
      <c r="T346" s="36" t="str">
        <f>IFERROR(VLOOKUP(A346,滿意度調查!$B$4:$D$570,3,FALSE),"")</f>
        <v/>
      </c>
      <c r="U346" s="35" t="str">
        <f t="shared" si="29"/>
        <v>2026-05</v>
      </c>
      <c r="V346" s="38">
        <f>IF(J346="已結案",0,(使用說明!$B$7-B346)*24)</f>
        <v>0</v>
      </c>
    </row>
    <row r="347" spans="1:22">
      <c r="A347" s="32" t="s">
        <v>825</v>
      </c>
      <c r="B347" s="33">
        <v>46158.695833333331</v>
      </c>
      <c r="C347" s="34" t="s">
        <v>462</v>
      </c>
      <c r="D347" s="34" t="s">
        <v>218</v>
      </c>
      <c r="E347" s="34" t="s">
        <v>219</v>
      </c>
      <c r="F347" s="34" t="s">
        <v>371</v>
      </c>
      <c r="G347" s="34" t="s">
        <v>242</v>
      </c>
      <c r="H347" s="34" t="s">
        <v>274</v>
      </c>
      <c r="I347" s="35" t="str">
        <f>VLOOKUP(H347,人員與團隊!$A$4:$D$27,3,FALSE)</f>
        <v>南區服務</v>
      </c>
      <c r="J347" s="34" t="s">
        <v>215</v>
      </c>
      <c r="K347" s="33">
        <v>46158.838888888888</v>
      </c>
      <c r="L347" s="33">
        <v>46159.583063749997</v>
      </c>
      <c r="M347" s="36">
        <f t="shared" si="25"/>
        <v>206.00000000093132</v>
      </c>
      <c r="N347" s="37">
        <f t="shared" si="26"/>
        <v>21.293529999966267</v>
      </c>
      <c r="O347" s="36">
        <f>VLOOKUP(G347,SLA標準!$A$4:$C$7,2,FALSE)</f>
        <v>240</v>
      </c>
      <c r="P347" s="37">
        <f>VLOOKUP(G347,SLA標準!$A$4:$C$7,3,FALSE)</f>
        <v>24</v>
      </c>
      <c r="Q347" s="35" t="str">
        <f t="shared" si="27"/>
        <v>達標</v>
      </c>
      <c r="R347" s="34" t="s">
        <v>47</v>
      </c>
      <c r="S347" s="35" t="str">
        <f t="shared" si="28"/>
        <v>是</v>
      </c>
      <c r="T347" s="36">
        <f>IFERROR(VLOOKUP(A347,滿意度調查!$B$4:$D$570,3,FALSE),"")</f>
        <v>5</v>
      </c>
      <c r="U347" s="35" t="str">
        <f t="shared" si="29"/>
        <v>2026-05</v>
      </c>
      <c r="V347" s="38">
        <f>IF(J347="已結案",0,(使用說明!$B$7-B347)*24)</f>
        <v>0</v>
      </c>
    </row>
    <row r="348" spans="1:22">
      <c r="A348" s="32" t="s">
        <v>826</v>
      </c>
      <c r="B348" s="33">
        <v>46158.775000000001</v>
      </c>
      <c r="C348" s="34" t="s">
        <v>827</v>
      </c>
      <c r="D348" s="34" t="s">
        <v>225</v>
      </c>
      <c r="E348" s="34" t="s">
        <v>235</v>
      </c>
      <c r="F348" s="34" t="s">
        <v>298</v>
      </c>
      <c r="G348" s="34" t="s">
        <v>213</v>
      </c>
      <c r="H348" s="34" t="s">
        <v>267</v>
      </c>
      <c r="I348" s="35" t="str">
        <f>VLOOKUP(H348,人員與團隊!$A$4:$D$27,3,FALSE)</f>
        <v>南區服務</v>
      </c>
      <c r="J348" s="34" t="s">
        <v>215</v>
      </c>
      <c r="K348" s="33">
        <v>46159.004166666666</v>
      </c>
      <c r="L348" s="33">
        <v>46159.07009483796</v>
      </c>
      <c r="M348" s="36">
        <f t="shared" si="25"/>
        <v>329.99999999650754</v>
      </c>
      <c r="N348" s="37">
        <f t="shared" si="26"/>
        <v>7.0822761110030115</v>
      </c>
      <c r="O348" s="36">
        <f>VLOOKUP(G348,SLA標準!$A$4:$C$7,2,FALSE)</f>
        <v>480</v>
      </c>
      <c r="P348" s="37">
        <f>VLOOKUP(G348,SLA標準!$A$4:$C$7,3,FALSE)</f>
        <v>48</v>
      </c>
      <c r="Q348" s="35" t="str">
        <f t="shared" si="27"/>
        <v>達標</v>
      </c>
      <c r="R348" s="34" t="s">
        <v>47</v>
      </c>
      <c r="S348" s="35" t="str">
        <f t="shared" si="28"/>
        <v>是</v>
      </c>
      <c r="T348" s="36">
        <f>IFERROR(VLOOKUP(A348,滿意度調查!$B$4:$D$570,3,FALSE),"")</f>
        <v>5</v>
      </c>
      <c r="U348" s="35" t="str">
        <f t="shared" si="29"/>
        <v>2026-05</v>
      </c>
      <c r="V348" s="38">
        <f>IF(J348="已結案",0,(使用說明!$B$7-B348)*24)</f>
        <v>0</v>
      </c>
    </row>
    <row r="349" spans="1:22">
      <c r="A349" s="32" t="s">
        <v>828</v>
      </c>
      <c r="B349" s="33">
        <v>46158.824305555558</v>
      </c>
      <c r="C349" s="34" t="s">
        <v>264</v>
      </c>
      <c r="D349" s="34" t="s">
        <v>240</v>
      </c>
      <c r="E349" s="34" t="s">
        <v>235</v>
      </c>
      <c r="F349" s="34" t="s">
        <v>253</v>
      </c>
      <c r="G349" s="34" t="s">
        <v>242</v>
      </c>
      <c r="H349" s="34" t="s">
        <v>222</v>
      </c>
      <c r="I349" s="35" t="str">
        <f>VLOOKUP(H349,人員與團隊!$A$4:$D$27,3,FALSE)</f>
        <v>北區服務</v>
      </c>
      <c r="J349" s="34" t="s">
        <v>215</v>
      </c>
      <c r="K349" s="33">
        <v>46158.936111111114</v>
      </c>
      <c r="L349" s="33">
        <v>46159.373712569446</v>
      </c>
      <c r="M349" s="36">
        <f t="shared" si="25"/>
        <v>161.00000000093132</v>
      </c>
      <c r="N349" s="37">
        <f t="shared" si="26"/>
        <v>13.185768333321903</v>
      </c>
      <c r="O349" s="36">
        <f>VLOOKUP(G349,SLA標準!$A$4:$C$7,2,FALSE)</f>
        <v>240</v>
      </c>
      <c r="P349" s="37">
        <f>VLOOKUP(G349,SLA標準!$A$4:$C$7,3,FALSE)</f>
        <v>24</v>
      </c>
      <c r="Q349" s="35" t="str">
        <f t="shared" si="27"/>
        <v>達標</v>
      </c>
      <c r="R349" s="34" t="s">
        <v>47</v>
      </c>
      <c r="S349" s="35" t="str">
        <f t="shared" si="28"/>
        <v>否</v>
      </c>
      <c r="T349" s="36" t="str">
        <f>IFERROR(VLOOKUP(A349,滿意度調查!$B$4:$D$570,3,FALSE),"")</f>
        <v/>
      </c>
      <c r="U349" s="35" t="str">
        <f t="shared" si="29"/>
        <v>2026-05</v>
      </c>
      <c r="V349" s="38">
        <f>IF(J349="已結案",0,(使用說明!$B$7-B349)*24)</f>
        <v>0</v>
      </c>
    </row>
    <row r="350" spans="1:22">
      <c r="A350" s="32" t="s">
        <v>829</v>
      </c>
      <c r="B350" s="33">
        <v>46158.827777777777</v>
      </c>
      <c r="C350" s="34" t="s">
        <v>252</v>
      </c>
      <c r="D350" s="34" t="s">
        <v>210</v>
      </c>
      <c r="E350" s="34" t="s">
        <v>230</v>
      </c>
      <c r="F350" s="34" t="s">
        <v>272</v>
      </c>
      <c r="G350" s="34" t="s">
        <v>242</v>
      </c>
      <c r="H350" s="34" t="s">
        <v>262</v>
      </c>
      <c r="I350" s="35" t="str">
        <f>VLOOKUP(H350,人員與團隊!$A$4:$D$27,3,FALSE)</f>
        <v>南區服務</v>
      </c>
      <c r="J350" s="34" t="s">
        <v>215</v>
      </c>
      <c r="K350" s="33">
        <v>46158.854861111111</v>
      </c>
      <c r="L350" s="33">
        <v>46159.305136550924</v>
      </c>
      <c r="M350" s="36">
        <f t="shared" si="25"/>
        <v>39.000000001396984</v>
      </c>
      <c r="N350" s="37">
        <f t="shared" si="26"/>
        <v>11.456610555527732</v>
      </c>
      <c r="O350" s="36">
        <f>VLOOKUP(G350,SLA標準!$A$4:$C$7,2,FALSE)</f>
        <v>240</v>
      </c>
      <c r="P350" s="37">
        <f>VLOOKUP(G350,SLA標準!$A$4:$C$7,3,FALSE)</f>
        <v>24</v>
      </c>
      <c r="Q350" s="35" t="str">
        <f t="shared" si="27"/>
        <v>達標</v>
      </c>
      <c r="R350" s="34" t="s">
        <v>47</v>
      </c>
      <c r="S350" s="35" t="str">
        <f t="shared" si="28"/>
        <v>是</v>
      </c>
      <c r="T350" s="36">
        <f>IFERROR(VLOOKUP(A350,滿意度調查!$B$4:$D$570,3,FALSE),"")</f>
        <v>5</v>
      </c>
      <c r="U350" s="35" t="str">
        <f t="shared" si="29"/>
        <v>2026-05</v>
      </c>
      <c r="V350" s="38">
        <f>IF(J350="已結案",0,(使用說明!$B$7-B350)*24)</f>
        <v>0</v>
      </c>
    </row>
    <row r="351" spans="1:22">
      <c r="A351" s="32" t="s">
        <v>830</v>
      </c>
      <c r="B351" s="33">
        <v>46159.383333333331</v>
      </c>
      <c r="C351" s="34" t="s">
        <v>614</v>
      </c>
      <c r="D351" s="34" t="s">
        <v>218</v>
      </c>
      <c r="E351" s="34" t="s">
        <v>211</v>
      </c>
      <c r="F351" s="34" t="s">
        <v>331</v>
      </c>
      <c r="G351" s="34" t="s">
        <v>242</v>
      </c>
      <c r="H351" s="34" t="s">
        <v>250</v>
      </c>
      <c r="I351" s="35" t="str">
        <f>VLOOKUP(H351,人員與團隊!$A$4:$D$27,3,FALSE)</f>
        <v>南區服務</v>
      </c>
      <c r="J351" s="34" t="s">
        <v>215</v>
      </c>
      <c r="K351" s="33">
        <v>46159.532638888886</v>
      </c>
      <c r="L351" s="33">
        <v>46159.494696469905</v>
      </c>
      <c r="M351" s="36">
        <f t="shared" si="25"/>
        <v>214.99999999883585</v>
      </c>
      <c r="N351" s="37">
        <f t="shared" si="26"/>
        <v>2.6727152777602896</v>
      </c>
      <c r="O351" s="36">
        <f>VLOOKUP(G351,SLA標準!$A$4:$C$7,2,FALSE)</f>
        <v>240</v>
      </c>
      <c r="P351" s="37">
        <f>VLOOKUP(G351,SLA標準!$A$4:$C$7,3,FALSE)</f>
        <v>24</v>
      </c>
      <c r="Q351" s="35" t="str">
        <f t="shared" si="27"/>
        <v>達標</v>
      </c>
      <c r="R351" s="34" t="s">
        <v>47</v>
      </c>
      <c r="S351" s="35" t="str">
        <f t="shared" si="28"/>
        <v>是</v>
      </c>
      <c r="T351" s="36">
        <f>IFERROR(VLOOKUP(A351,滿意度調查!$B$4:$D$570,3,FALSE),"")</f>
        <v>5</v>
      </c>
      <c r="U351" s="35" t="str">
        <f t="shared" si="29"/>
        <v>2026-05</v>
      </c>
      <c r="V351" s="38">
        <f>IF(J351="已結案",0,(使用說明!$B$7-B351)*24)</f>
        <v>0</v>
      </c>
    </row>
    <row r="352" spans="1:22">
      <c r="A352" s="32" t="s">
        <v>831</v>
      </c>
      <c r="B352" s="33">
        <v>46159.513888888891</v>
      </c>
      <c r="C352" s="34" t="s">
        <v>224</v>
      </c>
      <c r="D352" s="34" t="s">
        <v>210</v>
      </c>
      <c r="E352" s="34" t="s">
        <v>230</v>
      </c>
      <c r="F352" s="34" t="s">
        <v>231</v>
      </c>
      <c r="G352" s="34" t="s">
        <v>242</v>
      </c>
      <c r="H352" s="34" t="s">
        <v>267</v>
      </c>
      <c r="I352" s="35" t="str">
        <f>VLOOKUP(H352,人員與團隊!$A$4:$D$27,3,FALSE)</f>
        <v>南區服務</v>
      </c>
      <c r="J352" s="34" t="s">
        <v>215</v>
      </c>
      <c r="K352" s="33">
        <v>46159.592361111114</v>
      </c>
      <c r="L352" s="33">
        <v>46160.661143715275</v>
      </c>
      <c r="M352" s="36">
        <f t="shared" si="25"/>
        <v>113.00000000162981</v>
      </c>
      <c r="N352" s="37">
        <f t="shared" si="26"/>
        <v>27.534115833230317</v>
      </c>
      <c r="O352" s="36">
        <f>VLOOKUP(G352,SLA標準!$A$4:$C$7,2,FALSE)</f>
        <v>240</v>
      </c>
      <c r="P352" s="37">
        <f>VLOOKUP(G352,SLA標準!$A$4:$C$7,3,FALSE)</f>
        <v>24</v>
      </c>
      <c r="Q352" s="35" t="str">
        <f t="shared" si="27"/>
        <v>逾期</v>
      </c>
      <c r="R352" s="34" t="s">
        <v>41</v>
      </c>
      <c r="S352" s="35" t="str">
        <f t="shared" si="28"/>
        <v>是</v>
      </c>
      <c r="T352" s="36">
        <f>IFERROR(VLOOKUP(A352,滿意度調查!$B$4:$D$570,3,FALSE),"")</f>
        <v>3</v>
      </c>
      <c r="U352" s="35" t="str">
        <f t="shared" si="29"/>
        <v>2026-05</v>
      </c>
      <c r="V352" s="38">
        <f>IF(J352="已結案",0,(使用說明!$B$7-B352)*24)</f>
        <v>0</v>
      </c>
    </row>
    <row r="353" spans="1:22">
      <c r="A353" s="32" t="s">
        <v>832</v>
      </c>
      <c r="B353" s="33">
        <v>46159.534722222219</v>
      </c>
      <c r="C353" s="34" t="s">
        <v>833</v>
      </c>
      <c r="D353" s="34" t="s">
        <v>218</v>
      </c>
      <c r="E353" s="34" t="s">
        <v>235</v>
      </c>
      <c r="F353" s="34" t="s">
        <v>241</v>
      </c>
      <c r="G353" s="34" t="s">
        <v>213</v>
      </c>
      <c r="H353" s="34" t="s">
        <v>232</v>
      </c>
      <c r="I353" s="35" t="str">
        <f>VLOOKUP(H353,人員與團隊!$A$4:$D$27,3,FALSE)</f>
        <v>北區服務</v>
      </c>
      <c r="J353" s="34" t="s">
        <v>215</v>
      </c>
      <c r="K353" s="33">
        <v>46159.776388888888</v>
      </c>
      <c r="L353" s="33">
        <v>46160.393310046296</v>
      </c>
      <c r="M353" s="36">
        <f t="shared" si="25"/>
        <v>348.00000000279397</v>
      </c>
      <c r="N353" s="37">
        <f t="shared" si="26"/>
        <v>20.606107777857687</v>
      </c>
      <c r="O353" s="36">
        <f>VLOOKUP(G353,SLA標準!$A$4:$C$7,2,FALSE)</f>
        <v>480</v>
      </c>
      <c r="P353" s="37">
        <f>VLOOKUP(G353,SLA標準!$A$4:$C$7,3,FALSE)</f>
        <v>48</v>
      </c>
      <c r="Q353" s="35" t="str">
        <f t="shared" si="27"/>
        <v>達標</v>
      </c>
      <c r="R353" s="34" t="s">
        <v>47</v>
      </c>
      <c r="S353" s="35" t="str">
        <f t="shared" si="28"/>
        <v>是</v>
      </c>
      <c r="T353" s="36">
        <f>IFERROR(VLOOKUP(A353,滿意度調查!$B$4:$D$570,3,FALSE),"")</f>
        <v>4</v>
      </c>
      <c r="U353" s="35" t="str">
        <f t="shared" si="29"/>
        <v>2026-05</v>
      </c>
      <c r="V353" s="38">
        <f>IF(J353="已結案",0,(使用說明!$B$7-B353)*24)</f>
        <v>0</v>
      </c>
    </row>
    <row r="354" spans="1:22">
      <c r="A354" s="32" t="s">
        <v>834</v>
      </c>
      <c r="B354" s="33">
        <v>46159.581944444442</v>
      </c>
      <c r="C354" s="34" t="s">
        <v>835</v>
      </c>
      <c r="D354" s="34" t="s">
        <v>210</v>
      </c>
      <c r="E354" s="34" t="s">
        <v>245</v>
      </c>
      <c r="F354" s="34" t="s">
        <v>358</v>
      </c>
      <c r="G354" s="34" t="s">
        <v>213</v>
      </c>
      <c r="H354" s="34" t="s">
        <v>305</v>
      </c>
      <c r="I354" s="35" t="str">
        <f>VLOOKUP(H354,人員與團隊!$A$4:$D$27,3,FALSE)</f>
        <v>線上服務</v>
      </c>
      <c r="J354" s="34" t="s">
        <v>215</v>
      </c>
      <c r="K354" s="33">
        <v>46159.824305555558</v>
      </c>
      <c r="L354" s="33">
        <v>46161.031696921294</v>
      </c>
      <c r="M354" s="36">
        <f t="shared" si="25"/>
        <v>349.0000000060536</v>
      </c>
      <c r="N354" s="37">
        <f t="shared" si="26"/>
        <v>34.794059444451705</v>
      </c>
      <c r="O354" s="36">
        <f>VLOOKUP(G354,SLA標準!$A$4:$C$7,2,FALSE)</f>
        <v>480</v>
      </c>
      <c r="P354" s="37">
        <f>VLOOKUP(G354,SLA標準!$A$4:$C$7,3,FALSE)</f>
        <v>48</v>
      </c>
      <c r="Q354" s="35" t="str">
        <f t="shared" si="27"/>
        <v>達標</v>
      </c>
      <c r="R354" s="34" t="s">
        <v>47</v>
      </c>
      <c r="S354" s="35" t="str">
        <f t="shared" si="28"/>
        <v>否</v>
      </c>
      <c r="T354" s="36" t="str">
        <f>IFERROR(VLOOKUP(A354,滿意度調查!$B$4:$D$570,3,FALSE),"")</f>
        <v/>
      </c>
      <c r="U354" s="35" t="str">
        <f t="shared" si="29"/>
        <v>2026-05</v>
      </c>
      <c r="V354" s="38">
        <f>IF(J354="已結案",0,(使用說明!$B$7-B354)*24)</f>
        <v>0</v>
      </c>
    </row>
    <row r="355" spans="1:22">
      <c r="A355" s="32" t="s">
        <v>836</v>
      </c>
      <c r="B355" s="33">
        <v>46159.629166666666</v>
      </c>
      <c r="C355" s="34" t="s">
        <v>342</v>
      </c>
      <c r="D355" s="34" t="s">
        <v>240</v>
      </c>
      <c r="E355" s="34" t="s">
        <v>265</v>
      </c>
      <c r="F355" s="34" t="s">
        <v>301</v>
      </c>
      <c r="G355" s="34" t="s">
        <v>221</v>
      </c>
      <c r="H355" s="34" t="s">
        <v>243</v>
      </c>
      <c r="I355" s="35" t="str">
        <f>VLOOKUP(H355,人員與團隊!$A$4:$D$27,3,FALSE)</f>
        <v>南區服務</v>
      </c>
      <c r="J355" s="34" t="s">
        <v>215</v>
      </c>
      <c r="K355" s="33">
        <v>46159.660416666666</v>
      </c>
      <c r="L355" s="33">
        <v>46160.402791516201</v>
      </c>
      <c r="M355" s="36">
        <f t="shared" si="25"/>
        <v>45</v>
      </c>
      <c r="N355" s="37">
        <f t="shared" si="26"/>
        <v>18.566996388835832</v>
      </c>
      <c r="O355" s="36">
        <f>VLOOKUP(G355,SLA標準!$A$4:$C$7,2,FALSE)</f>
        <v>60</v>
      </c>
      <c r="P355" s="37">
        <f>VLOOKUP(G355,SLA標準!$A$4:$C$7,3,FALSE)</f>
        <v>8</v>
      </c>
      <c r="Q355" s="35" t="str">
        <f t="shared" si="27"/>
        <v>逾期</v>
      </c>
      <c r="R355" s="34" t="s">
        <v>41</v>
      </c>
      <c r="S355" s="35" t="str">
        <f t="shared" si="28"/>
        <v>是</v>
      </c>
      <c r="T355" s="36">
        <f>IFERROR(VLOOKUP(A355,滿意度調查!$B$4:$D$570,3,FALSE),"")</f>
        <v>2</v>
      </c>
      <c r="U355" s="35" t="str">
        <f t="shared" si="29"/>
        <v>2026-05</v>
      </c>
      <c r="V355" s="38">
        <f>IF(J355="已結案",0,(使用說明!$B$7-B355)*24)</f>
        <v>0</v>
      </c>
    </row>
    <row r="356" spans="1:22">
      <c r="A356" s="32" t="s">
        <v>837</v>
      </c>
      <c r="B356" s="33">
        <v>46159.638888888891</v>
      </c>
      <c r="C356" s="34" t="s">
        <v>449</v>
      </c>
      <c r="D356" s="34" t="s">
        <v>240</v>
      </c>
      <c r="E356" s="34" t="s">
        <v>245</v>
      </c>
      <c r="F356" s="34" t="s">
        <v>358</v>
      </c>
      <c r="G356" s="34" t="s">
        <v>221</v>
      </c>
      <c r="H356" s="34" t="s">
        <v>262</v>
      </c>
      <c r="I356" s="35" t="str">
        <f>VLOOKUP(H356,人員與團隊!$A$4:$D$27,3,FALSE)</f>
        <v>南區服務</v>
      </c>
      <c r="J356" s="34" t="s">
        <v>215</v>
      </c>
      <c r="K356" s="33">
        <v>46159.68472222222</v>
      </c>
      <c r="L356" s="33">
        <v>46160.497469606482</v>
      </c>
      <c r="M356" s="36">
        <f t="shared" si="25"/>
        <v>65.999999995110556</v>
      </c>
      <c r="N356" s="37">
        <f t="shared" si="26"/>
        <v>20.605937222193461</v>
      </c>
      <c r="O356" s="36">
        <f>VLOOKUP(G356,SLA標準!$A$4:$C$7,2,FALSE)</f>
        <v>60</v>
      </c>
      <c r="P356" s="37">
        <f>VLOOKUP(G356,SLA標準!$A$4:$C$7,3,FALSE)</f>
        <v>8</v>
      </c>
      <c r="Q356" s="35" t="str">
        <f t="shared" si="27"/>
        <v>逾期</v>
      </c>
      <c r="R356" s="34" t="s">
        <v>47</v>
      </c>
      <c r="S356" s="35" t="str">
        <f t="shared" si="28"/>
        <v>是</v>
      </c>
      <c r="T356" s="36">
        <f>IFERROR(VLOOKUP(A356,滿意度調查!$B$4:$D$570,3,FALSE),"")</f>
        <v>3</v>
      </c>
      <c r="U356" s="35" t="str">
        <f t="shared" si="29"/>
        <v>2026-05</v>
      </c>
      <c r="V356" s="38">
        <f>IF(J356="已結案",0,(使用說明!$B$7-B356)*24)</f>
        <v>0</v>
      </c>
    </row>
    <row r="357" spans="1:22">
      <c r="A357" s="32" t="s">
        <v>838</v>
      </c>
      <c r="B357" s="33">
        <v>46159.652777777781</v>
      </c>
      <c r="C357" s="34" t="s">
        <v>349</v>
      </c>
      <c r="D357" s="34" t="s">
        <v>210</v>
      </c>
      <c r="E357" s="34" t="s">
        <v>235</v>
      </c>
      <c r="F357" s="34" t="s">
        <v>253</v>
      </c>
      <c r="G357" s="34" t="s">
        <v>242</v>
      </c>
      <c r="H357" s="34" t="s">
        <v>305</v>
      </c>
      <c r="I357" s="35" t="str">
        <f>VLOOKUP(H357,人員與團隊!$A$4:$D$27,3,FALSE)</f>
        <v>線上服務</v>
      </c>
      <c r="J357" s="34" t="s">
        <v>215</v>
      </c>
      <c r="K357" s="33">
        <v>46159.730555555558</v>
      </c>
      <c r="L357" s="33">
        <v>46160.261697430557</v>
      </c>
      <c r="M357" s="36">
        <f t="shared" si="25"/>
        <v>111.99999999837019</v>
      </c>
      <c r="N357" s="37">
        <f t="shared" si="26"/>
        <v>14.61407166661229</v>
      </c>
      <c r="O357" s="36">
        <f>VLOOKUP(G357,SLA標準!$A$4:$C$7,2,FALSE)</f>
        <v>240</v>
      </c>
      <c r="P357" s="37">
        <f>VLOOKUP(G357,SLA標準!$A$4:$C$7,3,FALSE)</f>
        <v>24</v>
      </c>
      <c r="Q357" s="35" t="str">
        <f t="shared" si="27"/>
        <v>達標</v>
      </c>
      <c r="R357" s="34" t="s">
        <v>41</v>
      </c>
      <c r="S357" s="35" t="str">
        <f t="shared" si="28"/>
        <v>是</v>
      </c>
      <c r="T357" s="36">
        <f>IFERROR(VLOOKUP(A357,滿意度調查!$B$4:$D$570,3,FALSE),"")</f>
        <v>4</v>
      </c>
      <c r="U357" s="35" t="str">
        <f t="shared" si="29"/>
        <v>2026-05</v>
      </c>
      <c r="V357" s="38">
        <f>IF(J357="已結案",0,(使用說明!$B$7-B357)*24)</f>
        <v>0</v>
      </c>
    </row>
    <row r="358" spans="1:22">
      <c r="A358" s="32" t="s">
        <v>839</v>
      </c>
      <c r="B358" s="33">
        <v>46159.680555555555</v>
      </c>
      <c r="C358" s="34" t="s">
        <v>683</v>
      </c>
      <c r="D358" s="34" t="s">
        <v>210</v>
      </c>
      <c r="E358" s="34" t="s">
        <v>230</v>
      </c>
      <c r="F358" s="34" t="s">
        <v>272</v>
      </c>
      <c r="G358" s="34" t="s">
        <v>350</v>
      </c>
      <c r="H358" s="34" t="s">
        <v>381</v>
      </c>
      <c r="I358" s="35" t="str">
        <f>VLOOKUP(H358,人員與團隊!$A$4:$D$27,3,FALSE)</f>
        <v>線上服務</v>
      </c>
      <c r="J358" s="34" t="s">
        <v>215</v>
      </c>
      <c r="K358" s="33">
        <v>46159.685416666667</v>
      </c>
      <c r="L358" s="33">
        <v>46160.171895185187</v>
      </c>
      <c r="M358" s="36">
        <f t="shared" si="25"/>
        <v>7.0000000018626451</v>
      </c>
      <c r="N358" s="37">
        <f t="shared" si="26"/>
        <v>11.7921511111781</v>
      </c>
      <c r="O358" s="36">
        <f>VLOOKUP(G358,SLA標準!$A$4:$C$7,2,FALSE)</f>
        <v>30</v>
      </c>
      <c r="P358" s="37">
        <f>VLOOKUP(G358,SLA標準!$A$4:$C$7,3,FALSE)</f>
        <v>4</v>
      </c>
      <c r="Q358" s="35" t="str">
        <f t="shared" si="27"/>
        <v>逾期</v>
      </c>
      <c r="R358" s="34" t="s">
        <v>47</v>
      </c>
      <c r="S358" s="35" t="str">
        <f t="shared" si="28"/>
        <v>是</v>
      </c>
      <c r="T358" s="36">
        <f>IFERROR(VLOOKUP(A358,滿意度調查!$B$4:$D$570,3,FALSE),"")</f>
        <v>3</v>
      </c>
      <c r="U358" s="35" t="str">
        <f t="shared" si="29"/>
        <v>2026-05</v>
      </c>
      <c r="V358" s="38">
        <f>IF(J358="已結案",0,(使用說明!$B$7-B358)*24)</f>
        <v>0</v>
      </c>
    </row>
    <row r="359" spans="1:22">
      <c r="A359" s="32" t="s">
        <v>840</v>
      </c>
      <c r="B359" s="33">
        <v>46159.688194444447</v>
      </c>
      <c r="C359" s="34" t="s">
        <v>436</v>
      </c>
      <c r="D359" s="34" t="s">
        <v>218</v>
      </c>
      <c r="E359" s="34" t="s">
        <v>211</v>
      </c>
      <c r="F359" s="34" t="s">
        <v>226</v>
      </c>
      <c r="G359" s="34" t="s">
        <v>213</v>
      </c>
      <c r="H359" s="34" t="s">
        <v>279</v>
      </c>
      <c r="I359" s="35" t="str">
        <f>VLOOKUP(H359,人員與團隊!$A$4:$D$27,3,FALSE)</f>
        <v>南區服務</v>
      </c>
      <c r="J359" s="34" t="s">
        <v>774</v>
      </c>
      <c r="K359" s="33">
        <v>46160.022222222222</v>
      </c>
      <c r="L359" s="33"/>
      <c r="M359" s="36">
        <f t="shared" si="25"/>
        <v>480.99999999627471</v>
      </c>
      <c r="N359" s="37" t="str">
        <f t="shared" si="26"/>
        <v/>
      </c>
      <c r="O359" s="36">
        <f>VLOOKUP(G359,SLA標準!$A$4:$C$7,2,FALSE)</f>
        <v>480</v>
      </c>
      <c r="P359" s="37">
        <f>VLOOKUP(G359,SLA標準!$A$4:$C$7,3,FALSE)</f>
        <v>48</v>
      </c>
      <c r="Q359" s="35" t="str">
        <f t="shared" si="27"/>
        <v>逾期</v>
      </c>
      <c r="R359" s="34" t="s">
        <v>47</v>
      </c>
      <c r="S359" s="35" t="str">
        <f t="shared" si="28"/>
        <v>否</v>
      </c>
      <c r="T359" s="36" t="str">
        <f>IFERROR(VLOOKUP(A359,滿意度調查!$B$4:$D$570,3,FALSE),"")</f>
        <v/>
      </c>
      <c r="U359" s="35" t="str">
        <f t="shared" si="29"/>
        <v>2026-05</v>
      </c>
      <c r="V359" s="38">
        <f>IF(J359="已結案",0,(使用說明!$B$7-B359)*24)</f>
        <v>1072.483333333279</v>
      </c>
    </row>
    <row r="360" spans="1:22">
      <c r="A360" s="32" t="s">
        <v>841</v>
      </c>
      <c r="B360" s="33">
        <v>46159.85</v>
      </c>
      <c r="C360" s="34" t="s">
        <v>842</v>
      </c>
      <c r="D360" s="34" t="s">
        <v>225</v>
      </c>
      <c r="E360" s="34" t="s">
        <v>211</v>
      </c>
      <c r="F360" s="34" t="s">
        <v>334</v>
      </c>
      <c r="G360" s="34" t="s">
        <v>242</v>
      </c>
      <c r="H360" s="34" t="s">
        <v>340</v>
      </c>
      <c r="I360" s="35" t="str">
        <f>VLOOKUP(H360,人員與團隊!$A$4:$D$27,3,FALSE)</f>
        <v>北區服務</v>
      </c>
      <c r="J360" s="34" t="s">
        <v>215</v>
      </c>
      <c r="K360" s="33">
        <v>46159.895138888889</v>
      </c>
      <c r="L360" s="33">
        <v>46160.037998148146</v>
      </c>
      <c r="M360" s="36">
        <f t="shared" si="25"/>
        <v>65.000000002328306</v>
      </c>
      <c r="N360" s="37">
        <f t="shared" si="26"/>
        <v>4.5119555555284023</v>
      </c>
      <c r="O360" s="36">
        <f>VLOOKUP(G360,SLA標準!$A$4:$C$7,2,FALSE)</f>
        <v>240</v>
      </c>
      <c r="P360" s="37">
        <f>VLOOKUP(G360,SLA標準!$A$4:$C$7,3,FALSE)</f>
        <v>24</v>
      </c>
      <c r="Q360" s="35" t="str">
        <f t="shared" si="27"/>
        <v>達標</v>
      </c>
      <c r="R360" s="34" t="s">
        <v>47</v>
      </c>
      <c r="S360" s="35" t="str">
        <f t="shared" si="28"/>
        <v>是</v>
      </c>
      <c r="T360" s="36">
        <f>IFERROR(VLOOKUP(A360,滿意度調查!$B$4:$D$570,3,FALSE),"")</f>
        <v>4</v>
      </c>
      <c r="U360" s="35" t="str">
        <f t="shared" si="29"/>
        <v>2026-05</v>
      </c>
      <c r="V360" s="38">
        <f>IF(J360="已結案",0,(使用說明!$B$7-B360)*24)</f>
        <v>0</v>
      </c>
    </row>
    <row r="361" spans="1:22">
      <c r="A361" s="32" t="s">
        <v>843</v>
      </c>
      <c r="B361" s="33">
        <v>46160.42083333333</v>
      </c>
      <c r="C361" s="34" t="s">
        <v>614</v>
      </c>
      <c r="D361" s="34" t="s">
        <v>210</v>
      </c>
      <c r="E361" s="34" t="s">
        <v>235</v>
      </c>
      <c r="F361" s="34" t="s">
        <v>298</v>
      </c>
      <c r="G361" s="34" t="s">
        <v>242</v>
      </c>
      <c r="H361" s="34" t="s">
        <v>237</v>
      </c>
      <c r="I361" s="35" t="str">
        <f>VLOOKUP(H361,人員與團隊!$A$4:$D$27,3,FALSE)</f>
        <v>北區服務</v>
      </c>
      <c r="J361" s="34" t="s">
        <v>215</v>
      </c>
      <c r="K361" s="33">
        <v>46160.50277777778</v>
      </c>
      <c r="L361" s="33">
        <v>46160.829365578706</v>
      </c>
      <c r="M361" s="36">
        <f t="shared" si="25"/>
        <v>118.00000000745058</v>
      </c>
      <c r="N361" s="37">
        <f t="shared" si="26"/>
        <v>9.80477388901636</v>
      </c>
      <c r="O361" s="36">
        <f>VLOOKUP(G361,SLA標準!$A$4:$C$7,2,FALSE)</f>
        <v>240</v>
      </c>
      <c r="P361" s="37">
        <f>VLOOKUP(G361,SLA標準!$A$4:$C$7,3,FALSE)</f>
        <v>24</v>
      </c>
      <c r="Q361" s="35" t="str">
        <f t="shared" si="27"/>
        <v>達標</v>
      </c>
      <c r="R361" s="34" t="s">
        <v>41</v>
      </c>
      <c r="S361" s="35" t="str">
        <f t="shared" si="28"/>
        <v>是</v>
      </c>
      <c r="T361" s="36">
        <f>IFERROR(VLOOKUP(A361,滿意度調查!$B$4:$D$570,3,FALSE),"")</f>
        <v>4</v>
      </c>
      <c r="U361" s="35" t="str">
        <f t="shared" si="29"/>
        <v>2026-05</v>
      </c>
      <c r="V361" s="38">
        <f>IF(J361="已結案",0,(使用說明!$B$7-B361)*24)</f>
        <v>0</v>
      </c>
    </row>
    <row r="362" spans="1:22">
      <c r="A362" s="32" t="s">
        <v>844</v>
      </c>
      <c r="B362" s="33">
        <v>46160.522222222222</v>
      </c>
      <c r="C362" s="34" t="s">
        <v>330</v>
      </c>
      <c r="D362" s="34" t="s">
        <v>225</v>
      </c>
      <c r="E362" s="34" t="s">
        <v>265</v>
      </c>
      <c r="F362" s="34" t="s">
        <v>301</v>
      </c>
      <c r="G362" s="34" t="s">
        <v>242</v>
      </c>
      <c r="H362" s="34" t="s">
        <v>243</v>
      </c>
      <c r="I362" s="35" t="str">
        <f>VLOOKUP(H362,人員與團隊!$A$4:$D$27,3,FALSE)</f>
        <v>南區服務</v>
      </c>
      <c r="J362" s="34" t="s">
        <v>215</v>
      </c>
      <c r="K362" s="33">
        <v>46160.589583333334</v>
      </c>
      <c r="L362" s="33">
        <v>46161.54327425926</v>
      </c>
      <c r="M362" s="36">
        <f t="shared" si="25"/>
        <v>97.000000001862645</v>
      </c>
      <c r="N362" s="37">
        <f t="shared" si="26"/>
        <v>24.505248888919596</v>
      </c>
      <c r="O362" s="36">
        <f>VLOOKUP(G362,SLA標準!$A$4:$C$7,2,FALSE)</f>
        <v>240</v>
      </c>
      <c r="P362" s="37">
        <f>VLOOKUP(G362,SLA標準!$A$4:$C$7,3,FALSE)</f>
        <v>24</v>
      </c>
      <c r="Q362" s="35" t="str">
        <f t="shared" si="27"/>
        <v>逾期</v>
      </c>
      <c r="R362" s="34" t="s">
        <v>47</v>
      </c>
      <c r="S362" s="35" t="str">
        <f t="shared" si="28"/>
        <v>是</v>
      </c>
      <c r="T362" s="36">
        <f>IFERROR(VLOOKUP(A362,滿意度調查!$B$4:$D$570,3,FALSE),"")</f>
        <v>4</v>
      </c>
      <c r="U362" s="35" t="str">
        <f t="shared" si="29"/>
        <v>2026-05</v>
      </c>
      <c r="V362" s="38">
        <f>IF(J362="已結案",0,(使用說明!$B$7-B362)*24)</f>
        <v>0</v>
      </c>
    </row>
    <row r="363" spans="1:22">
      <c r="A363" s="32" t="s">
        <v>845</v>
      </c>
      <c r="B363" s="33">
        <v>46160.572222222225</v>
      </c>
      <c r="C363" s="34" t="s">
        <v>456</v>
      </c>
      <c r="D363" s="34" t="s">
        <v>210</v>
      </c>
      <c r="E363" s="34" t="s">
        <v>235</v>
      </c>
      <c r="F363" s="34" t="s">
        <v>241</v>
      </c>
      <c r="G363" s="34" t="s">
        <v>242</v>
      </c>
      <c r="H363" s="34" t="s">
        <v>408</v>
      </c>
      <c r="I363" s="35" t="str">
        <f>VLOOKUP(H363,人員與團隊!$A$4:$D$27,3,FALSE)</f>
        <v>線上服務</v>
      </c>
      <c r="J363" s="34" t="s">
        <v>215</v>
      </c>
      <c r="K363" s="33">
        <v>46160.661111111112</v>
      </c>
      <c r="L363" s="33">
        <v>46161.027115763885</v>
      </c>
      <c r="M363" s="36">
        <f t="shared" si="25"/>
        <v>127.99999999813735</v>
      </c>
      <c r="N363" s="37">
        <f t="shared" si="26"/>
        <v>10.917444999853615</v>
      </c>
      <c r="O363" s="36">
        <f>VLOOKUP(G363,SLA標準!$A$4:$C$7,2,FALSE)</f>
        <v>240</v>
      </c>
      <c r="P363" s="37">
        <f>VLOOKUP(G363,SLA標準!$A$4:$C$7,3,FALSE)</f>
        <v>24</v>
      </c>
      <c r="Q363" s="35" t="str">
        <f t="shared" si="27"/>
        <v>達標</v>
      </c>
      <c r="R363" s="34" t="s">
        <v>47</v>
      </c>
      <c r="S363" s="35" t="str">
        <f t="shared" si="28"/>
        <v>否</v>
      </c>
      <c r="T363" s="36" t="str">
        <f>IFERROR(VLOOKUP(A363,滿意度調查!$B$4:$D$570,3,FALSE),"")</f>
        <v/>
      </c>
      <c r="U363" s="35" t="str">
        <f t="shared" si="29"/>
        <v>2026-05</v>
      </c>
      <c r="V363" s="38">
        <f>IF(J363="已結案",0,(使用說明!$B$7-B363)*24)</f>
        <v>0</v>
      </c>
    </row>
    <row r="364" spans="1:22">
      <c r="A364" s="32" t="s">
        <v>846</v>
      </c>
      <c r="B364" s="33">
        <v>46160.604166666664</v>
      </c>
      <c r="C364" s="34" t="s">
        <v>662</v>
      </c>
      <c r="D364" s="34" t="s">
        <v>210</v>
      </c>
      <c r="E364" s="34" t="s">
        <v>219</v>
      </c>
      <c r="F364" s="34" t="s">
        <v>257</v>
      </c>
      <c r="G364" s="34" t="s">
        <v>242</v>
      </c>
      <c r="H364" s="34" t="s">
        <v>279</v>
      </c>
      <c r="I364" s="35" t="str">
        <f>VLOOKUP(H364,人員與團隊!$A$4:$D$27,3,FALSE)</f>
        <v>南區服務</v>
      </c>
      <c r="J364" s="34" t="s">
        <v>215</v>
      </c>
      <c r="K364" s="33">
        <v>46160.664583333331</v>
      </c>
      <c r="L364" s="33">
        <v>46161.229564062502</v>
      </c>
      <c r="M364" s="36">
        <f t="shared" si="25"/>
        <v>87.000000000698492</v>
      </c>
      <c r="N364" s="37">
        <f t="shared" si="26"/>
        <v>15.009537500096485</v>
      </c>
      <c r="O364" s="36">
        <f>VLOOKUP(G364,SLA標準!$A$4:$C$7,2,FALSE)</f>
        <v>240</v>
      </c>
      <c r="P364" s="37">
        <f>VLOOKUP(G364,SLA標準!$A$4:$C$7,3,FALSE)</f>
        <v>24</v>
      </c>
      <c r="Q364" s="35" t="str">
        <f t="shared" si="27"/>
        <v>達標</v>
      </c>
      <c r="R364" s="34" t="s">
        <v>47</v>
      </c>
      <c r="S364" s="35" t="str">
        <f t="shared" si="28"/>
        <v>是</v>
      </c>
      <c r="T364" s="36">
        <f>IFERROR(VLOOKUP(A364,滿意度調查!$B$4:$D$570,3,FALSE),"")</f>
        <v>5</v>
      </c>
      <c r="U364" s="35" t="str">
        <f t="shared" si="29"/>
        <v>2026-05</v>
      </c>
      <c r="V364" s="38">
        <f>IF(J364="已結案",0,(使用說明!$B$7-B364)*24)</f>
        <v>0</v>
      </c>
    </row>
    <row r="365" spans="1:22">
      <c r="A365" s="32" t="s">
        <v>847</v>
      </c>
      <c r="B365" s="33">
        <v>46160.673611111109</v>
      </c>
      <c r="C365" s="34" t="s">
        <v>638</v>
      </c>
      <c r="D365" s="34" t="s">
        <v>225</v>
      </c>
      <c r="E365" s="34" t="s">
        <v>219</v>
      </c>
      <c r="F365" s="34" t="s">
        <v>249</v>
      </c>
      <c r="G365" s="34" t="s">
        <v>221</v>
      </c>
      <c r="H365" s="34" t="s">
        <v>267</v>
      </c>
      <c r="I365" s="35" t="str">
        <f>VLOOKUP(H365,人員與團隊!$A$4:$D$27,3,FALSE)</f>
        <v>南區服務</v>
      </c>
      <c r="J365" s="34" t="s">
        <v>215</v>
      </c>
      <c r="K365" s="33">
        <v>46160.697916666664</v>
      </c>
      <c r="L365" s="33">
        <v>46161.137707858798</v>
      </c>
      <c r="M365" s="36">
        <f t="shared" si="25"/>
        <v>34.999999998835847</v>
      </c>
      <c r="N365" s="37">
        <f t="shared" si="26"/>
        <v>11.138321944512427</v>
      </c>
      <c r="O365" s="36">
        <f>VLOOKUP(G365,SLA標準!$A$4:$C$7,2,FALSE)</f>
        <v>60</v>
      </c>
      <c r="P365" s="37">
        <f>VLOOKUP(G365,SLA標準!$A$4:$C$7,3,FALSE)</f>
        <v>8</v>
      </c>
      <c r="Q365" s="35" t="str">
        <f t="shared" si="27"/>
        <v>逾期</v>
      </c>
      <c r="R365" s="34" t="s">
        <v>47</v>
      </c>
      <c r="S365" s="35" t="str">
        <f t="shared" si="28"/>
        <v>否</v>
      </c>
      <c r="T365" s="36" t="str">
        <f>IFERROR(VLOOKUP(A365,滿意度調查!$B$4:$D$570,3,FALSE),"")</f>
        <v/>
      </c>
      <c r="U365" s="35" t="str">
        <f t="shared" si="29"/>
        <v>2026-05</v>
      </c>
      <c r="V365" s="38">
        <f>IF(J365="已結案",0,(使用說明!$B$7-B365)*24)</f>
        <v>0</v>
      </c>
    </row>
    <row r="366" spans="1:22">
      <c r="A366" s="32" t="s">
        <v>848</v>
      </c>
      <c r="B366" s="33">
        <v>46160.676388888889</v>
      </c>
      <c r="C366" s="34" t="s">
        <v>748</v>
      </c>
      <c r="D366" s="34" t="s">
        <v>210</v>
      </c>
      <c r="E366" s="34" t="s">
        <v>230</v>
      </c>
      <c r="F366" s="34" t="s">
        <v>231</v>
      </c>
      <c r="G366" s="34" t="s">
        <v>242</v>
      </c>
      <c r="H366" s="34" t="s">
        <v>325</v>
      </c>
      <c r="I366" s="35" t="str">
        <f>VLOOKUP(H366,人員與團隊!$A$4:$D$27,3,FALSE)</f>
        <v>線上服務</v>
      </c>
      <c r="J366" s="34" t="s">
        <v>215</v>
      </c>
      <c r="K366" s="33">
        <v>46160.762499999997</v>
      </c>
      <c r="L366" s="33">
        <v>46161.076325983799</v>
      </c>
      <c r="M366" s="36">
        <f t="shared" si="25"/>
        <v>123.99999999557622</v>
      </c>
      <c r="N366" s="37">
        <f t="shared" si="26"/>
        <v>9.5984902778291143</v>
      </c>
      <c r="O366" s="36">
        <f>VLOOKUP(G366,SLA標準!$A$4:$C$7,2,FALSE)</f>
        <v>240</v>
      </c>
      <c r="P366" s="37">
        <f>VLOOKUP(G366,SLA標準!$A$4:$C$7,3,FALSE)</f>
        <v>24</v>
      </c>
      <c r="Q366" s="35" t="str">
        <f t="shared" si="27"/>
        <v>達標</v>
      </c>
      <c r="R366" s="34" t="s">
        <v>47</v>
      </c>
      <c r="S366" s="35" t="str">
        <f t="shared" si="28"/>
        <v>否</v>
      </c>
      <c r="T366" s="36" t="str">
        <f>IFERROR(VLOOKUP(A366,滿意度調查!$B$4:$D$570,3,FALSE),"")</f>
        <v/>
      </c>
      <c r="U366" s="35" t="str">
        <f t="shared" si="29"/>
        <v>2026-05</v>
      </c>
      <c r="V366" s="38">
        <f>IF(J366="已結案",0,(使用說明!$B$7-B366)*24)</f>
        <v>0</v>
      </c>
    </row>
    <row r="367" spans="1:22">
      <c r="A367" s="32" t="s">
        <v>849</v>
      </c>
      <c r="B367" s="33">
        <v>46160.697916666664</v>
      </c>
      <c r="C367" s="34" t="s">
        <v>709</v>
      </c>
      <c r="D367" s="34" t="s">
        <v>240</v>
      </c>
      <c r="E367" s="34" t="s">
        <v>265</v>
      </c>
      <c r="F367" s="34" t="s">
        <v>301</v>
      </c>
      <c r="G367" s="34" t="s">
        <v>213</v>
      </c>
      <c r="H367" s="34" t="s">
        <v>279</v>
      </c>
      <c r="I367" s="35" t="str">
        <f>VLOOKUP(H367,人員與團隊!$A$4:$D$27,3,FALSE)</f>
        <v>南區服務</v>
      </c>
      <c r="J367" s="34" t="s">
        <v>215</v>
      </c>
      <c r="K367" s="33">
        <v>46161.12222222222</v>
      </c>
      <c r="L367" s="33">
        <v>46161.380427013886</v>
      </c>
      <c r="M367" s="36">
        <f t="shared" si="25"/>
        <v>611.00000000093132</v>
      </c>
      <c r="N367" s="37">
        <f t="shared" si="26"/>
        <v>16.380248333327472</v>
      </c>
      <c r="O367" s="36">
        <f>VLOOKUP(G367,SLA標準!$A$4:$C$7,2,FALSE)</f>
        <v>480</v>
      </c>
      <c r="P367" s="37">
        <f>VLOOKUP(G367,SLA標準!$A$4:$C$7,3,FALSE)</f>
        <v>48</v>
      </c>
      <c r="Q367" s="35" t="str">
        <f t="shared" si="27"/>
        <v>逾期</v>
      </c>
      <c r="R367" s="34" t="s">
        <v>47</v>
      </c>
      <c r="S367" s="35" t="str">
        <f t="shared" si="28"/>
        <v>否</v>
      </c>
      <c r="T367" s="36" t="str">
        <f>IFERROR(VLOOKUP(A367,滿意度調查!$B$4:$D$570,3,FALSE),"")</f>
        <v/>
      </c>
      <c r="U367" s="35" t="str">
        <f t="shared" si="29"/>
        <v>2026-05</v>
      </c>
      <c r="V367" s="38">
        <f>IF(J367="已結案",0,(使用說明!$B$7-B367)*24)</f>
        <v>0</v>
      </c>
    </row>
    <row r="368" spans="1:22">
      <c r="A368" s="32" t="s">
        <v>850</v>
      </c>
      <c r="B368" s="33">
        <v>46160.743055555555</v>
      </c>
      <c r="C368" s="34" t="s">
        <v>469</v>
      </c>
      <c r="D368" s="34" t="s">
        <v>218</v>
      </c>
      <c r="E368" s="34" t="s">
        <v>265</v>
      </c>
      <c r="F368" s="34" t="s">
        <v>304</v>
      </c>
      <c r="G368" s="34" t="s">
        <v>221</v>
      </c>
      <c r="H368" s="34" t="s">
        <v>340</v>
      </c>
      <c r="I368" s="35" t="str">
        <f>VLOOKUP(H368,人員與團隊!$A$4:$D$27,3,FALSE)</f>
        <v>北區服務</v>
      </c>
      <c r="J368" s="34" t="s">
        <v>215</v>
      </c>
      <c r="K368" s="33">
        <v>46160.79583333333</v>
      </c>
      <c r="L368" s="33">
        <v>46161.111606296297</v>
      </c>
      <c r="M368" s="36">
        <f t="shared" si="25"/>
        <v>75.99999999627471</v>
      </c>
      <c r="N368" s="37">
        <f t="shared" si="26"/>
        <v>8.8452177778235637</v>
      </c>
      <c r="O368" s="36">
        <f>VLOOKUP(G368,SLA標準!$A$4:$C$7,2,FALSE)</f>
        <v>60</v>
      </c>
      <c r="P368" s="37">
        <f>VLOOKUP(G368,SLA標準!$A$4:$C$7,3,FALSE)</f>
        <v>8</v>
      </c>
      <c r="Q368" s="35" t="str">
        <f t="shared" si="27"/>
        <v>逾期</v>
      </c>
      <c r="R368" s="34" t="s">
        <v>47</v>
      </c>
      <c r="S368" s="35" t="str">
        <f t="shared" si="28"/>
        <v>是</v>
      </c>
      <c r="T368" s="36">
        <f>IFERROR(VLOOKUP(A368,滿意度調查!$B$4:$D$570,3,FALSE),"")</f>
        <v>3</v>
      </c>
      <c r="U368" s="35" t="str">
        <f t="shared" si="29"/>
        <v>2026-05</v>
      </c>
      <c r="V368" s="38">
        <f>IF(J368="已結案",0,(使用說明!$B$7-B368)*24)</f>
        <v>0</v>
      </c>
    </row>
    <row r="369" spans="1:22">
      <c r="A369" s="32" t="s">
        <v>851</v>
      </c>
      <c r="B369" s="33">
        <v>46160.788194444445</v>
      </c>
      <c r="C369" s="34" t="s">
        <v>300</v>
      </c>
      <c r="D369" s="34" t="s">
        <v>210</v>
      </c>
      <c r="E369" s="34" t="s">
        <v>230</v>
      </c>
      <c r="F369" s="34" t="s">
        <v>339</v>
      </c>
      <c r="G369" s="34" t="s">
        <v>242</v>
      </c>
      <c r="H369" s="34" t="s">
        <v>285</v>
      </c>
      <c r="I369" s="35" t="str">
        <f>VLOOKUP(H369,人員與團隊!$A$4:$D$27,3,FALSE)</f>
        <v>線上服務</v>
      </c>
      <c r="J369" s="34" t="s">
        <v>215</v>
      </c>
      <c r="K369" s="33">
        <v>46160.821527777778</v>
      </c>
      <c r="L369" s="33">
        <v>46161.6074730787</v>
      </c>
      <c r="M369" s="36">
        <f t="shared" si="25"/>
        <v>47.999999999301508</v>
      </c>
      <c r="N369" s="37">
        <f t="shared" si="26"/>
        <v>19.662687222124077</v>
      </c>
      <c r="O369" s="36">
        <f>VLOOKUP(G369,SLA標準!$A$4:$C$7,2,FALSE)</f>
        <v>240</v>
      </c>
      <c r="P369" s="37">
        <f>VLOOKUP(G369,SLA標準!$A$4:$C$7,3,FALSE)</f>
        <v>24</v>
      </c>
      <c r="Q369" s="35" t="str">
        <f t="shared" si="27"/>
        <v>達標</v>
      </c>
      <c r="R369" s="34" t="s">
        <v>47</v>
      </c>
      <c r="S369" s="35" t="str">
        <f t="shared" si="28"/>
        <v>是</v>
      </c>
      <c r="T369" s="36">
        <f>IFERROR(VLOOKUP(A369,滿意度調查!$B$4:$D$570,3,FALSE),"")</f>
        <v>5</v>
      </c>
      <c r="U369" s="35" t="str">
        <f t="shared" si="29"/>
        <v>2026-05</v>
      </c>
      <c r="V369" s="38">
        <f>IF(J369="已結案",0,(使用說明!$B$7-B369)*24)</f>
        <v>0</v>
      </c>
    </row>
    <row r="370" spans="1:22">
      <c r="A370" s="32" t="s">
        <v>852</v>
      </c>
      <c r="B370" s="33">
        <v>46160.795138888891</v>
      </c>
      <c r="C370" s="34" t="s">
        <v>605</v>
      </c>
      <c r="D370" s="34" t="s">
        <v>218</v>
      </c>
      <c r="E370" s="34" t="s">
        <v>265</v>
      </c>
      <c r="F370" s="34" t="s">
        <v>301</v>
      </c>
      <c r="G370" s="34" t="s">
        <v>221</v>
      </c>
      <c r="H370" s="34" t="s">
        <v>274</v>
      </c>
      <c r="I370" s="35" t="str">
        <f>VLOOKUP(H370,人員與團隊!$A$4:$D$27,3,FALSE)</f>
        <v>南區服務</v>
      </c>
      <c r="J370" s="34" t="s">
        <v>215</v>
      </c>
      <c r="K370" s="33">
        <v>46160.834722222222</v>
      </c>
      <c r="L370" s="33">
        <v>46161.160154224533</v>
      </c>
      <c r="M370" s="36">
        <f t="shared" si="25"/>
        <v>56.999999997206032</v>
      </c>
      <c r="N370" s="37">
        <f t="shared" si="26"/>
        <v>8.7603680554311723</v>
      </c>
      <c r="O370" s="36">
        <f>VLOOKUP(G370,SLA標準!$A$4:$C$7,2,FALSE)</f>
        <v>60</v>
      </c>
      <c r="P370" s="37">
        <f>VLOOKUP(G370,SLA標準!$A$4:$C$7,3,FALSE)</f>
        <v>8</v>
      </c>
      <c r="Q370" s="35" t="str">
        <f t="shared" si="27"/>
        <v>逾期</v>
      </c>
      <c r="R370" s="34" t="s">
        <v>47</v>
      </c>
      <c r="S370" s="35" t="str">
        <f t="shared" si="28"/>
        <v>是</v>
      </c>
      <c r="T370" s="36">
        <f>IFERROR(VLOOKUP(A370,滿意度調查!$B$4:$D$570,3,FALSE),"")</f>
        <v>3</v>
      </c>
      <c r="U370" s="35" t="str">
        <f t="shared" si="29"/>
        <v>2026-05</v>
      </c>
      <c r="V370" s="38">
        <f>IF(J370="已結案",0,(使用說明!$B$7-B370)*24)</f>
        <v>0</v>
      </c>
    </row>
    <row r="371" spans="1:22">
      <c r="A371" s="32" t="s">
        <v>853</v>
      </c>
      <c r="B371" s="33">
        <v>46161.478472222225</v>
      </c>
      <c r="C371" s="34" t="s">
        <v>618</v>
      </c>
      <c r="D371" s="34" t="s">
        <v>218</v>
      </c>
      <c r="E371" s="34" t="s">
        <v>265</v>
      </c>
      <c r="F371" s="34" t="s">
        <v>301</v>
      </c>
      <c r="G371" s="34" t="s">
        <v>350</v>
      </c>
      <c r="H371" s="34" t="s">
        <v>315</v>
      </c>
      <c r="I371" s="35" t="str">
        <f>VLOOKUP(H371,人員與團隊!$A$4:$D$27,3,FALSE)</f>
        <v>北區服務</v>
      </c>
      <c r="J371" s="34" t="s">
        <v>215</v>
      </c>
      <c r="K371" s="33">
        <v>46161.49722222222</v>
      </c>
      <c r="L371" s="33">
        <v>46161.826299664353</v>
      </c>
      <c r="M371" s="36">
        <f t="shared" si="25"/>
        <v>26.999999993713573</v>
      </c>
      <c r="N371" s="37">
        <f t="shared" si="26"/>
        <v>8.3478586110868491</v>
      </c>
      <c r="O371" s="36">
        <f>VLOOKUP(G371,SLA標準!$A$4:$C$7,2,FALSE)</f>
        <v>30</v>
      </c>
      <c r="P371" s="37">
        <f>VLOOKUP(G371,SLA標準!$A$4:$C$7,3,FALSE)</f>
        <v>4</v>
      </c>
      <c r="Q371" s="35" t="str">
        <f t="shared" si="27"/>
        <v>逾期</v>
      </c>
      <c r="R371" s="34" t="s">
        <v>47</v>
      </c>
      <c r="S371" s="35" t="str">
        <f t="shared" si="28"/>
        <v>是</v>
      </c>
      <c r="T371" s="36">
        <f>IFERROR(VLOOKUP(A371,滿意度調查!$B$4:$D$570,3,FALSE),"")</f>
        <v>3</v>
      </c>
      <c r="U371" s="35" t="str">
        <f t="shared" si="29"/>
        <v>2026-05</v>
      </c>
      <c r="V371" s="38">
        <f>IF(J371="已結案",0,(使用說明!$B$7-B371)*24)</f>
        <v>0</v>
      </c>
    </row>
    <row r="372" spans="1:22">
      <c r="A372" s="32" t="s">
        <v>854</v>
      </c>
      <c r="B372" s="33">
        <v>46161.509722222225</v>
      </c>
      <c r="C372" s="34" t="s">
        <v>855</v>
      </c>
      <c r="D372" s="34" t="s">
        <v>210</v>
      </c>
      <c r="E372" s="34" t="s">
        <v>235</v>
      </c>
      <c r="F372" s="34" t="s">
        <v>298</v>
      </c>
      <c r="G372" s="34" t="s">
        <v>213</v>
      </c>
      <c r="H372" s="34" t="s">
        <v>408</v>
      </c>
      <c r="I372" s="35" t="str">
        <f>VLOOKUP(H372,人員與團隊!$A$4:$D$27,3,FALSE)</f>
        <v>線上服務</v>
      </c>
      <c r="J372" s="34" t="s">
        <v>215</v>
      </c>
      <c r="K372" s="33">
        <v>46161.56527777778</v>
      </c>
      <c r="L372" s="33">
        <v>46161.812472349535</v>
      </c>
      <c r="M372" s="36">
        <f t="shared" si="25"/>
        <v>79.999999998835847</v>
      </c>
      <c r="N372" s="37">
        <f t="shared" si="26"/>
        <v>7.2660030554397963</v>
      </c>
      <c r="O372" s="36">
        <f>VLOOKUP(G372,SLA標準!$A$4:$C$7,2,FALSE)</f>
        <v>480</v>
      </c>
      <c r="P372" s="37">
        <f>VLOOKUP(G372,SLA標準!$A$4:$C$7,3,FALSE)</f>
        <v>48</v>
      </c>
      <c r="Q372" s="35" t="str">
        <f t="shared" si="27"/>
        <v>達標</v>
      </c>
      <c r="R372" s="34" t="s">
        <v>41</v>
      </c>
      <c r="S372" s="35" t="str">
        <f t="shared" si="28"/>
        <v>是</v>
      </c>
      <c r="T372" s="36">
        <f>IFERROR(VLOOKUP(A372,滿意度調查!$B$4:$D$570,3,FALSE),"")</f>
        <v>4</v>
      </c>
      <c r="U372" s="35" t="str">
        <f t="shared" si="29"/>
        <v>2026-05</v>
      </c>
      <c r="V372" s="38">
        <f>IF(J372="已結案",0,(使用說明!$B$7-B372)*24)</f>
        <v>0</v>
      </c>
    </row>
    <row r="373" spans="1:22">
      <c r="A373" s="32" t="s">
        <v>856</v>
      </c>
      <c r="B373" s="33">
        <v>46161.561805555553</v>
      </c>
      <c r="C373" s="34" t="s">
        <v>857</v>
      </c>
      <c r="D373" s="34" t="s">
        <v>225</v>
      </c>
      <c r="E373" s="34" t="s">
        <v>230</v>
      </c>
      <c r="F373" s="34" t="s">
        <v>320</v>
      </c>
      <c r="G373" s="34" t="s">
        <v>242</v>
      </c>
      <c r="H373" s="34" t="s">
        <v>361</v>
      </c>
      <c r="I373" s="35" t="str">
        <f>VLOOKUP(H373,人員與團隊!$A$4:$D$27,3,FALSE)</f>
        <v>南區服務</v>
      </c>
      <c r="J373" s="34" t="s">
        <v>215</v>
      </c>
      <c r="K373" s="33">
        <v>46161.616666666669</v>
      </c>
      <c r="L373" s="33">
        <v>46162.34082730324</v>
      </c>
      <c r="M373" s="36">
        <f t="shared" si="25"/>
        <v>79.000000006053597</v>
      </c>
      <c r="N373" s="37">
        <f t="shared" si="26"/>
        <v>18.696521944482811</v>
      </c>
      <c r="O373" s="36">
        <f>VLOOKUP(G373,SLA標準!$A$4:$C$7,2,FALSE)</f>
        <v>240</v>
      </c>
      <c r="P373" s="37">
        <f>VLOOKUP(G373,SLA標準!$A$4:$C$7,3,FALSE)</f>
        <v>24</v>
      </c>
      <c r="Q373" s="35" t="str">
        <f t="shared" si="27"/>
        <v>達標</v>
      </c>
      <c r="R373" s="34" t="s">
        <v>47</v>
      </c>
      <c r="S373" s="35" t="str">
        <f t="shared" si="28"/>
        <v>是</v>
      </c>
      <c r="T373" s="36">
        <f>IFERROR(VLOOKUP(A373,滿意度調查!$B$4:$D$570,3,FALSE),"")</f>
        <v>5</v>
      </c>
      <c r="U373" s="35" t="str">
        <f t="shared" si="29"/>
        <v>2026-05</v>
      </c>
      <c r="V373" s="38">
        <f>IF(J373="已結案",0,(使用說明!$B$7-B373)*24)</f>
        <v>0</v>
      </c>
    </row>
    <row r="374" spans="1:22">
      <c r="A374" s="32" t="s">
        <v>858</v>
      </c>
      <c r="B374" s="33">
        <v>46161.588194444441</v>
      </c>
      <c r="C374" s="34" t="s">
        <v>660</v>
      </c>
      <c r="D374" s="34" t="s">
        <v>225</v>
      </c>
      <c r="E374" s="34" t="s">
        <v>245</v>
      </c>
      <c r="F374" s="34" t="s">
        <v>282</v>
      </c>
      <c r="G374" s="34" t="s">
        <v>221</v>
      </c>
      <c r="H374" s="34" t="s">
        <v>243</v>
      </c>
      <c r="I374" s="35" t="str">
        <f>VLOOKUP(H374,人員與團隊!$A$4:$D$27,3,FALSE)</f>
        <v>南區服務</v>
      </c>
      <c r="J374" s="34" t="s">
        <v>215</v>
      </c>
      <c r="K374" s="33">
        <v>46161.615277777775</v>
      </c>
      <c r="L374" s="33">
        <v>46162.061309803241</v>
      </c>
      <c r="M374" s="36">
        <f t="shared" si="25"/>
        <v>39.000000001396984</v>
      </c>
      <c r="N374" s="37">
        <f t="shared" si="26"/>
        <v>11.354768611199688</v>
      </c>
      <c r="O374" s="36">
        <f>VLOOKUP(G374,SLA標準!$A$4:$C$7,2,FALSE)</f>
        <v>60</v>
      </c>
      <c r="P374" s="37">
        <f>VLOOKUP(G374,SLA標準!$A$4:$C$7,3,FALSE)</f>
        <v>8</v>
      </c>
      <c r="Q374" s="35" t="str">
        <f t="shared" si="27"/>
        <v>逾期</v>
      </c>
      <c r="R374" s="34" t="s">
        <v>47</v>
      </c>
      <c r="S374" s="35" t="str">
        <f t="shared" si="28"/>
        <v>是</v>
      </c>
      <c r="T374" s="36">
        <f>IFERROR(VLOOKUP(A374,滿意度調查!$B$4:$D$570,3,FALSE),"")</f>
        <v>3</v>
      </c>
      <c r="U374" s="35" t="str">
        <f t="shared" si="29"/>
        <v>2026-05</v>
      </c>
      <c r="V374" s="38">
        <f>IF(J374="已結案",0,(使用說明!$B$7-B374)*24)</f>
        <v>0</v>
      </c>
    </row>
    <row r="375" spans="1:22">
      <c r="A375" s="32" t="s">
        <v>859</v>
      </c>
      <c r="B375" s="33">
        <v>46161.611111111109</v>
      </c>
      <c r="C375" s="34" t="s">
        <v>860</v>
      </c>
      <c r="D375" s="34" t="s">
        <v>218</v>
      </c>
      <c r="E375" s="34" t="s">
        <v>265</v>
      </c>
      <c r="F375" s="34" t="s">
        <v>301</v>
      </c>
      <c r="G375" s="34" t="s">
        <v>213</v>
      </c>
      <c r="H375" s="34" t="s">
        <v>372</v>
      </c>
      <c r="I375" s="35" t="str">
        <f>VLOOKUP(H375,人員與團隊!$A$4:$D$27,3,FALSE)</f>
        <v>南區服務</v>
      </c>
      <c r="J375" s="34" t="s">
        <v>215</v>
      </c>
      <c r="K375" s="33">
        <v>46162.013194444444</v>
      </c>
      <c r="L375" s="33">
        <v>46162.256150740737</v>
      </c>
      <c r="M375" s="36">
        <f t="shared" si="25"/>
        <v>579.00000000139698</v>
      </c>
      <c r="N375" s="37">
        <f t="shared" si="26"/>
        <v>15.480951111065224</v>
      </c>
      <c r="O375" s="36">
        <f>VLOOKUP(G375,SLA標準!$A$4:$C$7,2,FALSE)</f>
        <v>480</v>
      </c>
      <c r="P375" s="37">
        <f>VLOOKUP(G375,SLA標準!$A$4:$C$7,3,FALSE)</f>
        <v>48</v>
      </c>
      <c r="Q375" s="35" t="str">
        <f t="shared" si="27"/>
        <v>逾期</v>
      </c>
      <c r="R375" s="34" t="s">
        <v>47</v>
      </c>
      <c r="S375" s="35" t="str">
        <f t="shared" si="28"/>
        <v>否</v>
      </c>
      <c r="T375" s="36" t="str">
        <f>IFERROR(VLOOKUP(A375,滿意度調查!$B$4:$D$570,3,FALSE),"")</f>
        <v/>
      </c>
      <c r="U375" s="35" t="str">
        <f t="shared" si="29"/>
        <v>2026-05</v>
      </c>
      <c r="V375" s="38">
        <f>IF(J375="已結案",0,(使用說明!$B$7-B375)*24)</f>
        <v>0</v>
      </c>
    </row>
    <row r="376" spans="1:22">
      <c r="A376" s="32" t="s">
        <v>861</v>
      </c>
      <c r="B376" s="33">
        <v>46161.78125</v>
      </c>
      <c r="C376" s="34" t="s">
        <v>789</v>
      </c>
      <c r="D376" s="34" t="s">
        <v>225</v>
      </c>
      <c r="E376" s="34" t="s">
        <v>235</v>
      </c>
      <c r="F376" s="34" t="s">
        <v>236</v>
      </c>
      <c r="G376" s="34" t="s">
        <v>350</v>
      </c>
      <c r="H376" s="34" t="s">
        <v>279</v>
      </c>
      <c r="I376" s="35" t="str">
        <f>VLOOKUP(H376,人員與團隊!$A$4:$D$27,3,FALSE)</f>
        <v>南區服務</v>
      </c>
      <c r="J376" s="34" t="s">
        <v>215</v>
      </c>
      <c r="K376" s="33">
        <v>46161.790277777778</v>
      </c>
      <c r="L376" s="33">
        <v>46161.942392685189</v>
      </c>
      <c r="M376" s="36">
        <f t="shared" si="25"/>
        <v>13.000000000465661</v>
      </c>
      <c r="N376" s="37">
        <f t="shared" si="26"/>
        <v>3.8674244445282966</v>
      </c>
      <c r="O376" s="36">
        <f>VLOOKUP(G376,SLA標準!$A$4:$C$7,2,FALSE)</f>
        <v>30</v>
      </c>
      <c r="P376" s="37">
        <f>VLOOKUP(G376,SLA標準!$A$4:$C$7,3,FALSE)</f>
        <v>4</v>
      </c>
      <c r="Q376" s="35" t="str">
        <f t="shared" si="27"/>
        <v>達標</v>
      </c>
      <c r="R376" s="34" t="s">
        <v>41</v>
      </c>
      <c r="S376" s="35" t="str">
        <f t="shared" si="28"/>
        <v>是</v>
      </c>
      <c r="T376" s="36">
        <f>IFERROR(VLOOKUP(A376,滿意度調查!$B$4:$D$570,3,FALSE),"")</f>
        <v>4</v>
      </c>
      <c r="U376" s="35" t="str">
        <f t="shared" si="29"/>
        <v>2026-05</v>
      </c>
      <c r="V376" s="38">
        <f>IF(J376="已結案",0,(使用說明!$B$7-B376)*24)</f>
        <v>0</v>
      </c>
    </row>
    <row r="377" spans="1:22">
      <c r="A377" s="32" t="s">
        <v>862</v>
      </c>
      <c r="B377" s="33">
        <v>46161.851388888892</v>
      </c>
      <c r="C377" s="34" t="s">
        <v>533</v>
      </c>
      <c r="D377" s="34" t="s">
        <v>225</v>
      </c>
      <c r="E377" s="34" t="s">
        <v>219</v>
      </c>
      <c r="F377" s="34" t="s">
        <v>371</v>
      </c>
      <c r="G377" s="34" t="s">
        <v>350</v>
      </c>
      <c r="H377" s="34" t="s">
        <v>250</v>
      </c>
      <c r="I377" s="35" t="str">
        <f>VLOOKUP(H377,人員與團隊!$A$4:$D$27,3,FALSE)</f>
        <v>南區服務</v>
      </c>
      <c r="J377" s="34" t="s">
        <v>215</v>
      </c>
      <c r="K377" s="33">
        <v>46161.85833333333</v>
      </c>
      <c r="L377" s="33">
        <v>46162.268456446756</v>
      </c>
      <c r="M377" s="36">
        <f t="shared" si="25"/>
        <v>9.9999999906867743</v>
      </c>
      <c r="N377" s="37">
        <f t="shared" si="26"/>
        <v>10.009621388744563</v>
      </c>
      <c r="O377" s="36">
        <f>VLOOKUP(G377,SLA標準!$A$4:$C$7,2,FALSE)</f>
        <v>30</v>
      </c>
      <c r="P377" s="37">
        <f>VLOOKUP(G377,SLA標準!$A$4:$C$7,3,FALSE)</f>
        <v>4</v>
      </c>
      <c r="Q377" s="35" t="str">
        <f t="shared" si="27"/>
        <v>逾期</v>
      </c>
      <c r="R377" s="34" t="s">
        <v>47</v>
      </c>
      <c r="S377" s="35" t="str">
        <f t="shared" si="28"/>
        <v>否</v>
      </c>
      <c r="T377" s="36" t="str">
        <f>IFERROR(VLOOKUP(A377,滿意度調查!$B$4:$D$570,3,FALSE),"")</f>
        <v/>
      </c>
      <c r="U377" s="35" t="str">
        <f t="shared" si="29"/>
        <v>2026-05</v>
      </c>
      <c r="V377" s="38">
        <f>IF(J377="已結案",0,(使用說明!$B$7-B377)*24)</f>
        <v>0</v>
      </c>
    </row>
    <row r="378" spans="1:22">
      <c r="A378" s="32" t="s">
        <v>863</v>
      </c>
      <c r="B378" s="33">
        <v>46161.874305555553</v>
      </c>
      <c r="C378" s="34" t="s">
        <v>411</v>
      </c>
      <c r="D378" s="34" t="s">
        <v>225</v>
      </c>
      <c r="E378" s="34" t="s">
        <v>265</v>
      </c>
      <c r="F378" s="34" t="s">
        <v>479</v>
      </c>
      <c r="G378" s="34" t="s">
        <v>242</v>
      </c>
      <c r="H378" s="34" t="s">
        <v>279</v>
      </c>
      <c r="I378" s="35" t="str">
        <f>VLOOKUP(H378,人員與團隊!$A$4:$D$27,3,FALSE)</f>
        <v>南區服務</v>
      </c>
      <c r="J378" s="34" t="s">
        <v>215</v>
      </c>
      <c r="K378" s="33">
        <v>46161.977083333331</v>
      </c>
      <c r="L378" s="33">
        <v>46162.332771458336</v>
      </c>
      <c r="M378" s="36">
        <f t="shared" si="25"/>
        <v>148.00000000046566</v>
      </c>
      <c r="N378" s="37">
        <f t="shared" si="26"/>
        <v>11.003181666776072</v>
      </c>
      <c r="O378" s="36">
        <f>VLOOKUP(G378,SLA標準!$A$4:$C$7,2,FALSE)</f>
        <v>240</v>
      </c>
      <c r="P378" s="37">
        <f>VLOOKUP(G378,SLA標準!$A$4:$C$7,3,FALSE)</f>
        <v>24</v>
      </c>
      <c r="Q378" s="35" t="str">
        <f t="shared" si="27"/>
        <v>達標</v>
      </c>
      <c r="R378" s="34" t="s">
        <v>47</v>
      </c>
      <c r="S378" s="35" t="str">
        <f t="shared" si="28"/>
        <v>是</v>
      </c>
      <c r="T378" s="36">
        <f>IFERROR(VLOOKUP(A378,滿意度調查!$B$4:$D$570,3,FALSE),"")</f>
        <v>5</v>
      </c>
      <c r="U378" s="35" t="str">
        <f t="shared" si="29"/>
        <v>2026-05</v>
      </c>
      <c r="V378" s="38">
        <f>IF(J378="已結案",0,(使用說明!$B$7-B378)*24)</f>
        <v>0</v>
      </c>
    </row>
    <row r="379" spans="1:22">
      <c r="A379" s="32" t="s">
        <v>864</v>
      </c>
      <c r="B379" s="33">
        <v>46162.385416666664</v>
      </c>
      <c r="C379" s="34" t="s">
        <v>865</v>
      </c>
      <c r="D379" s="34" t="s">
        <v>210</v>
      </c>
      <c r="E379" s="34" t="s">
        <v>245</v>
      </c>
      <c r="F379" s="34" t="s">
        <v>282</v>
      </c>
      <c r="G379" s="34" t="s">
        <v>213</v>
      </c>
      <c r="H379" s="34" t="s">
        <v>254</v>
      </c>
      <c r="I379" s="35" t="str">
        <f>VLOOKUP(H379,人員與團隊!$A$4:$D$27,3,FALSE)</f>
        <v>線上服務</v>
      </c>
      <c r="J379" s="34" t="s">
        <v>215</v>
      </c>
      <c r="K379" s="33">
        <v>46162.509722222225</v>
      </c>
      <c r="L379" s="33">
        <v>46164.139053402774</v>
      </c>
      <c r="M379" s="36">
        <f t="shared" si="25"/>
        <v>179.00000000721775</v>
      </c>
      <c r="N379" s="37">
        <f t="shared" si="26"/>
        <v>42.087281666637864</v>
      </c>
      <c r="O379" s="36">
        <f>VLOOKUP(G379,SLA標準!$A$4:$C$7,2,FALSE)</f>
        <v>480</v>
      </c>
      <c r="P379" s="37">
        <f>VLOOKUP(G379,SLA標準!$A$4:$C$7,3,FALSE)</f>
        <v>48</v>
      </c>
      <c r="Q379" s="35" t="str">
        <f t="shared" si="27"/>
        <v>達標</v>
      </c>
      <c r="R379" s="34" t="s">
        <v>47</v>
      </c>
      <c r="S379" s="35" t="str">
        <f t="shared" si="28"/>
        <v>是</v>
      </c>
      <c r="T379" s="36">
        <f>IFERROR(VLOOKUP(A379,滿意度調查!$B$4:$D$570,3,FALSE),"")</f>
        <v>5</v>
      </c>
      <c r="U379" s="35" t="str">
        <f t="shared" si="29"/>
        <v>2026-05</v>
      </c>
      <c r="V379" s="38">
        <f>IF(J379="已結案",0,(使用說明!$B$7-B379)*24)</f>
        <v>0</v>
      </c>
    </row>
    <row r="380" spans="1:22">
      <c r="A380" s="32" t="s">
        <v>866</v>
      </c>
      <c r="B380" s="33">
        <v>46162.438888888886</v>
      </c>
      <c r="C380" s="34" t="s">
        <v>338</v>
      </c>
      <c r="D380" s="34" t="s">
        <v>210</v>
      </c>
      <c r="E380" s="34" t="s">
        <v>230</v>
      </c>
      <c r="F380" s="34" t="s">
        <v>320</v>
      </c>
      <c r="G380" s="34" t="s">
        <v>242</v>
      </c>
      <c r="H380" s="34" t="s">
        <v>381</v>
      </c>
      <c r="I380" s="35" t="str">
        <f>VLOOKUP(H380,人員與團隊!$A$4:$D$27,3,FALSE)</f>
        <v>線上服務</v>
      </c>
      <c r="J380" s="34" t="s">
        <v>215</v>
      </c>
      <c r="K380" s="33">
        <v>46162.53125</v>
      </c>
      <c r="L380" s="33">
        <v>46162.983933900461</v>
      </c>
      <c r="M380" s="36">
        <f t="shared" si="25"/>
        <v>133.00000000395812</v>
      </c>
      <c r="N380" s="37">
        <f t="shared" si="26"/>
        <v>13.081080277799629</v>
      </c>
      <c r="O380" s="36">
        <f>VLOOKUP(G380,SLA標準!$A$4:$C$7,2,FALSE)</f>
        <v>240</v>
      </c>
      <c r="P380" s="37">
        <f>VLOOKUP(G380,SLA標準!$A$4:$C$7,3,FALSE)</f>
        <v>24</v>
      </c>
      <c r="Q380" s="35" t="str">
        <f t="shared" si="27"/>
        <v>達標</v>
      </c>
      <c r="R380" s="34" t="s">
        <v>41</v>
      </c>
      <c r="S380" s="35" t="str">
        <f t="shared" si="28"/>
        <v>是</v>
      </c>
      <c r="T380" s="36">
        <f>IFERROR(VLOOKUP(A380,滿意度調查!$B$4:$D$570,3,FALSE),"")</f>
        <v>4</v>
      </c>
      <c r="U380" s="35" t="str">
        <f t="shared" si="29"/>
        <v>2026-05</v>
      </c>
      <c r="V380" s="38">
        <f>IF(J380="已結案",0,(使用說明!$B$7-B380)*24)</f>
        <v>0</v>
      </c>
    </row>
    <row r="381" spans="1:22">
      <c r="A381" s="32" t="s">
        <v>867</v>
      </c>
      <c r="B381" s="33">
        <v>46162.525694444441</v>
      </c>
      <c r="C381" s="34" t="s">
        <v>868</v>
      </c>
      <c r="D381" s="34" t="s">
        <v>240</v>
      </c>
      <c r="E381" s="34" t="s">
        <v>219</v>
      </c>
      <c r="F381" s="34" t="s">
        <v>249</v>
      </c>
      <c r="G381" s="34" t="s">
        <v>221</v>
      </c>
      <c r="H381" s="34" t="s">
        <v>372</v>
      </c>
      <c r="I381" s="35" t="str">
        <f>VLOOKUP(H381,人員與團隊!$A$4:$D$27,3,FALSE)</f>
        <v>南區服務</v>
      </c>
      <c r="J381" s="34" t="s">
        <v>215</v>
      </c>
      <c r="K381" s="33">
        <v>46162.573611111111</v>
      </c>
      <c r="L381" s="33">
        <v>46163.213930497688</v>
      </c>
      <c r="M381" s="36">
        <f t="shared" si="25"/>
        <v>69.000000004889444</v>
      </c>
      <c r="N381" s="37">
        <f t="shared" si="26"/>
        <v>16.517665277933702</v>
      </c>
      <c r="O381" s="36">
        <f>VLOOKUP(G381,SLA標準!$A$4:$C$7,2,FALSE)</f>
        <v>60</v>
      </c>
      <c r="P381" s="37">
        <f>VLOOKUP(G381,SLA標準!$A$4:$C$7,3,FALSE)</f>
        <v>8</v>
      </c>
      <c r="Q381" s="35" t="str">
        <f t="shared" si="27"/>
        <v>逾期</v>
      </c>
      <c r="R381" s="34" t="s">
        <v>47</v>
      </c>
      <c r="S381" s="35" t="str">
        <f t="shared" si="28"/>
        <v>是</v>
      </c>
      <c r="T381" s="36">
        <f>IFERROR(VLOOKUP(A381,滿意度調查!$B$4:$D$570,3,FALSE),"")</f>
        <v>3</v>
      </c>
      <c r="U381" s="35" t="str">
        <f t="shared" si="29"/>
        <v>2026-05</v>
      </c>
      <c r="V381" s="38">
        <f>IF(J381="已結案",0,(使用說明!$B$7-B381)*24)</f>
        <v>0</v>
      </c>
    </row>
    <row r="382" spans="1:22">
      <c r="A382" s="32" t="s">
        <v>869</v>
      </c>
      <c r="B382" s="33">
        <v>46162.54583333333</v>
      </c>
      <c r="C382" s="34" t="s">
        <v>779</v>
      </c>
      <c r="D382" s="34" t="s">
        <v>210</v>
      </c>
      <c r="E382" s="34" t="s">
        <v>245</v>
      </c>
      <c r="F382" s="34" t="s">
        <v>246</v>
      </c>
      <c r="G382" s="34" t="s">
        <v>213</v>
      </c>
      <c r="H382" s="34" t="s">
        <v>250</v>
      </c>
      <c r="I382" s="35" t="str">
        <f>VLOOKUP(H382,人員與團隊!$A$4:$D$27,3,FALSE)</f>
        <v>南區服務</v>
      </c>
      <c r="J382" s="34" t="s">
        <v>215</v>
      </c>
      <c r="K382" s="33">
        <v>46162.775694444441</v>
      </c>
      <c r="L382" s="33">
        <v>46163.858735543981</v>
      </c>
      <c r="M382" s="36">
        <f t="shared" si="25"/>
        <v>330.99999999976717</v>
      </c>
      <c r="N382" s="37">
        <f t="shared" si="26"/>
        <v>31.509653055632953</v>
      </c>
      <c r="O382" s="36">
        <f>VLOOKUP(G382,SLA標準!$A$4:$C$7,2,FALSE)</f>
        <v>480</v>
      </c>
      <c r="P382" s="37">
        <f>VLOOKUP(G382,SLA標準!$A$4:$C$7,3,FALSE)</f>
        <v>48</v>
      </c>
      <c r="Q382" s="35" t="str">
        <f t="shared" si="27"/>
        <v>達標</v>
      </c>
      <c r="R382" s="34" t="s">
        <v>47</v>
      </c>
      <c r="S382" s="35" t="str">
        <f t="shared" si="28"/>
        <v>是</v>
      </c>
      <c r="T382" s="36">
        <f>IFERROR(VLOOKUP(A382,滿意度調查!$B$4:$D$570,3,FALSE),"")</f>
        <v>5</v>
      </c>
      <c r="U382" s="35" t="str">
        <f t="shared" si="29"/>
        <v>2026-05</v>
      </c>
      <c r="V382" s="38">
        <f>IF(J382="已結案",0,(使用說明!$B$7-B382)*24)</f>
        <v>0</v>
      </c>
    </row>
    <row r="383" spans="1:22">
      <c r="A383" s="32" t="s">
        <v>870</v>
      </c>
      <c r="B383" s="33">
        <v>46162.611111111109</v>
      </c>
      <c r="C383" s="34" t="s">
        <v>786</v>
      </c>
      <c r="D383" s="34" t="s">
        <v>225</v>
      </c>
      <c r="E383" s="34" t="s">
        <v>219</v>
      </c>
      <c r="F383" s="34" t="s">
        <v>220</v>
      </c>
      <c r="G383" s="34" t="s">
        <v>242</v>
      </c>
      <c r="H383" s="34" t="s">
        <v>340</v>
      </c>
      <c r="I383" s="35" t="str">
        <f>VLOOKUP(H383,人員與團隊!$A$4:$D$27,3,FALSE)</f>
        <v>北區服務</v>
      </c>
      <c r="J383" s="34" t="s">
        <v>215</v>
      </c>
      <c r="K383" s="33">
        <v>46162.746527777781</v>
      </c>
      <c r="L383" s="33">
        <v>46163.098461724534</v>
      </c>
      <c r="M383" s="36">
        <f t="shared" si="25"/>
        <v>195.00000000698492</v>
      </c>
      <c r="N383" s="37">
        <f t="shared" si="26"/>
        <v>11.69641472218791</v>
      </c>
      <c r="O383" s="36">
        <f>VLOOKUP(G383,SLA標準!$A$4:$C$7,2,FALSE)</f>
        <v>240</v>
      </c>
      <c r="P383" s="37">
        <f>VLOOKUP(G383,SLA標準!$A$4:$C$7,3,FALSE)</f>
        <v>24</v>
      </c>
      <c r="Q383" s="35" t="str">
        <f t="shared" si="27"/>
        <v>達標</v>
      </c>
      <c r="R383" s="34" t="s">
        <v>47</v>
      </c>
      <c r="S383" s="35" t="str">
        <f t="shared" si="28"/>
        <v>是</v>
      </c>
      <c r="T383" s="36">
        <f>IFERROR(VLOOKUP(A383,滿意度調查!$B$4:$D$570,3,FALSE),"")</f>
        <v>5</v>
      </c>
      <c r="U383" s="35" t="str">
        <f t="shared" si="29"/>
        <v>2026-05</v>
      </c>
      <c r="V383" s="38">
        <f>IF(J383="已結案",0,(使用說明!$B$7-B383)*24)</f>
        <v>0</v>
      </c>
    </row>
    <row r="384" spans="1:22">
      <c r="A384" s="32" t="s">
        <v>871</v>
      </c>
      <c r="B384" s="33">
        <v>46162.67083333333</v>
      </c>
      <c r="C384" s="34" t="s">
        <v>872</v>
      </c>
      <c r="D384" s="34" t="s">
        <v>225</v>
      </c>
      <c r="E384" s="34" t="s">
        <v>219</v>
      </c>
      <c r="F384" s="34" t="s">
        <v>220</v>
      </c>
      <c r="G384" s="34" t="s">
        <v>242</v>
      </c>
      <c r="H384" s="34" t="s">
        <v>243</v>
      </c>
      <c r="I384" s="35" t="str">
        <f>VLOOKUP(H384,人員與團隊!$A$4:$D$27,3,FALSE)</f>
        <v>南區服務</v>
      </c>
      <c r="J384" s="34" t="s">
        <v>215</v>
      </c>
      <c r="K384" s="33">
        <v>46162.782638888886</v>
      </c>
      <c r="L384" s="33">
        <v>46162.972490162036</v>
      </c>
      <c r="M384" s="36">
        <f t="shared" si="25"/>
        <v>161.00000000093132</v>
      </c>
      <c r="N384" s="37">
        <f t="shared" si="26"/>
        <v>7.2397638889378868</v>
      </c>
      <c r="O384" s="36">
        <f>VLOOKUP(G384,SLA標準!$A$4:$C$7,2,FALSE)</f>
        <v>240</v>
      </c>
      <c r="P384" s="37">
        <f>VLOOKUP(G384,SLA標準!$A$4:$C$7,3,FALSE)</f>
        <v>24</v>
      </c>
      <c r="Q384" s="35" t="str">
        <f t="shared" si="27"/>
        <v>達標</v>
      </c>
      <c r="R384" s="34" t="s">
        <v>47</v>
      </c>
      <c r="S384" s="35" t="str">
        <f t="shared" si="28"/>
        <v>是</v>
      </c>
      <c r="T384" s="36">
        <f>IFERROR(VLOOKUP(A384,滿意度調查!$B$4:$D$570,3,FALSE),"")</f>
        <v>5</v>
      </c>
      <c r="U384" s="35" t="str">
        <f t="shared" si="29"/>
        <v>2026-05</v>
      </c>
      <c r="V384" s="38">
        <f>IF(J384="已結案",0,(使用說明!$B$7-B384)*24)</f>
        <v>0</v>
      </c>
    </row>
    <row r="385" spans="1:22">
      <c r="A385" s="32" t="s">
        <v>873</v>
      </c>
      <c r="B385" s="33">
        <v>46162.737500000003</v>
      </c>
      <c r="C385" s="34" t="s">
        <v>234</v>
      </c>
      <c r="D385" s="34" t="s">
        <v>218</v>
      </c>
      <c r="E385" s="34" t="s">
        <v>219</v>
      </c>
      <c r="F385" s="34" t="s">
        <v>220</v>
      </c>
      <c r="G385" s="34" t="s">
        <v>350</v>
      </c>
      <c r="H385" s="34" t="s">
        <v>361</v>
      </c>
      <c r="I385" s="35" t="str">
        <f>VLOOKUP(H385,人員與團隊!$A$4:$D$27,3,FALSE)</f>
        <v>南區服務</v>
      </c>
      <c r="J385" s="34" t="s">
        <v>215</v>
      </c>
      <c r="K385" s="33">
        <v>46162.757638888892</v>
      </c>
      <c r="L385" s="33">
        <v>46162.906678645835</v>
      </c>
      <c r="M385" s="36">
        <f t="shared" si="25"/>
        <v>29.000000000232831</v>
      </c>
      <c r="N385" s="37">
        <f t="shared" si="26"/>
        <v>4.0602874999749474</v>
      </c>
      <c r="O385" s="36">
        <f>VLOOKUP(G385,SLA標準!$A$4:$C$7,2,FALSE)</f>
        <v>30</v>
      </c>
      <c r="P385" s="37">
        <f>VLOOKUP(G385,SLA標準!$A$4:$C$7,3,FALSE)</f>
        <v>4</v>
      </c>
      <c r="Q385" s="35" t="str">
        <f t="shared" si="27"/>
        <v>逾期</v>
      </c>
      <c r="R385" s="34" t="s">
        <v>47</v>
      </c>
      <c r="S385" s="35" t="str">
        <f t="shared" si="28"/>
        <v>否</v>
      </c>
      <c r="T385" s="36" t="str">
        <f>IFERROR(VLOOKUP(A385,滿意度調查!$B$4:$D$570,3,FALSE),"")</f>
        <v/>
      </c>
      <c r="U385" s="35" t="str">
        <f t="shared" si="29"/>
        <v>2026-05</v>
      </c>
      <c r="V385" s="38">
        <f>IF(J385="已結案",0,(使用說明!$B$7-B385)*24)</f>
        <v>0</v>
      </c>
    </row>
    <row r="386" spans="1:22">
      <c r="A386" s="32" t="s">
        <v>874</v>
      </c>
      <c r="B386" s="33">
        <v>46163.336805555555</v>
      </c>
      <c r="C386" s="34" t="s">
        <v>476</v>
      </c>
      <c r="D386" s="34" t="s">
        <v>218</v>
      </c>
      <c r="E386" s="34" t="s">
        <v>265</v>
      </c>
      <c r="F386" s="34" t="s">
        <v>479</v>
      </c>
      <c r="G386" s="34" t="s">
        <v>242</v>
      </c>
      <c r="H386" s="34" t="s">
        <v>408</v>
      </c>
      <c r="I386" s="35" t="str">
        <f>VLOOKUP(H386,人員與團隊!$A$4:$D$27,3,FALSE)</f>
        <v>線上服務</v>
      </c>
      <c r="J386" s="34" t="s">
        <v>215</v>
      </c>
      <c r="K386" s="33">
        <v>46163.59375</v>
      </c>
      <c r="L386" s="33">
        <v>46164.084255069443</v>
      </c>
      <c r="M386" s="36">
        <f t="shared" si="25"/>
        <v>370.00000000116415</v>
      </c>
      <c r="N386" s="37">
        <f t="shared" si="26"/>
        <v>17.938788333325647</v>
      </c>
      <c r="O386" s="36">
        <f>VLOOKUP(G386,SLA標準!$A$4:$C$7,2,FALSE)</f>
        <v>240</v>
      </c>
      <c r="P386" s="37">
        <f>VLOOKUP(G386,SLA標準!$A$4:$C$7,3,FALSE)</f>
        <v>24</v>
      </c>
      <c r="Q386" s="35" t="str">
        <f t="shared" si="27"/>
        <v>逾期</v>
      </c>
      <c r="R386" s="34" t="s">
        <v>47</v>
      </c>
      <c r="S386" s="35" t="str">
        <f t="shared" si="28"/>
        <v>是</v>
      </c>
      <c r="T386" s="36">
        <f>IFERROR(VLOOKUP(A386,滿意度調查!$B$4:$D$570,3,FALSE),"")</f>
        <v>3</v>
      </c>
      <c r="U386" s="35" t="str">
        <f t="shared" si="29"/>
        <v>2026-05</v>
      </c>
      <c r="V386" s="38">
        <f>IF(J386="已結案",0,(使用說明!$B$7-B386)*24)</f>
        <v>0</v>
      </c>
    </row>
    <row r="387" spans="1:22">
      <c r="A387" s="32" t="s">
        <v>875</v>
      </c>
      <c r="B387" s="33">
        <v>46163.448611111111</v>
      </c>
      <c r="C387" s="34" t="s">
        <v>757</v>
      </c>
      <c r="D387" s="34" t="s">
        <v>210</v>
      </c>
      <c r="E387" s="34" t="s">
        <v>219</v>
      </c>
      <c r="F387" s="34" t="s">
        <v>249</v>
      </c>
      <c r="G387" s="34" t="s">
        <v>242</v>
      </c>
      <c r="H387" s="34" t="s">
        <v>381</v>
      </c>
      <c r="I387" s="35" t="str">
        <f>VLOOKUP(H387,人員與團隊!$A$4:$D$27,3,FALSE)</f>
        <v>線上服務</v>
      </c>
      <c r="J387" s="34" t="s">
        <v>215</v>
      </c>
      <c r="K387" s="33">
        <v>46163.474999999999</v>
      </c>
      <c r="L387" s="33">
        <v>46163.876608333332</v>
      </c>
      <c r="M387" s="36">
        <f t="shared" si="25"/>
        <v>37.999999998137355</v>
      </c>
      <c r="N387" s="37">
        <f t="shared" si="26"/>
        <v>10.27193333330797</v>
      </c>
      <c r="O387" s="36">
        <f>VLOOKUP(G387,SLA標準!$A$4:$C$7,2,FALSE)</f>
        <v>240</v>
      </c>
      <c r="P387" s="37">
        <f>VLOOKUP(G387,SLA標準!$A$4:$C$7,3,FALSE)</f>
        <v>24</v>
      </c>
      <c r="Q387" s="35" t="str">
        <f t="shared" si="27"/>
        <v>達標</v>
      </c>
      <c r="R387" s="34" t="s">
        <v>47</v>
      </c>
      <c r="S387" s="35" t="str">
        <f t="shared" si="28"/>
        <v>是</v>
      </c>
      <c r="T387" s="36">
        <f>IFERROR(VLOOKUP(A387,滿意度調查!$B$4:$D$570,3,FALSE),"")</f>
        <v>4</v>
      </c>
      <c r="U387" s="35" t="str">
        <f t="shared" si="29"/>
        <v>2026-05</v>
      </c>
      <c r="V387" s="38">
        <f>IF(J387="已結案",0,(使用說明!$B$7-B387)*24)</f>
        <v>0</v>
      </c>
    </row>
    <row r="388" spans="1:22">
      <c r="A388" s="32" t="s">
        <v>876</v>
      </c>
      <c r="B388" s="33">
        <v>46163.622916666667</v>
      </c>
      <c r="C388" s="34" t="s">
        <v>725</v>
      </c>
      <c r="D388" s="34" t="s">
        <v>225</v>
      </c>
      <c r="E388" s="34" t="s">
        <v>219</v>
      </c>
      <c r="F388" s="34" t="s">
        <v>371</v>
      </c>
      <c r="G388" s="34" t="s">
        <v>213</v>
      </c>
      <c r="H388" s="34" t="s">
        <v>372</v>
      </c>
      <c r="I388" s="35" t="str">
        <f>VLOOKUP(H388,人員與團隊!$A$4:$D$27,3,FALSE)</f>
        <v>南區服務</v>
      </c>
      <c r="J388" s="34" t="s">
        <v>215</v>
      </c>
      <c r="K388" s="33">
        <v>46163.793055555558</v>
      </c>
      <c r="L388" s="33">
        <v>46164.296610914353</v>
      </c>
      <c r="M388" s="36">
        <f t="shared" ref="M388:M451" si="30">IF(K388="","",(K388-B388)*1440)</f>
        <v>245.00000000232831</v>
      </c>
      <c r="N388" s="37">
        <f t="shared" ref="N388:N451" si="31">IF(L388="","",(L388-B388)*24)</f>
        <v>16.168661944451742</v>
      </c>
      <c r="O388" s="36">
        <f>VLOOKUP(G388,SLA標準!$A$4:$C$7,2,FALSE)</f>
        <v>480</v>
      </c>
      <c r="P388" s="37">
        <f>VLOOKUP(G388,SLA標準!$A$4:$C$7,3,FALSE)</f>
        <v>48</v>
      </c>
      <c r="Q388" s="35" t="str">
        <f t="shared" ref="Q388:Q451" si="32">IF(J388="已結案",IF(AND(M388&lt;=O388,N388&lt;=P388),"達標","逾期"),IF(OR(M388&gt;O388,V388&gt;P388),"逾期","進行中"))</f>
        <v>達標</v>
      </c>
      <c r="R388" s="34" t="s">
        <v>47</v>
      </c>
      <c r="S388" s="35" t="str">
        <f t="shared" ref="S388:S451" si="33">IF(T388="","否","是")</f>
        <v>否</v>
      </c>
      <c r="T388" s="36" t="str">
        <f>IFERROR(VLOOKUP(A388,滿意度調查!$B$4:$D$570,3,FALSE),"")</f>
        <v/>
      </c>
      <c r="U388" s="35" t="str">
        <f t="shared" ref="U388:U451" si="34">TEXT(B388,"yyyy-mm")</f>
        <v>2026-05</v>
      </c>
      <c r="V388" s="38">
        <f>IF(J388="已結案",0,(使用說明!$B$7-B388)*24)</f>
        <v>0</v>
      </c>
    </row>
    <row r="389" spans="1:22">
      <c r="A389" s="32" t="s">
        <v>877</v>
      </c>
      <c r="B389" s="33">
        <v>46163.649305555555</v>
      </c>
      <c r="C389" s="34" t="s">
        <v>458</v>
      </c>
      <c r="D389" s="34" t="s">
        <v>225</v>
      </c>
      <c r="E389" s="34" t="s">
        <v>230</v>
      </c>
      <c r="F389" s="34" t="s">
        <v>272</v>
      </c>
      <c r="G389" s="34" t="s">
        <v>242</v>
      </c>
      <c r="H389" s="34" t="s">
        <v>214</v>
      </c>
      <c r="I389" s="35" t="str">
        <f>VLOOKUP(H389,人員與團隊!$A$4:$D$27,3,FALSE)</f>
        <v>北區服務</v>
      </c>
      <c r="J389" s="34" t="s">
        <v>215</v>
      </c>
      <c r="K389" s="33">
        <v>46163.701388888891</v>
      </c>
      <c r="L389" s="33">
        <v>46165.073761562497</v>
      </c>
      <c r="M389" s="36">
        <f t="shared" si="30"/>
        <v>75.00000000349246</v>
      </c>
      <c r="N389" s="37">
        <f t="shared" si="31"/>
        <v>34.186944166605826</v>
      </c>
      <c r="O389" s="36">
        <f>VLOOKUP(G389,SLA標準!$A$4:$C$7,2,FALSE)</f>
        <v>240</v>
      </c>
      <c r="P389" s="37">
        <f>VLOOKUP(G389,SLA標準!$A$4:$C$7,3,FALSE)</f>
        <v>24</v>
      </c>
      <c r="Q389" s="35" t="str">
        <f t="shared" si="32"/>
        <v>逾期</v>
      </c>
      <c r="R389" s="34" t="s">
        <v>41</v>
      </c>
      <c r="S389" s="35" t="str">
        <f t="shared" si="33"/>
        <v>是</v>
      </c>
      <c r="T389" s="36">
        <f>IFERROR(VLOOKUP(A389,滿意度調查!$B$4:$D$570,3,FALSE),"")</f>
        <v>2</v>
      </c>
      <c r="U389" s="35" t="str">
        <f t="shared" si="34"/>
        <v>2026-05</v>
      </c>
      <c r="V389" s="38">
        <f>IF(J389="已結案",0,(使用說明!$B$7-B389)*24)</f>
        <v>0</v>
      </c>
    </row>
    <row r="390" spans="1:22">
      <c r="A390" s="32" t="s">
        <v>878</v>
      </c>
      <c r="B390" s="33">
        <v>46163.694444444445</v>
      </c>
      <c r="C390" s="34" t="s">
        <v>344</v>
      </c>
      <c r="D390" s="34" t="s">
        <v>225</v>
      </c>
      <c r="E390" s="34" t="s">
        <v>230</v>
      </c>
      <c r="F390" s="34" t="s">
        <v>231</v>
      </c>
      <c r="G390" s="34" t="s">
        <v>242</v>
      </c>
      <c r="H390" s="34" t="s">
        <v>267</v>
      </c>
      <c r="I390" s="35" t="str">
        <f>VLOOKUP(H390,人員與團隊!$A$4:$D$27,3,FALSE)</f>
        <v>南區服務</v>
      </c>
      <c r="J390" s="34" t="s">
        <v>215</v>
      </c>
      <c r="K390" s="33">
        <v>46163.76458333333</v>
      </c>
      <c r="L390" s="33">
        <v>46164.629856550928</v>
      </c>
      <c r="M390" s="36">
        <f t="shared" si="30"/>
        <v>100.9999999939464</v>
      </c>
      <c r="N390" s="37">
        <f t="shared" si="31"/>
        <v>22.449890555581078</v>
      </c>
      <c r="O390" s="36">
        <f>VLOOKUP(G390,SLA標準!$A$4:$C$7,2,FALSE)</f>
        <v>240</v>
      </c>
      <c r="P390" s="37">
        <f>VLOOKUP(G390,SLA標準!$A$4:$C$7,3,FALSE)</f>
        <v>24</v>
      </c>
      <c r="Q390" s="35" t="str">
        <f t="shared" si="32"/>
        <v>達標</v>
      </c>
      <c r="R390" s="34" t="s">
        <v>47</v>
      </c>
      <c r="S390" s="35" t="str">
        <f t="shared" si="33"/>
        <v>否</v>
      </c>
      <c r="T390" s="36" t="str">
        <f>IFERROR(VLOOKUP(A390,滿意度調查!$B$4:$D$570,3,FALSE),"")</f>
        <v/>
      </c>
      <c r="U390" s="35" t="str">
        <f t="shared" si="34"/>
        <v>2026-05</v>
      </c>
      <c r="V390" s="38">
        <f>IF(J390="已結案",0,(使用說明!$B$7-B390)*24)</f>
        <v>0</v>
      </c>
    </row>
    <row r="391" spans="1:22">
      <c r="A391" s="32" t="s">
        <v>879</v>
      </c>
      <c r="B391" s="33">
        <v>46163.696527777778</v>
      </c>
      <c r="C391" s="34" t="s">
        <v>860</v>
      </c>
      <c r="D391" s="34" t="s">
        <v>225</v>
      </c>
      <c r="E391" s="34" t="s">
        <v>265</v>
      </c>
      <c r="F391" s="34" t="s">
        <v>301</v>
      </c>
      <c r="G391" s="34" t="s">
        <v>242</v>
      </c>
      <c r="H391" s="34" t="s">
        <v>408</v>
      </c>
      <c r="I391" s="35" t="str">
        <f>VLOOKUP(H391,人員與團隊!$A$4:$D$27,3,FALSE)</f>
        <v>線上服務</v>
      </c>
      <c r="J391" s="34" t="s">
        <v>215</v>
      </c>
      <c r="K391" s="33">
        <v>46163.821527777778</v>
      </c>
      <c r="L391" s="33">
        <v>46164.165309432872</v>
      </c>
      <c r="M391" s="36">
        <f t="shared" si="30"/>
        <v>180</v>
      </c>
      <c r="N391" s="37">
        <f t="shared" si="31"/>
        <v>11.250759722257499</v>
      </c>
      <c r="O391" s="36">
        <f>VLOOKUP(G391,SLA標準!$A$4:$C$7,2,FALSE)</f>
        <v>240</v>
      </c>
      <c r="P391" s="37">
        <f>VLOOKUP(G391,SLA標準!$A$4:$C$7,3,FALSE)</f>
        <v>24</v>
      </c>
      <c r="Q391" s="35" t="str">
        <f t="shared" si="32"/>
        <v>達標</v>
      </c>
      <c r="R391" s="34" t="s">
        <v>47</v>
      </c>
      <c r="S391" s="35" t="str">
        <f t="shared" si="33"/>
        <v>是</v>
      </c>
      <c r="T391" s="36">
        <f>IFERROR(VLOOKUP(A391,滿意度調查!$B$4:$D$570,3,FALSE),"")</f>
        <v>4</v>
      </c>
      <c r="U391" s="35" t="str">
        <f t="shared" si="34"/>
        <v>2026-05</v>
      </c>
      <c r="V391" s="38">
        <f>IF(J391="已結案",0,(使用說明!$B$7-B391)*24)</f>
        <v>0</v>
      </c>
    </row>
    <row r="392" spans="1:22">
      <c r="A392" s="32" t="s">
        <v>880</v>
      </c>
      <c r="B392" s="33">
        <v>46163.736111111109</v>
      </c>
      <c r="C392" s="34" t="s">
        <v>881</v>
      </c>
      <c r="D392" s="34" t="s">
        <v>225</v>
      </c>
      <c r="E392" s="34" t="s">
        <v>230</v>
      </c>
      <c r="F392" s="34" t="s">
        <v>339</v>
      </c>
      <c r="G392" s="34" t="s">
        <v>221</v>
      </c>
      <c r="H392" s="34" t="s">
        <v>232</v>
      </c>
      <c r="I392" s="35" t="str">
        <f>VLOOKUP(H392,人員與團隊!$A$4:$D$27,3,FALSE)</f>
        <v>北區服務</v>
      </c>
      <c r="J392" s="34" t="s">
        <v>215</v>
      </c>
      <c r="K392" s="33">
        <v>46163.756249999999</v>
      </c>
      <c r="L392" s="33">
        <v>46164.64123523148</v>
      </c>
      <c r="M392" s="36">
        <f t="shared" si="30"/>
        <v>29.000000000232831</v>
      </c>
      <c r="N392" s="37">
        <f t="shared" si="31"/>
        <v>21.722978888894431</v>
      </c>
      <c r="O392" s="36">
        <f>VLOOKUP(G392,SLA標準!$A$4:$C$7,2,FALSE)</f>
        <v>60</v>
      </c>
      <c r="P392" s="37">
        <f>VLOOKUP(G392,SLA標準!$A$4:$C$7,3,FALSE)</f>
        <v>8</v>
      </c>
      <c r="Q392" s="35" t="str">
        <f t="shared" si="32"/>
        <v>逾期</v>
      </c>
      <c r="R392" s="34" t="s">
        <v>47</v>
      </c>
      <c r="S392" s="35" t="str">
        <f t="shared" si="33"/>
        <v>是</v>
      </c>
      <c r="T392" s="36">
        <f>IFERROR(VLOOKUP(A392,滿意度調查!$B$4:$D$570,3,FALSE),"")</f>
        <v>3</v>
      </c>
      <c r="U392" s="35" t="str">
        <f t="shared" si="34"/>
        <v>2026-05</v>
      </c>
      <c r="V392" s="38">
        <f>IF(J392="已結案",0,(使用說明!$B$7-B392)*24)</f>
        <v>0</v>
      </c>
    </row>
    <row r="393" spans="1:22">
      <c r="A393" s="32" t="s">
        <v>882</v>
      </c>
      <c r="B393" s="33">
        <v>46163.738888888889</v>
      </c>
      <c r="C393" s="34" t="s">
        <v>883</v>
      </c>
      <c r="D393" s="34" t="s">
        <v>225</v>
      </c>
      <c r="E393" s="34" t="s">
        <v>235</v>
      </c>
      <c r="F393" s="34" t="s">
        <v>236</v>
      </c>
      <c r="G393" s="34" t="s">
        <v>242</v>
      </c>
      <c r="H393" s="34" t="s">
        <v>361</v>
      </c>
      <c r="I393" s="35" t="str">
        <f>VLOOKUP(H393,人員與團隊!$A$4:$D$27,3,FALSE)</f>
        <v>南區服務</v>
      </c>
      <c r="J393" s="34" t="s">
        <v>215</v>
      </c>
      <c r="K393" s="33">
        <v>46163.813888888886</v>
      </c>
      <c r="L393" s="33">
        <v>46164.243688634262</v>
      </c>
      <c r="M393" s="36">
        <f t="shared" si="30"/>
        <v>107.99999999580905</v>
      </c>
      <c r="N393" s="37">
        <f t="shared" si="31"/>
        <v>12.11519388895249</v>
      </c>
      <c r="O393" s="36">
        <f>VLOOKUP(G393,SLA標準!$A$4:$C$7,2,FALSE)</f>
        <v>240</v>
      </c>
      <c r="P393" s="37">
        <f>VLOOKUP(G393,SLA標準!$A$4:$C$7,3,FALSE)</f>
        <v>24</v>
      </c>
      <c r="Q393" s="35" t="str">
        <f t="shared" si="32"/>
        <v>達標</v>
      </c>
      <c r="R393" s="34" t="s">
        <v>41</v>
      </c>
      <c r="S393" s="35" t="str">
        <f t="shared" si="33"/>
        <v>是</v>
      </c>
      <c r="T393" s="36">
        <f>IFERROR(VLOOKUP(A393,滿意度調查!$B$4:$D$570,3,FALSE),"")</f>
        <v>5</v>
      </c>
      <c r="U393" s="35" t="str">
        <f t="shared" si="34"/>
        <v>2026-05</v>
      </c>
      <c r="V393" s="38">
        <f>IF(J393="已結案",0,(使用說明!$B$7-B393)*24)</f>
        <v>0</v>
      </c>
    </row>
    <row r="394" spans="1:22">
      <c r="A394" s="32" t="s">
        <v>884</v>
      </c>
      <c r="B394" s="33">
        <v>46163.752083333333</v>
      </c>
      <c r="C394" s="34" t="s">
        <v>881</v>
      </c>
      <c r="D394" s="34" t="s">
        <v>210</v>
      </c>
      <c r="E394" s="34" t="s">
        <v>219</v>
      </c>
      <c r="F394" s="34" t="s">
        <v>257</v>
      </c>
      <c r="G394" s="34" t="s">
        <v>242</v>
      </c>
      <c r="H394" s="34" t="s">
        <v>243</v>
      </c>
      <c r="I394" s="35" t="str">
        <f>VLOOKUP(H394,人員與團隊!$A$4:$D$27,3,FALSE)</f>
        <v>南區服務</v>
      </c>
      <c r="J394" s="34" t="s">
        <v>215</v>
      </c>
      <c r="K394" s="33">
        <v>46163.845138888886</v>
      </c>
      <c r="L394" s="33">
        <v>46164.220852569444</v>
      </c>
      <c r="M394" s="36">
        <f t="shared" si="30"/>
        <v>133.99999999674037</v>
      </c>
      <c r="N394" s="37">
        <f t="shared" si="31"/>
        <v>11.250461666670162</v>
      </c>
      <c r="O394" s="36">
        <f>VLOOKUP(G394,SLA標準!$A$4:$C$7,2,FALSE)</f>
        <v>240</v>
      </c>
      <c r="P394" s="37">
        <f>VLOOKUP(G394,SLA標準!$A$4:$C$7,3,FALSE)</f>
        <v>24</v>
      </c>
      <c r="Q394" s="35" t="str">
        <f t="shared" si="32"/>
        <v>達標</v>
      </c>
      <c r="R394" s="34" t="s">
        <v>47</v>
      </c>
      <c r="S394" s="35" t="str">
        <f t="shared" si="33"/>
        <v>否</v>
      </c>
      <c r="T394" s="36" t="str">
        <f>IFERROR(VLOOKUP(A394,滿意度調查!$B$4:$D$570,3,FALSE),"")</f>
        <v/>
      </c>
      <c r="U394" s="35" t="str">
        <f t="shared" si="34"/>
        <v>2026-05</v>
      </c>
      <c r="V394" s="38">
        <f>IF(J394="已結案",0,(使用說明!$B$7-B394)*24)</f>
        <v>0</v>
      </c>
    </row>
    <row r="395" spans="1:22">
      <c r="A395" s="32" t="s">
        <v>885</v>
      </c>
      <c r="B395" s="33">
        <v>46163.769444444442</v>
      </c>
      <c r="C395" s="34" t="s">
        <v>886</v>
      </c>
      <c r="D395" s="34" t="s">
        <v>210</v>
      </c>
      <c r="E395" s="34" t="s">
        <v>265</v>
      </c>
      <c r="F395" s="34" t="s">
        <v>301</v>
      </c>
      <c r="G395" s="34" t="s">
        <v>242</v>
      </c>
      <c r="H395" s="34" t="s">
        <v>222</v>
      </c>
      <c r="I395" s="35" t="str">
        <f>VLOOKUP(H395,人員與團隊!$A$4:$D$27,3,FALSE)</f>
        <v>北區服務</v>
      </c>
      <c r="J395" s="34" t="s">
        <v>215</v>
      </c>
      <c r="K395" s="33">
        <v>46163.789583333331</v>
      </c>
      <c r="L395" s="33">
        <v>46164.278985439814</v>
      </c>
      <c r="M395" s="36">
        <f t="shared" si="30"/>
        <v>29.000000000232831</v>
      </c>
      <c r="N395" s="37">
        <f t="shared" si="31"/>
        <v>12.22898388892645</v>
      </c>
      <c r="O395" s="36">
        <f>VLOOKUP(G395,SLA標準!$A$4:$C$7,2,FALSE)</f>
        <v>240</v>
      </c>
      <c r="P395" s="37">
        <f>VLOOKUP(G395,SLA標準!$A$4:$C$7,3,FALSE)</f>
        <v>24</v>
      </c>
      <c r="Q395" s="35" t="str">
        <f t="shared" si="32"/>
        <v>達標</v>
      </c>
      <c r="R395" s="34" t="s">
        <v>47</v>
      </c>
      <c r="S395" s="35" t="str">
        <f t="shared" si="33"/>
        <v>是</v>
      </c>
      <c r="T395" s="36">
        <f>IFERROR(VLOOKUP(A395,滿意度調查!$B$4:$D$570,3,FALSE),"")</f>
        <v>4</v>
      </c>
      <c r="U395" s="35" t="str">
        <f t="shared" si="34"/>
        <v>2026-05</v>
      </c>
      <c r="V395" s="38">
        <f>IF(J395="已結案",0,(使用說明!$B$7-B395)*24)</f>
        <v>0</v>
      </c>
    </row>
    <row r="396" spans="1:22">
      <c r="A396" s="32" t="s">
        <v>887</v>
      </c>
      <c r="B396" s="33">
        <v>46163.770833333336</v>
      </c>
      <c r="C396" s="34" t="s">
        <v>888</v>
      </c>
      <c r="D396" s="34" t="s">
        <v>240</v>
      </c>
      <c r="E396" s="34" t="s">
        <v>219</v>
      </c>
      <c r="F396" s="34" t="s">
        <v>257</v>
      </c>
      <c r="G396" s="34" t="s">
        <v>242</v>
      </c>
      <c r="H396" s="34" t="s">
        <v>267</v>
      </c>
      <c r="I396" s="35" t="str">
        <f>VLOOKUP(H396,人員與團隊!$A$4:$D$27,3,FALSE)</f>
        <v>南區服務</v>
      </c>
      <c r="J396" s="34" t="s">
        <v>215</v>
      </c>
      <c r="K396" s="33">
        <v>46163.901388888888</v>
      </c>
      <c r="L396" s="33">
        <v>46164.102769444442</v>
      </c>
      <c r="M396" s="36">
        <f t="shared" si="30"/>
        <v>187.9999999946449</v>
      </c>
      <c r="N396" s="37">
        <f t="shared" si="31"/>
        <v>7.9664666665485129</v>
      </c>
      <c r="O396" s="36">
        <f>VLOOKUP(G396,SLA標準!$A$4:$C$7,2,FALSE)</f>
        <v>240</v>
      </c>
      <c r="P396" s="37">
        <f>VLOOKUP(G396,SLA標準!$A$4:$C$7,3,FALSE)</f>
        <v>24</v>
      </c>
      <c r="Q396" s="35" t="str">
        <f t="shared" si="32"/>
        <v>達標</v>
      </c>
      <c r="R396" s="34" t="s">
        <v>47</v>
      </c>
      <c r="S396" s="35" t="str">
        <f t="shared" si="33"/>
        <v>是</v>
      </c>
      <c r="T396" s="36">
        <f>IFERROR(VLOOKUP(A396,滿意度調查!$B$4:$D$570,3,FALSE),"")</f>
        <v>5</v>
      </c>
      <c r="U396" s="35" t="str">
        <f t="shared" si="34"/>
        <v>2026-05</v>
      </c>
      <c r="V396" s="38">
        <f>IF(J396="已結案",0,(使用說明!$B$7-B396)*24)</f>
        <v>0</v>
      </c>
    </row>
    <row r="397" spans="1:22">
      <c r="A397" s="32" t="s">
        <v>889</v>
      </c>
      <c r="B397" s="33">
        <v>46163.842361111114</v>
      </c>
      <c r="C397" s="34" t="s">
        <v>558</v>
      </c>
      <c r="D397" s="34" t="s">
        <v>240</v>
      </c>
      <c r="E397" s="34" t="s">
        <v>211</v>
      </c>
      <c r="F397" s="34" t="s">
        <v>331</v>
      </c>
      <c r="G397" s="34" t="s">
        <v>242</v>
      </c>
      <c r="H397" s="34" t="s">
        <v>328</v>
      </c>
      <c r="I397" s="35" t="str">
        <f>VLOOKUP(H397,人員與團隊!$A$4:$D$27,3,FALSE)</f>
        <v>北區服務</v>
      </c>
      <c r="J397" s="34" t="s">
        <v>774</v>
      </c>
      <c r="K397" s="33">
        <v>46164.069444444445</v>
      </c>
      <c r="L397" s="33"/>
      <c r="M397" s="36">
        <f t="shared" si="30"/>
        <v>326.99999999720603</v>
      </c>
      <c r="N397" s="37" t="str">
        <f t="shared" si="31"/>
        <v/>
      </c>
      <c r="O397" s="36">
        <f>VLOOKUP(G397,SLA標準!$A$4:$C$7,2,FALSE)</f>
        <v>240</v>
      </c>
      <c r="P397" s="37">
        <f>VLOOKUP(G397,SLA標準!$A$4:$C$7,3,FALSE)</f>
        <v>24</v>
      </c>
      <c r="Q397" s="35" t="str">
        <f t="shared" si="32"/>
        <v>逾期</v>
      </c>
      <c r="R397" s="34" t="s">
        <v>47</v>
      </c>
      <c r="S397" s="35" t="str">
        <f t="shared" si="33"/>
        <v>否</v>
      </c>
      <c r="T397" s="36" t="str">
        <f>IFERROR(VLOOKUP(A397,滿意度調查!$B$4:$D$570,3,FALSE),"")</f>
        <v/>
      </c>
      <c r="U397" s="35" t="str">
        <f t="shared" si="34"/>
        <v>2026-05</v>
      </c>
      <c r="V397" s="38">
        <f>IF(J397="已結案",0,(使用說明!$B$7-B397)*24)</f>
        <v>972.78333333326736</v>
      </c>
    </row>
    <row r="398" spans="1:22">
      <c r="A398" s="32" t="s">
        <v>890</v>
      </c>
      <c r="B398" s="33">
        <v>46164.357638888891</v>
      </c>
      <c r="C398" s="34" t="s">
        <v>891</v>
      </c>
      <c r="D398" s="34" t="s">
        <v>240</v>
      </c>
      <c r="E398" s="34" t="s">
        <v>265</v>
      </c>
      <c r="F398" s="34" t="s">
        <v>301</v>
      </c>
      <c r="G398" s="34" t="s">
        <v>242</v>
      </c>
      <c r="H398" s="34" t="s">
        <v>274</v>
      </c>
      <c r="I398" s="35" t="str">
        <f>VLOOKUP(H398,人員與團隊!$A$4:$D$27,3,FALSE)</f>
        <v>南區服務</v>
      </c>
      <c r="J398" s="34" t="s">
        <v>215</v>
      </c>
      <c r="K398" s="33">
        <v>46164.595138888886</v>
      </c>
      <c r="L398" s="33">
        <v>46164.762938333333</v>
      </c>
      <c r="M398" s="36">
        <f t="shared" si="30"/>
        <v>341.99999999371357</v>
      </c>
      <c r="N398" s="37">
        <f t="shared" si="31"/>
        <v>9.7271866666269489</v>
      </c>
      <c r="O398" s="36">
        <f>VLOOKUP(G398,SLA標準!$A$4:$C$7,2,FALSE)</f>
        <v>240</v>
      </c>
      <c r="P398" s="37">
        <f>VLOOKUP(G398,SLA標準!$A$4:$C$7,3,FALSE)</f>
        <v>24</v>
      </c>
      <c r="Q398" s="35" t="str">
        <f t="shared" si="32"/>
        <v>逾期</v>
      </c>
      <c r="R398" s="34" t="s">
        <v>47</v>
      </c>
      <c r="S398" s="35" t="str">
        <f t="shared" si="33"/>
        <v>是</v>
      </c>
      <c r="T398" s="36">
        <f>IFERROR(VLOOKUP(A398,滿意度調查!$B$4:$D$570,3,FALSE),"")</f>
        <v>4</v>
      </c>
      <c r="U398" s="35" t="str">
        <f t="shared" si="34"/>
        <v>2026-05</v>
      </c>
      <c r="V398" s="38">
        <f>IF(J398="已結案",0,(使用說明!$B$7-B398)*24)</f>
        <v>0</v>
      </c>
    </row>
    <row r="399" spans="1:22">
      <c r="A399" s="32" t="s">
        <v>892</v>
      </c>
      <c r="B399" s="33">
        <v>46164.383333333331</v>
      </c>
      <c r="C399" s="34" t="s">
        <v>893</v>
      </c>
      <c r="D399" s="34" t="s">
        <v>210</v>
      </c>
      <c r="E399" s="34" t="s">
        <v>219</v>
      </c>
      <c r="F399" s="34" t="s">
        <v>220</v>
      </c>
      <c r="G399" s="34" t="s">
        <v>350</v>
      </c>
      <c r="H399" s="34" t="s">
        <v>305</v>
      </c>
      <c r="I399" s="35" t="str">
        <f>VLOOKUP(H399,人員與團隊!$A$4:$D$27,3,FALSE)</f>
        <v>線上服務</v>
      </c>
      <c r="J399" s="34" t="s">
        <v>215</v>
      </c>
      <c r="K399" s="33">
        <v>46164.386111111111</v>
      </c>
      <c r="L399" s="33">
        <v>46164.721740185189</v>
      </c>
      <c r="M399" s="36">
        <f t="shared" si="30"/>
        <v>4.0000000025611371</v>
      </c>
      <c r="N399" s="37">
        <f t="shared" si="31"/>
        <v>8.1217644445714541</v>
      </c>
      <c r="O399" s="36">
        <f>VLOOKUP(G399,SLA標準!$A$4:$C$7,2,FALSE)</f>
        <v>30</v>
      </c>
      <c r="P399" s="37">
        <f>VLOOKUP(G399,SLA標準!$A$4:$C$7,3,FALSE)</f>
        <v>4</v>
      </c>
      <c r="Q399" s="35" t="str">
        <f t="shared" si="32"/>
        <v>逾期</v>
      </c>
      <c r="R399" s="34" t="s">
        <v>47</v>
      </c>
      <c r="S399" s="35" t="str">
        <f t="shared" si="33"/>
        <v>是</v>
      </c>
      <c r="T399" s="36">
        <f>IFERROR(VLOOKUP(A399,滿意度調查!$B$4:$D$570,3,FALSE),"")</f>
        <v>3</v>
      </c>
      <c r="U399" s="35" t="str">
        <f t="shared" si="34"/>
        <v>2026-05</v>
      </c>
      <c r="V399" s="38">
        <f>IF(J399="已結案",0,(使用說明!$B$7-B399)*24)</f>
        <v>0</v>
      </c>
    </row>
    <row r="400" spans="1:22">
      <c r="A400" s="32" t="s">
        <v>894</v>
      </c>
      <c r="B400" s="33">
        <v>46164.480555555558</v>
      </c>
      <c r="C400" s="34" t="s">
        <v>605</v>
      </c>
      <c r="D400" s="34" t="s">
        <v>218</v>
      </c>
      <c r="E400" s="34" t="s">
        <v>265</v>
      </c>
      <c r="F400" s="34" t="s">
        <v>266</v>
      </c>
      <c r="G400" s="34" t="s">
        <v>350</v>
      </c>
      <c r="H400" s="34" t="s">
        <v>372</v>
      </c>
      <c r="I400" s="35" t="str">
        <f>VLOOKUP(H400,人員與團隊!$A$4:$D$27,3,FALSE)</f>
        <v>南區服務</v>
      </c>
      <c r="J400" s="34" t="s">
        <v>215</v>
      </c>
      <c r="K400" s="33">
        <v>46164.511111111111</v>
      </c>
      <c r="L400" s="33">
        <v>46164.729087453707</v>
      </c>
      <c r="M400" s="36">
        <f t="shared" si="30"/>
        <v>43.999999996740371</v>
      </c>
      <c r="N400" s="37">
        <f t="shared" si="31"/>
        <v>5.9647655555745587</v>
      </c>
      <c r="O400" s="36">
        <f>VLOOKUP(G400,SLA標準!$A$4:$C$7,2,FALSE)</f>
        <v>30</v>
      </c>
      <c r="P400" s="37">
        <f>VLOOKUP(G400,SLA標準!$A$4:$C$7,3,FALSE)</f>
        <v>4</v>
      </c>
      <c r="Q400" s="35" t="str">
        <f t="shared" si="32"/>
        <v>逾期</v>
      </c>
      <c r="R400" s="34" t="s">
        <v>47</v>
      </c>
      <c r="S400" s="35" t="str">
        <f t="shared" si="33"/>
        <v>是</v>
      </c>
      <c r="T400" s="36">
        <f>IFERROR(VLOOKUP(A400,滿意度調查!$B$4:$D$570,3,FALSE),"")</f>
        <v>3</v>
      </c>
      <c r="U400" s="35" t="str">
        <f t="shared" si="34"/>
        <v>2026-05</v>
      </c>
      <c r="V400" s="38">
        <f>IF(J400="已結案",0,(使用說明!$B$7-B400)*24)</f>
        <v>0</v>
      </c>
    </row>
    <row r="401" spans="1:22">
      <c r="A401" s="32" t="s">
        <v>895</v>
      </c>
      <c r="B401" s="33">
        <v>46164.509722222225</v>
      </c>
      <c r="C401" s="34" t="s">
        <v>281</v>
      </c>
      <c r="D401" s="34" t="s">
        <v>210</v>
      </c>
      <c r="E401" s="34" t="s">
        <v>245</v>
      </c>
      <c r="F401" s="34" t="s">
        <v>358</v>
      </c>
      <c r="G401" s="34" t="s">
        <v>242</v>
      </c>
      <c r="H401" s="34" t="s">
        <v>361</v>
      </c>
      <c r="I401" s="35" t="str">
        <f>VLOOKUP(H401,人員與團隊!$A$4:$D$27,3,FALSE)</f>
        <v>南區服務</v>
      </c>
      <c r="J401" s="34" t="s">
        <v>215</v>
      </c>
      <c r="K401" s="33">
        <v>46164.56527777778</v>
      </c>
      <c r="L401" s="33">
        <v>46166.220436678239</v>
      </c>
      <c r="M401" s="36">
        <f t="shared" si="30"/>
        <v>79.999999998835847</v>
      </c>
      <c r="N401" s="37">
        <f t="shared" si="31"/>
        <v>41.057146944338456</v>
      </c>
      <c r="O401" s="36">
        <f>VLOOKUP(G401,SLA標準!$A$4:$C$7,2,FALSE)</f>
        <v>240</v>
      </c>
      <c r="P401" s="37">
        <f>VLOOKUP(G401,SLA標準!$A$4:$C$7,3,FALSE)</f>
        <v>24</v>
      </c>
      <c r="Q401" s="35" t="str">
        <f t="shared" si="32"/>
        <v>逾期</v>
      </c>
      <c r="R401" s="34" t="s">
        <v>41</v>
      </c>
      <c r="S401" s="35" t="str">
        <f t="shared" si="33"/>
        <v>是</v>
      </c>
      <c r="T401" s="36">
        <f>IFERROR(VLOOKUP(A401,滿意度調查!$B$4:$D$570,3,FALSE),"")</f>
        <v>3</v>
      </c>
      <c r="U401" s="35" t="str">
        <f t="shared" si="34"/>
        <v>2026-05</v>
      </c>
      <c r="V401" s="38">
        <f>IF(J401="已結案",0,(使用說明!$B$7-B401)*24)</f>
        <v>0</v>
      </c>
    </row>
    <row r="402" spans="1:22">
      <c r="A402" s="32" t="s">
        <v>896</v>
      </c>
      <c r="B402" s="33">
        <v>46164.536805555559</v>
      </c>
      <c r="C402" s="34" t="s">
        <v>333</v>
      </c>
      <c r="D402" s="34" t="s">
        <v>210</v>
      </c>
      <c r="E402" s="34" t="s">
        <v>235</v>
      </c>
      <c r="F402" s="34" t="s">
        <v>241</v>
      </c>
      <c r="G402" s="34" t="s">
        <v>242</v>
      </c>
      <c r="H402" s="34" t="s">
        <v>285</v>
      </c>
      <c r="I402" s="35" t="str">
        <f>VLOOKUP(H402,人員與團隊!$A$4:$D$27,3,FALSE)</f>
        <v>線上服務</v>
      </c>
      <c r="J402" s="34" t="s">
        <v>215</v>
      </c>
      <c r="K402" s="33">
        <v>46164.588194444441</v>
      </c>
      <c r="L402" s="33">
        <v>46164.765717847222</v>
      </c>
      <c r="M402" s="36">
        <f t="shared" si="30"/>
        <v>73.999999989755452</v>
      </c>
      <c r="N402" s="37">
        <f t="shared" si="31"/>
        <v>5.4938949999050237</v>
      </c>
      <c r="O402" s="36">
        <f>VLOOKUP(G402,SLA標準!$A$4:$C$7,2,FALSE)</f>
        <v>240</v>
      </c>
      <c r="P402" s="37">
        <f>VLOOKUP(G402,SLA標準!$A$4:$C$7,3,FALSE)</f>
        <v>24</v>
      </c>
      <c r="Q402" s="35" t="str">
        <f t="shared" si="32"/>
        <v>達標</v>
      </c>
      <c r="R402" s="34" t="s">
        <v>41</v>
      </c>
      <c r="S402" s="35" t="str">
        <f t="shared" si="33"/>
        <v>是</v>
      </c>
      <c r="T402" s="36">
        <f>IFERROR(VLOOKUP(A402,滿意度調查!$B$4:$D$570,3,FALSE),"")</f>
        <v>4</v>
      </c>
      <c r="U402" s="35" t="str">
        <f t="shared" si="34"/>
        <v>2026-05</v>
      </c>
      <c r="V402" s="38">
        <f>IF(J402="已結案",0,(使用說明!$B$7-B402)*24)</f>
        <v>0</v>
      </c>
    </row>
    <row r="403" spans="1:22">
      <c r="A403" s="32" t="s">
        <v>897</v>
      </c>
      <c r="B403" s="33">
        <v>46164.556250000001</v>
      </c>
      <c r="C403" s="34" t="s">
        <v>656</v>
      </c>
      <c r="D403" s="34" t="s">
        <v>240</v>
      </c>
      <c r="E403" s="34" t="s">
        <v>211</v>
      </c>
      <c r="F403" s="34" t="s">
        <v>226</v>
      </c>
      <c r="G403" s="34" t="s">
        <v>242</v>
      </c>
      <c r="H403" s="34" t="s">
        <v>254</v>
      </c>
      <c r="I403" s="35" t="str">
        <f>VLOOKUP(H403,人員與團隊!$A$4:$D$27,3,FALSE)</f>
        <v>線上服務</v>
      </c>
      <c r="J403" s="34" t="s">
        <v>215</v>
      </c>
      <c r="K403" s="33">
        <v>46164.678472222222</v>
      </c>
      <c r="L403" s="33">
        <v>46164.830154039351</v>
      </c>
      <c r="M403" s="36">
        <f t="shared" si="30"/>
        <v>175.99999999743886</v>
      </c>
      <c r="N403" s="37">
        <f t="shared" si="31"/>
        <v>6.5736969443969429</v>
      </c>
      <c r="O403" s="36">
        <f>VLOOKUP(G403,SLA標準!$A$4:$C$7,2,FALSE)</f>
        <v>240</v>
      </c>
      <c r="P403" s="37">
        <f>VLOOKUP(G403,SLA標準!$A$4:$C$7,3,FALSE)</f>
        <v>24</v>
      </c>
      <c r="Q403" s="35" t="str">
        <f t="shared" si="32"/>
        <v>達標</v>
      </c>
      <c r="R403" s="34" t="s">
        <v>47</v>
      </c>
      <c r="S403" s="35" t="str">
        <f t="shared" si="33"/>
        <v>是</v>
      </c>
      <c r="T403" s="36">
        <f>IFERROR(VLOOKUP(A403,滿意度調查!$B$4:$D$570,3,FALSE),"")</f>
        <v>5</v>
      </c>
      <c r="U403" s="35" t="str">
        <f t="shared" si="34"/>
        <v>2026-05</v>
      </c>
      <c r="V403" s="38">
        <f>IF(J403="已結案",0,(使用說明!$B$7-B403)*24)</f>
        <v>0</v>
      </c>
    </row>
    <row r="404" spans="1:22">
      <c r="A404" s="32" t="s">
        <v>898</v>
      </c>
      <c r="B404" s="33">
        <v>46164.618055555555</v>
      </c>
      <c r="C404" s="34" t="s">
        <v>769</v>
      </c>
      <c r="D404" s="34" t="s">
        <v>218</v>
      </c>
      <c r="E404" s="34" t="s">
        <v>245</v>
      </c>
      <c r="F404" s="34" t="s">
        <v>278</v>
      </c>
      <c r="G404" s="34" t="s">
        <v>242</v>
      </c>
      <c r="H404" s="34" t="s">
        <v>222</v>
      </c>
      <c r="I404" s="35" t="str">
        <f>VLOOKUP(H404,人員與團隊!$A$4:$D$27,3,FALSE)</f>
        <v>北區服務</v>
      </c>
      <c r="J404" s="34" t="s">
        <v>215</v>
      </c>
      <c r="K404" s="33">
        <v>46164.885416666664</v>
      </c>
      <c r="L404" s="33">
        <v>46165.711616782406</v>
      </c>
      <c r="M404" s="36">
        <f t="shared" si="30"/>
        <v>384.99999999767169</v>
      </c>
      <c r="N404" s="37">
        <f t="shared" si="31"/>
        <v>26.245469444431365</v>
      </c>
      <c r="O404" s="36">
        <f>VLOOKUP(G404,SLA標準!$A$4:$C$7,2,FALSE)</f>
        <v>240</v>
      </c>
      <c r="P404" s="37">
        <f>VLOOKUP(G404,SLA標準!$A$4:$C$7,3,FALSE)</f>
        <v>24</v>
      </c>
      <c r="Q404" s="35" t="str">
        <f t="shared" si="32"/>
        <v>逾期</v>
      </c>
      <c r="R404" s="34" t="s">
        <v>47</v>
      </c>
      <c r="S404" s="35" t="str">
        <f t="shared" si="33"/>
        <v>否</v>
      </c>
      <c r="T404" s="36" t="str">
        <f>IFERROR(VLOOKUP(A404,滿意度調查!$B$4:$D$570,3,FALSE),"")</f>
        <v/>
      </c>
      <c r="U404" s="35" t="str">
        <f t="shared" si="34"/>
        <v>2026-05</v>
      </c>
      <c r="V404" s="38">
        <f>IF(J404="已結案",0,(使用說明!$B$7-B404)*24)</f>
        <v>0</v>
      </c>
    </row>
    <row r="405" spans="1:22">
      <c r="A405" s="32" t="s">
        <v>899</v>
      </c>
      <c r="B405" s="33">
        <v>46164.65347222222</v>
      </c>
      <c r="C405" s="34" t="s">
        <v>380</v>
      </c>
      <c r="D405" s="34" t="s">
        <v>210</v>
      </c>
      <c r="E405" s="34" t="s">
        <v>230</v>
      </c>
      <c r="F405" s="34" t="s">
        <v>272</v>
      </c>
      <c r="G405" s="34" t="s">
        <v>242</v>
      </c>
      <c r="H405" s="34" t="s">
        <v>310</v>
      </c>
      <c r="I405" s="35" t="str">
        <f>VLOOKUP(H405,人員與團隊!$A$4:$D$27,3,FALSE)</f>
        <v>線上服務</v>
      </c>
      <c r="J405" s="34" t="s">
        <v>215</v>
      </c>
      <c r="K405" s="33">
        <v>46164.740972222222</v>
      </c>
      <c r="L405" s="33">
        <v>46165.46789403935</v>
      </c>
      <c r="M405" s="36">
        <f t="shared" si="30"/>
        <v>126.00000000209548</v>
      </c>
      <c r="N405" s="37">
        <f t="shared" si="31"/>
        <v>19.546123611100484</v>
      </c>
      <c r="O405" s="36">
        <f>VLOOKUP(G405,SLA標準!$A$4:$C$7,2,FALSE)</f>
        <v>240</v>
      </c>
      <c r="P405" s="37">
        <f>VLOOKUP(G405,SLA標準!$A$4:$C$7,3,FALSE)</f>
        <v>24</v>
      </c>
      <c r="Q405" s="35" t="str">
        <f t="shared" si="32"/>
        <v>達標</v>
      </c>
      <c r="R405" s="34" t="s">
        <v>47</v>
      </c>
      <c r="S405" s="35" t="str">
        <f t="shared" si="33"/>
        <v>是</v>
      </c>
      <c r="T405" s="36">
        <f>IFERROR(VLOOKUP(A405,滿意度調查!$B$4:$D$570,3,FALSE),"")</f>
        <v>5</v>
      </c>
      <c r="U405" s="35" t="str">
        <f t="shared" si="34"/>
        <v>2026-05</v>
      </c>
      <c r="V405" s="38">
        <f>IF(J405="已結案",0,(使用說明!$B$7-B405)*24)</f>
        <v>0</v>
      </c>
    </row>
    <row r="406" spans="1:22">
      <c r="A406" s="32" t="s">
        <v>900</v>
      </c>
      <c r="B406" s="33">
        <v>46164.663888888892</v>
      </c>
      <c r="C406" s="34" t="s">
        <v>901</v>
      </c>
      <c r="D406" s="34" t="s">
        <v>210</v>
      </c>
      <c r="E406" s="34" t="s">
        <v>219</v>
      </c>
      <c r="F406" s="34" t="s">
        <v>371</v>
      </c>
      <c r="G406" s="34" t="s">
        <v>242</v>
      </c>
      <c r="H406" s="34" t="s">
        <v>305</v>
      </c>
      <c r="I406" s="35" t="str">
        <f>VLOOKUP(H406,人員與團隊!$A$4:$D$27,3,FALSE)</f>
        <v>線上服務</v>
      </c>
      <c r="J406" s="34" t="s">
        <v>215</v>
      </c>
      <c r="K406" s="33">
        <v>46164.71597222222</v>
      </c>
      <c r="L406" s="33">
        <v>46164.95717775463</v>
      </c>
      <c r="M406" s="36">
        <f t="shared" si="30"/>
        <v>74.999999993015081</v>
      </c>
      <c r="N406" s="37">
        <f t="shared" si="31"/>
        <v>7.0389327777083963</v>
      </c>
      <c r="O406" s="36">
        <f>VLOOKUP(G406,SLA標準!$A$4:$C$7,2,FALSE)</f>
        <v>240</v>
      </c>
      <c r="P406" s="37">
        <f>VLOOKUP(G406,SLA標準!$A$4:$C$7,3,FALSE)</f>
        <v>24</v>
      </c>
      <c r="Q406" s="35" t="str">
        <f t="shared" si="32"/>
        <v>達標</v>
      </c>
      <c r="R406" s="34" t="s">
        <v>47</v>
      </c>
      <c r="S406" s="35" t="str">
        <f t="shared" si="33"/>
        <v>是</v>
      </c>
      <c r="T406" s="36">
        <f>IFERROR(VLOOKUP(A406,滿意度調查!$B$4:$D$570,3,FALSE),"")</f>
        <v>5</v>
      </c>
      <c r="U406" s="35" t="str">
        <f t="shared" si="34"/>
        <v>2026-05</v>
      </c>
      <c r="V406" s="38">
        <f>IF(J406="已結案",0,(使用說明!$B$7-B406)*24)</f>
        <v>0</v>
      </c>
    </row>
    <row r="407" spans="1:22">
      <c r="A407" s="32" t="s">
        <v>902</v>
      </c>
      <c r="B407" s="33">
        <v>46164.720138888886</v>
      </c>
      <c r="C407" s="34" t="s">
        <v>903</v>
      </c>
      <c r="D407" s="34" t="s">
        <v>240</v>
      </c>
      <c r="E407" s="34" t="s">
        <v>265</v>
      </c>
      <c r="F407" s="34" t="s">
        <v>479</v>
      </c>
      <c r="G407" s="34" t="s">
        <v>242</v>
      </c>
      <c r="H407" s="34" t="s">
        <v>274</v>
      </c>
      <c r="I407" s="35" t="str">
        <f>VLOOKUP(H407,人員與團隊!$A$4:$D$27,3,FALSE)</f>
        <v>南區服務</v>
      </c>
      <c r="J407" s="34" t="s">
        <v>215</v>
      </c>
      <c r="K407" s="33">
        <v>46164.822916666664</v>
      </c>
      <c r="L407" s="33">
        <v>46165.622528935186</v>
      </c>
      <c r="M407" s="36">
        <f t="shared" si="30"/>
        <v>148.00000000046566</v>
      </c>
      <c r="N407" s="37">
        <f t="shared" si="31"/>
        <v>21.657361111196224</v>
      </c>
      <c r="O407" s="36">
        <f>VLOOKUP(G407,SLA標準!$A$4:$C$7,2,FALSE)</f>
        <v>240</v>
      </c>
      <c r="P407" s="37">
        <f>VLOOKUP(G407,SLA標準!$A$4:$C$7,3,FALSE)</f>
        <v>24</v>
      </c>
      <c r="Q407" s="35" t="str">
        <f t="shared" si="32"/>
        <v>達標</v>
      </c>
      <c r="R407" s="34" t="s">
        <v>47</v>
      </c>
      <c r="S407" s="35" t="str">
        <f t="shared" si="33"/>
        <v>是</v>
      </c>
      <c r="T407" s="36">
        <f>IFERROR(VLOOKUP(A407,滿意度調查!$B$4:$D$570,3,FALSE),"")</f>
        <v>5</v>
      </c>
      <c r="U407" s="35" t="str">
        <f t="shared" si="34"/>
        <v>2026-05</v>
      </c>
      <c r="V407" s="38">
        <f>IF(J407="已結案",0,(使用說明!$B$7-B407)*24)</f>
        <v>0</v>
      </c>
    </row>
    <row r="408" spans="1:22">
      <c r="A408" s="32" t="s">
        <v>904</v>
      </c>
      <c r="B408" s="33">
        <v>46165.390277777777</v>
      </c>
      <c r="C408" s="34" t="s">
        <v>905</v>
      </c>
      <c r="D408" s="34" t="s">
        <v>218</v>
      </c>
      <c r="E408" s="34" t="s">
        <v>265</v>
      </c>
      <c r="F408" s="34" t="s">
        <v>479</v>
      </c>
      <c r="G408" s="34" t="s">
        <v>242</v>
      </c>
      <c r="H408" s="34" t="s">
        <v>250</v>
      </c>
      <c r="I408" s="35" t="str">
        <f>VLOOKUP(H408,人員與團隊!$A$4:$D$27,3,FALSE)</f>
        <v>南區服務</v>
      </c>
      <c r="J408" s="34" t="s">
        <v>215</v>
      </c>
      <c r="K408" s="33">
        <v>46165.536805555559</v>
      </c>
      <c r="L408" s="33">
        <v>46166.484136550927</v>
      </c>
      <c r="M408" s="36">
        <f t="shared" si="30"/>
        <v>211.00000000675209</v>
      </c>
      <c r="N408" s="37">
        <f t="shared" si="31"/>
        <v>26.252610555617139</v>
      </c>
      <c r="O408" s="36">
        <f>VLOOKUP(G408,SLA標準!$A$4:$C$7,2,FALSE)</f>
        <v>240</v>
      </c>
      <c r="P408" s="37">
        <f>VLOOKUP(G408,SLA標準!$A$4:$C$7,3,FALSE)</f>
        <v>24</v>
      </c>
      <c r="Q408" s="35" t="str">
        <f t="shared" si="32"/>
        <v>逾期</v>
      </c>
      <c r="R408" s="34" t="s">
        <v>47</v>
      </c>
      <c r="S408" s="35" t="str">
        <f t="shared" si="33"/>
        <v>是</v>
      </c>
      <c r="T408" s="36">
        <f>IFERROR(VLOOKUP(A408,滿意度調查!$B$4:$D$570,3,FALSE),"")</f>
        <v>3</v>
      </c>
      <c r="U408" s="35" t="str">
        <f t="shared" si="34"/>
        <v>2026-05</v>
      </c>
      <c r="V408" s="38">
        <f>IF(J408="已結案",0,(使用說明!$B$7-B408)*24)</f>
        <v>0</v>
      </c>
    </row>
    <row r="409" spans="1:22">
      <c r="A409" s="32" t="s">
        <v>906</v>
      </c>
      <c r="B409" s="33">
        <v>46165.400694444441</v>
      </c>
      <c r="C409" s="34" t="s">
        <v>252</v>
      </c>
      <c r="D409" s="34" t="s">
        <v>240</v>
      </c>
      <c r="E409" s="34" t="s">
        <v>230</v>
      </c>
      <c r="F409" s="34" t="s">
        <v>231</v>
      </c>
      <c r="G409" s="34" t="s">
        <v>242</v>
      </c>
      <c r="H409" s="34" t="s">
        <v>222</v>
      </c>
      <c r="I409" s="35" t="str">
        <f>VLOOKUP(H409,人員與團隊!$A$4:$D$27,3,FALSE)</f>
        <v>北區服務</v>
      </c>
      <c r="J409" s="34" t="s">
        <v>215</v>
      </c>
      <c r="K409" s="33">
        <v>46165.617361111108</v>
      </c>
      <c r="L409" s="33">
        <v>46166.668435937499</v>
      </c>
      <c r="M409" s="36">
        <f t="shared" si="30"/>
        <v>312.00000000069849</v>
      </c>
      <c r="N409" s="37">
        <f t="shared" si="31"/>
        <v>30.425795833405573</v>
      </c>
      <c r="O409" s="36">
        <f>VLOOKUP(G409,SLA標準!$A$4:$C$7,2,FALSE)</f>
        <v>240</v>
      </c>
      <c r="P409" s="37">
        <f>VLOOKUP(G409,SLA標準!$A$4:$C$7,3,FALSE)</f>
        <v>24</v>
      </c>
      <c r="Q409" s="35" t="str">
        <f t="shared" si="32"/>
        <v>逾期</v>
      </c>
      <c r="R409" s="34" t="s">
        <v>47</v>
      </c>
      <c r="S409" s="35" t="str">
        <f t="shared" si="33"/>
        <v>是</v>
      </c>
      <c r="T409" s="36">
        <f>IFERROR(VLOOKUP(A409,滿意度調查!$B$4:$D$570,3,FALSE),"")</f>
        <v>3</v>
      </c>
      <c r="U409" s="35" t="str">
        <f t="shared" si="34"/>
        <v>2026-05</v>
      </c>
      <c r="V409" s="38">
        <f>IF(J409="已結案",0,(使用說明!$B$7-B409)*24)</f>
        <v>0</v>
      </c>
    </row>
    <row r="410" spans="1:22">
      <c r="A410" s="32" t="s">
        <v>907</v>
      </c>
      <c r="B410" s="33">
        <v>46165.400694444441</v>
      </c>
      <c r="C410" s="34" t="s">
        <v>588</v>
      </c>
      <c r="D410" s="34" t="s">
        <v>225</v>
      </c>
      <c r="E410" s="34" t="s">
        <v>230</v>
      </c>
      <c r="F410" s="34" t="s">
        <v>339</v>
      </c>
      <c r="G410" s="34" t="s">
        <v>242</v>
      </c>
      <c r="H410" s="34" t="s">
        <v>243</v>
      </c>
      <c r="I410" s="35" t="str">
        <f>VLOOKUP(H410,人員與團隊!$A$4:$D$27,3,FALSE)</f>
        <v>南區服務</v>
      </c>
      <c r="J410" s="34" t="s">
        <v>215</v>
      </c>
      <c r="K410" s="33">
        <v>46165.479861111111</v>
      </c>
      <c r="L410" s="33">
        <v>46166.108487511578</v>
      </c>
      <c r="M410" s="36">
        <f t="shared" si="30"/>
        <v>114.00000000488944</v>
      </c>
      <c r="N410" s="37">
        <f t="shared" si="31"/>
        <v>16.987033611279912</v>
      </c>
      <c r="O410" s="36">
        <f>VLOOKUP(G410,SLA標準!$A$4:$C$7,2,FALSE)</f>
        <v>240</v>
      </c>
      <c r="P410" s="37">
        <f>VLOOKUP(G410,SLA標準!$A$4:$C$7,3,FALSE)</f>
        <v>24</v>
      </c>
      <c r="Q410" s="35" t="str">
        <f t="shared" si="32"/>
        <v>達標</v>
      </c>
      <c r="R410" s="34" t="s">
        <v>47</v>
      </c>
      <c r="S410" s="35" t="str">
        <f t="shared" si="33"/>
        <v>是</v>
      </c>
      <c r="T410" s="36">
        <f>IFERROR(VLOOKUP(A410,滿意度調查!$B$4:$D$570,3,FALSE),"")</f>
        <v>5</v>
      </c>
      <c r="U410" s="35" t="str">
        <f t="shared" si="34"/>
        <v>2026-05</v>
      </c>
      <c r="V410" s="38">
        <f>IF(J410="已結案",0,(使用說明!$B$7-B410)*24)</f>
        <v>0</v>
      </c>
    </row>
    <row r="411" spans="1:22">
      <c r="A411" s="32" t="s">
        <v>908</v>
      </c>
      <c r="B411" s="33">
        <v>46165.419444444444</v>
      </c>
      <c r="C411" s="34" t="s">
        <v>754</v>
      </c>
      <c r="D411" s="34" t="s">
        <v>210</v>
      </c>
      <c r="E411" s="34" t="s">
        <v>211</v>
      </c>
      <c r="F411" s="34" t="s">
        <v>212</v>
      </c>
      <c r="G411" s="34" t="s">
        <v>242</v>
      </c>
      <c r="H411" s="34" t="s">
        <v>254</v>
      </c>
      <c r="I411" s="35" t="str">
        <f>VLOOKUP(H411,人員與團隊!$A$4:$D$27,3,FALSE)</f>
        <v>線上服務</v>
      </c>
      <c r="J411" s="34" t="s">
        <v>215</v>
      </c>
      <c r="K411" s="33">
        <v>46165.519444444442</v>
      </c>
      <c r="L411" s="33">
        <v>46165.615532569442</v>
      </c>
      <c r="M411" s="36">
        <f t="shared" si="30"/>
        <v>143.99999999790452</v>
      </c>
      <c r="N411" s="37">
        <f t="shared" si="31"/>
        <v>4.7061149999499321</v>
      </c>
      <c r="O411" s="36">
        <f>VLOOKUP(G411,SLA標準!$A$4:$C$7,2,FALSE)</f>
        <v>240</v>
      </c>
      <c r="P411" s="37">
        <f>VLOOKUP(G411,SLA標準!$A$4:$C$7,3,FALSE)</f>
        <v>24</v>
      </c>
      <c r="Q411" s="35" t="str">
        <f t="shared" si="32"/>
        <v>達標</v>
      </c>
      <c r="R411" s="34" t="s">
        <v>41</v>
      </c>
      <c r="S411" s="35" t="str">
        <f t="shared" si="33"/>
        <v>是</v>
      </c>
      <c r="T411" s="36">
        <f>IFERROR(VLOOKUP(A411,滿意度調查!$B$4:$D$570,3,FALSE),"")</f>
        <v>4</v>
      </c>
      <c r="U411" s="35" t="str">
        <f t="shared" si="34"/>
        <v>2026-05</v>
      </c>
      <c r="V411" s="38">
        <f>IF(J411="已結案",0,(使用說明!$B$7-B411)*24)</f>
        <v>0</v>
      </c>
    </row>
    <row r="412" spans="1:22">
      <c r="A412" s="32" t="s">
        <v>909</v>
      </c>
      <c r="B412" s="33">
        <v>46165.430555555555</v>
      </c>
      <c r="C412" s="34" t="s">
        <v>910</v>
      </c>
      <c r="D412" s="34" t="s">
        <v>240</v>
      </c>
      <c r="E412" s="34" t="s">
        <v>230</v>
      </c>
      <c r="F412" s="34" t="s">
        <v>272</v>
      </c>
      <c r="G412" s="34" t="s">
        <v>242</v>
      </c>
      <c r="H412" s="34" t="s">
        <v>325</v>
      </c>
      <c r="I412" s="35" t="str">
        <f>VLOOKUP(H412,人員與團隊!$A$4:$D$27,3,FALSE)</f>
        <v>線上服務</v>
      </c>
      <c r="J412" s="34" t="s">
        <v>215</v>
      </c>
      <c r="K412" s="33">
        <v>46165.568055555559</v>
      </c>
      <c r="L412" s="33">
        <v>46166.344744340277</v>
      </c>
      <c r="M412" s="36">
        <f t="shared" si="30"/>
        <v>198.00000000628643</v>
      </c>
      <c r="N412" s="37">
        <f t="shared" si="31"/>
        <v>21.940530833322555</v>
      </c>
      <c r="O412" s="36">
        <f>VLOOKUP(G412,SLA標準!$A$4:$C$7,2,FALSE)</f>
        <v>240</v>
      </c>
      <c r="P412" s="37">
        <f>VLOOKUP(G412,SLA標準!$A$4:$C$7,3,FALSE)</f>
        <v>24</v>
      </c>
      <c r="Q412" s="35" t="str">
        <f t="shared" si="32"/>
        <v>達標</v>
      </c>
      <c r="R412" s="34" t="s">
        <v>47</v>
      </c>
      <c r="S412" s="35" t="str">
        <f t="shared" si="33"/>
        <v>否</v>
      </c>
      <c r="T412" s="36" t="str">
        <f>IFERROR(VLOOKUP(A412,滿意度調查!$B$4:$D$570,3,FALSE),"")</f>
        <v/>
      </c>
      <c r="U412" s="35" t="str">
        <f t="shared" si="34"/>
        <v>2026-05</v>
      </c>
      <c r="V412" s="38">
        <f>IF(J412="已結案",0,(使用說明!$B$7-B412)*24)</f>
        <v>0</v>
      </c>
    </row>
    <row r="413" spans="1:22">
      <c r="A413" s="32" t="s">
        <v>911</v>
      </c>
      <c r="B413" s="33">
        <v>46165.456944444442</v>
      </c>
      <c r="C413" s="34" t="s">
        <v>912</v>
      </c>
      <c r="D413" s="34" t="s">
        <v>218</v>
      </c>
      <c r="E413" s="34" t="s">
        <v>219</v>
      </c>
      <c r="F413" s="34" t="s">
        <v>220</v>
      </c>
      <c r="G413" s="34" t="s">
        <v>242</v>
      </c>
      <c r="H413" s="34" t="s">
        <v>237</v>
      </c>
      <c r="I413" s="35" t="str">
        <f>VLOOKUP(H413,人員與團隊!$A$4:$D$27,3,FALSE)</f>
        <v>北區服務</v>
      </c>
      <c r="J413" s="34" t="s">
        <v>215</v>
      </c>
      <c r="K413" s="33">
        <v>46165.581250000003</v>
      </c>
      <c r="L413" s="33">
        <v>46166.211882233794</v>
      </c>
      <c r="M413" s="36">
        <f t="shared" si="30"/>
        <v>179.00000000721775</v>
      </c>
      <c r="N413" s="37">
        <f t="shared" si="31"/>
        <v>18.11850694444729</v>
      </c>
      <c r="O413" s="36">
        <f>VLOOKUP(G413,SLA標準!$A$4:$C$7,2,FALSE)</f>
        <v>240</v>
      </c>
      <c r="P413" s="37">
        <f>VLOOKUP(G413,SLA標準!$A$4:$C$7,3,FALSE)</f>
        <v>24</v>
      </c>
      <c r="Q413" s="35" t="str">
        <f t="shared" si="32"/>
        <v>達標</v>
      </c>
      <c r="R413" s="34" t="s">
        <v>47</v>
      </c>
      <c r="S413" s="35" t="str">
        <f t="shared" si="33"/>
        <v>是</v>
      </c>
      <c r="T413" s="36">
        <f>IFERROR(VLOOKUP(A413,滿意度調查!$B$4:$D$570,3,FALSE),"")</f>
        <v>5</v>
      </c>
      <c r="U413" s="35" t="str">
        <f t="shared" si="34"/>
        <v>2026-05</v>
      </c>
      <c r="V413" s="38">
        <f>IF(J413="已結案",0,(使用說明!$B$7-B413)*24)</f>
        <v>0</v>
      </c>
    </row>
    <row r="414" spans="1:22">
      <c r="A414" s="32" t="s">
        <v>913</v>
      </c>
      <c r="B414" s="33">
        <v>46165.685416666667</v>
      </c>
      <c r="C414" s="34" t="s">
        <v>512</v>
      </c>
      <c r="D414" s="34" t="s">
        <v>240</v>
      </c>
      <c r="E414" s="34" t="s">
        <v>265</v>
      </c>
      <c r="F414" s="34" t="s">
        <v>266</v>
      </c>
      <c r="G414" s="34" t="s">
        <v>242</v>
      </c>
      <c r="H414" s="34" t="s">
        <v>361</v>
      </c>
      <c r="I414" s="35" t="str">
        <f>VLOOKUP(H414,人員與團隊!$A$4:$D$27,3,FALSE)</f>
        <v>南區服務</v>
      </c>
      <c r="J414" s="34" t="s">
        <v>215</v>
      </c>
      <c r="K414" s="33">
        <v>46165.79791666667</v>
      </c>
      <c r="L414" s="33">
        <v>46166.495521469908</v>
      </c>
      <c r="M414" s="36">
        <f t="shared" si="30"/>
        <v>162.00000000419095</v>
      </c>
      <c r="N414" s="37">
        <f t="shared" si="31"/>
        <v>19.442515277769417</v>
      </c>
      <c r="O414" s="36">
        <f>VLOOKUP(G414,SLA標準!$A$4:$C$7,2,FALSE)</f>
        <v>240</v>
      </c>
      <c r="P414" s="37">
        <f>VLOOKUP(G414,SLA標準!$A$4:$C$7,3,FALSE)</f>
        <v>24</v>
      </c>
      <c r="Q414" s="35" t="str">
        <f t="shared" si="32"/>
        <v>達標</v>
      </c>
      <c r="R414" s="34" t="s">
        <v>47</v>
      </c>
      <c r="S414" s="35" t="str">
        <f t="shared" si="33"/>
        <v>否</v>
      </c>
      <c r="T414" s="36" t="str">
        <f>IFERROR(VLOOKUP(A414,滿意度調查!$B$4:$D$570,3,FALSE),"")</f>
        <v/>
      </c>
      <c r="U414" s="35" t="str">
        <f t="shared" si="34"/>
        <v>2026-05</v>
      </c>
      <c r="V414" s="38">
        <f>IF(J414="已結案",0,(使用說明!$B$7-B414)*24)</f>
        <v>0</v>
      </c>
    </row>
    <row r="415" spans="1:22">
      <c r="A415" s="32" t="s">
        <v>914</v>
      </c>
      <c r="B415" s="33">
        <v>46165.736805555556</v>
      </c>
      <c r="C415" s="34" t="s">
        <v>271</v>
      </c>
      <c r="D415" s="34" t="s">
        <v>210</v>
      </c>
      <c r="E415" s="34" t="s">
        <v>211</v>
      </c>
      <c r="F415" s="34" t="s">
        <v>226</v>
      </c>
      <c r="G415" s="34" t="s">
        <v>242</v>
      </c>
      <c r="H415" s="34" t="s">
        <v>279</v>
      </c>
      <c r="I415" s="35" t="str">
        <f>VLOOKUP(H415,人員與團隊!$A$4:$D$27,3,FALSE)</f>
        <v>南區服務</v>
      </c>
      <c r="J415" s="34" t="s">
        <v>215</v>
      </c>
      <c r="K415" s="33">
        <v>46165.826388888891</v>
      </c>
      <c r="L415" s="33">
        <v>46165.897573854163</v>
      </c>
      <c r="M415" s="36">
        <f t="shared" si="30"/>
        <v>129.00000000139698</v>
      </c>
      <c r="N415" s="37">
        <f t="shared" si="31"/>
        <v>3.8584391665644944</v>
      </c>
      <c r="O415" s="36">
        <f>VLOOKUP(G415,SLA標準!$A$4:$C$7,2,FALSE)</f>
        <v>240</v>
      </c>
      <c r="P415" s="37">
        <f>VLOOKUP(G415,SLA標準!$A$4:$C$7,3,FALSE)</f>
        <v>24</v>
      </c>
      <c r="Q415" s="35" t="str">
        <f t="shared" si="32"/>
        <v>達標</v>
      </c>
      <c r="R415" s="34" t="s">
        <v>47</v>
      </c>
      <c r="S415" s="35" t="str">
        <f t="shared" si="33"/>
        <v>是</v>
      </c>
      <c r="T415" s="36">
        <f>IFERROR(VLOOKUP(A415,滿意度調查!$B$4:$D$570,3,FALSE),"")</f>
        <v>5</v>
      </c>
      <c r="U415" s="35" t="str">
        <f t="shared" si="34"/>
        <v>2026-05</v>
      </c>
      <c r="V415" s="38">
        <f>IF(J415="已結案",0,(使用說明!$B$7-B415)*24)</f>
        <v>0</v>
      </c>
    </row>
    <row r="416" spans="1:22">
      <c r="A416" s="32" t="s">
        <v>915</v>
      </c>
      <c r="B416" s="33">
        <v>46165.786805555559</v>
      </c>
      <c r="C416" s="34" t="s">
        <v>916</v>
      </c>
      <c r="D416" s="34" t="s">
        <v>240</v>
      </c>
      <c r="E416" s="34" t="s">
        <v>265</v>
      </c>
      <c r="F416" s="34" t="s">
        <v>479</v>
      </c>
      <c r="G416" s="34" t="s">
        <v>242</v>
      </c>
      <c r="H416" s="34" t="s">
        <v>315</v>
      </c>
      <c r="I416" s="35" t="str">
        <f>VLOOKUP(H416,人員與團隊!$A$4:$D$27,3,FALSE)</f>
        <v>北區服務</v>
      </c>
      <c r="J416" s="34" t="s">
        <v>356</v>
      </c>
      <c r="K416" s="33">
        <v>46166.015972222223</v>
      </c>
      <c r="L416" s="33"/>
      <c r="M416" s="36">
        <f t="shared" si="30"/>
        <v>329.99999999650754</v>
      </c>
      <c r="N416" s="37" t="str">
        <f t="shared" si="31"/>
        <v/>
      </c>
      <c r="O416" s="36">
        <f>VLOOKUP(G416,SLA標準!$A$4:$C$7,2,FALSE)</f>
        <v>240</v>
      </c>
      <c r="P416" s="37">
        <f>VLOOKUP(G416,SLA標準!$A$4:$C$7,3,FALSE)</f>
        <v>24</v>
      </c>
      <c r="Q416" s="35" t="str">
        <f t="shared" si="32"/>
        <v>逾期</v>
      </c>
      <c r="R416" s="34" t="s">
        <v>47</v>
      </c>
      <c r="S416" s="35" t="str">
        <f t="shared" si="33"/>
        <v>否</v>
      </c>
      <c r="T416" s="36" t="str">
        <f>IFERROR(VLOOKUP(A416,滿意度調查!$B$4:$D$570,3,FALSE),"")</f>
        <v/>
      </c>
      <c r="U416" s="35" t="str">
        <f t="shared" si="34"/>
        <v>2026-05</v>
      </c>
      <c r="V416" s="38">
        <f>IF(J416="已結案",0,(使用說明!$B$7-B416)*24)</f>
        <v>926.1166666665813</v>
      </c>
    </row>
    <row r="417" spans="1:22">
      <c r="A417" s="32" t="s">
        <v>917</v>
      </c>
      <c r="B417" s="33">
        <v>46165.788194444445</v>
      </c>
      <c r="C417" s="34" t="s">
        <v>456</v>
      </c>
      <c r="D417" s="34" t="s">
        <v>225</v>
      </c>
      <c r="E417" s="34" t="s">
        <v>230</v>
      </c>
      <c r="F417" s="34" t="s">
        <v>320</v>
      </c>
      <c r="G417" s="34" t="s">
        <v>242</v>
      </c>
      <c r="H417" s="34" t="s">
        <v>250</v>
      </c>
      <c r="I417" s="35" t="str">
        <f>VLOOKUP(H417,人員與團隊!$A$4:$D$27,3,FALSE)</f>
        <v>南區服務</v>
      </c>
      <c r="J417" s="34" t="s">
        <v>215</v>
      </c>
      <c r="K417" s="33">
        <v>46165.884027777778</v>
      </c>
      <c r="L417" s="33">
        <v>46166.91969599537</v>
      </c>
      <c r="M417" s="36">
        <f t="shared" si="30"/>
        <v>137.99999999930151</v>
      </c>
      <c r="N417" s="37">
        <f t="shared" si="31"/>
        <v>27.156037222186569</v>
      </c>
      <c r="O417" s="36">
        <f>VLOOKUP(G417,SLA標準!$A$4:$C$7,2,FALSE)</f>
        <v>240</v>
      </c>
      <c r="P417" s="37">
        <f>VLOOKUP(G417,SLA標準!$A$4:$C$7,3,FALSE)</f>
        <v>24</v>
      </c>
      <c r="Q417" s="35" t="str">
        <f t="shared" si="32"/>
        <v>逾期</v>
      </c>
      <c r="R417" s="34" t="s">
        <v>47</v>
      </c>
      <c r="S417" s="35" t="str">
        <f t="shared" si="33"/>
        <v>是</v>
      </c>
      <c r="T417" s="36">
        <f>IFERROR(VLOOKUP(A417,滿意度調查!$B$4:$D$570,3,FALSE),"")</f>
        <v>3</v>
      </c>
      <c r="U417" s="35" t="str">
        <f t="shared" si="34"/>
        <v>2026-05</v>
      </c>
      <c r="V417" s="38">
        <f>IF(J417="已結案",0,(使用說明!$B$7-B417)*24)</f>
        <v>0</v>
      </c>
    </row>
    <row r="418" spans="1:22">
      <c r="A418" s="32" t="s">
        <v>918</v>
      </c>
      <c r="B418" s="33">
        <v>46165.806250000001</v>
      </c>
      <c r="C418" s="34" t="s">
        <v>510</v>
      </c>
      <c r="D418" s="34" t="s">
        <v>210</v>
      </c>
      <c r="E418" s="34" t="s">
        <v>230</v>
      </c>
      <c r="F418" s="34" t="s">
        <v>320</v>
      </c>
      <c r="G418" s="34" t="s">
        <v>221</v>
      </c>
      <c r="H418" s="34" t="s">
        <v>305</v>
      </c>
      <c r="I418" s="35" t="str">
        <f>VLOOKUP(H418,人員與團隊!$A$4:$D$27,3,FALSE)</f>
        <v>線上服務</v>
      </c>
      <c r="J418" s="34" t="s">
        <v>215</v>
      </c>
      <c r="K418" s="33">
        <v>46165.818055555559</v>
      </c>
      <c r="L418" s="33">
        <v>46166.324073368058</v>
      </c>
      <c r="M418" s="36">
        <f t="shared" si="30"/>
        <v>17.000000003026798</v>
      </c>
      <c r="N418" s="37">
        <f t="shared" si="31"/>
        <v>12.427760833350476</v>
      </c>
      <c r="O418" s="36">
        <f>VLOOKUP(G418,SLA標準!$A$4:$C$7,2,FALSE)</f>
        <v>60</v>
      </c>
      <c r="P418" s="37">
        <f>VLOOKUP(G418,SLA標準!$A$4:$C$7,3,FALSE)</f>
        <v>8</v>
      </c>
      <c r="Q418" s="35" t="str">
        <f t="shared" si="32"/>
        <v>逾期</v>
      </c>
      <c r="R418" s="34" t="s">
        <v>41</v>
      </c>
      <c r="S418" s="35" t="str">
        <f t="shared" si="33"/>
        <v>是</v>
      </c>
      <c r="T418" s="36">
        <f>IFERROR(VLOOKUP(A418,滿意度調查!$B$4:$D$570,3,FALSE),"")</f>
        <v>3</v>
      </c>
      <c r="U418" s="35" t="str">
        <f t="shared" si="34"/>
        <v>2026-05</v>
      </c>
      <c r="V418" s="38">
        <f>IF(J418="已結案",0,(使用說明!$B$7-B418)*24)</f>
        <v>0</v>
      </c>
    </row>
    <row r="419" spans="1:22">
      <c r="A419" s="32" t="s">
        <v>919</v>
      </c>
      <c r="B419" s="33">
        <v>46165.830555555556</v>
      </c>
      <c r="C419" s="34" t="s">
        <v>920</v>
      </c>
      <c r="D419" s="34" t="s">
        <v>225</v>
      </c>
      <c r="E419" s="34" t="s">
        <v>265</v>
      </c>
      <c r="F419" s="34" t="s">
        <v>304</v>
      </c>
      <c r="G419" s="34" t="s">
        <v>242</v>
      </c>
      <c r="H419" s="34" t="s">
        <v>222</v>
      </c>
      <c r="I419" s="35" t="str">
        <f>VLOOKUP(H419,人員與團隊!$A$4:$D$27,3,FALSE)</f>
        <v>北區服務</v>
      </c>
      <c r="J419" s="34" t="s">
        <v>215</v>
      </c>
      <c r="K419" s="33">
        <v>46165.944444444445</v>
      </c>
      <c r="L419" s="33">
        <v>46166.975280254628</v>
      </c>
      <c r="M419" s="36">
        <f t="shared" si="30"/>
        <v>164.00000000023283</v>
      </c>
      <c r="N419" s="37">
        <f t="shared" si="31"/>
        <v>27.473392777726986</v>
      </c>
      <c r="O419" s="36">
        <f>VLOOKUP(G419,SLA標準!$A$4:$C$7,2,FALSE)</f>
        <v>240</v>
      </c>
      <c r="P419" s="37">
        <f>VLOOKUP(G419,SLA標準!$A$4:$C$7,3,FALSE)</f>
        <v>24</v>
      </c>
      <c r="Q419" s="35" t="str">
        <f t="shared" si="32"/>
        <v>逾期</v>
      </c>
      <c r="R419" s="34" t="s">
        <v>47</v>
      </c>
      <c r="S419" s="35" t="str">
        <f t="shared" si="33"/>
        <v>是</v>
      </c>
      <c r="T419" s="36">
        <f>IFERROR(VLOOKUP(A419,滿意度調查!$B$4:$D$570,3,FALSE),"")</f>
        <v>3</v>
      </c>
      <c r="U419" s="35" t="str">
        <f t="shared" si="34"/>
        <v>2026-05</v>
      </c>
      <c r="V419" s="38">
        <f>IF(J419="已結案",0,(使用說明!$B$7-B419)*24)</f>
        <v>0</v>
      </c>
    </row>
    <row r="420" spans="1:22">
      <c r="A420" s="32" t="s">
        <v>921</v>
      </c>
      <c r="B420" s="33">
        <v>46166.355555555558</v>
      </c>
      <c r="C420" s="34" t="s">
        <v>405</v>
      </c>
      <c r="D420" s="34" t="s">
        <v>225</v>
      </c>
      <c r="E420" s="34" t="s">
        <v>235</v>
      </c>
      <c r="F420" s="34" t="s">
        <v>241</v>
      </c>
      <c r="G420" s="34" t="s">
        <v>213</v>
      </c>
      <c r="H420" s="34" t="s">
        <v>232</v>
      </c>
      <c r="I420" s="35" t="str">
        <f>VLOOKUP(H420,人員與團隊!$A$4:$D$27,3,FALSE)</f>
        <v>北區服務</v>
      </c>
      <c r="J420" s="34" t="s">
        <v>215</v>
      </c>
      <c r="K420" s="33">
        <v>46166.482638888891</v>
      </c>
      <c r="L420" s="33">
        <v>46166.690872812498</v>
      </c>
      <c r="M420" s="36">
        <f t="shared" si="30"/>
        <v>182.99999999930151</v>
      </c>
      <c r="N420" s="37">
        <f t="shared" si="31"/>
        <v>8.047614166571293</v>
      </c>
      <c r="O420" s="36">
        <f>VLOOKUP(G420,SLA標準!$A$4:$C$7,2,FALSE)</f>
        <v>480</v>
      </c>
      <c r="P420" s="37">
        <f>VLOOKUP(G420,SLA標準!$A$4:$C$7,3,FALSE)</f>
        <v>48</v>
      </c>
      <c r="Q420" s="35" t="str">
        <f t="shared" si="32"/>
        <v>達標</v>
      </c>
      <c r="R420" s="34" t="s">
        <v>47</v>
      </c>
      <c r="S420" s="35" t="str">
        <f t="shared" si="33"/>
        <v>否</v>
      </c>
      <c r="T420" s="36" t="str">
        <f>IFERROR(VLOOKUP(A420,滿意度調查!$B$4:$D$570,3,FALSE),"")</f>
        <v/>
      </c>
      <c r="U420" s="35" t="str">
        <f t="shared" si="34"/>
        <v>2026-05</v>
      </c>
      <c r="V420" s="38">
        <f>IF(J420="已結案",0,(使用說明!$B$7-B420)*24)</f>
        <v>0</v>
      </c>
    </row>
    <row r="421" spans="1:22">
      <c r="A421" s="32" t="s">
        <v>922</v>
      </c>
      <c r="B421" s="33">
        <v>46166.359722222223</v>
      </c>
      <c r="C421" s="34" t="s">
        <v>614</v>
      </c>
      <c r="D421" s="34" t="s">
        <v>225</v>
      </c>
      <c r="E421" s="34" t="s">
        <v>230</v>
      </c>
      <c r="F421" s="34" t="s">
        <v>339</v>
      </c>
      <c r="G421" s="34" t="s">
        <v>242</v>
      </c>
      <c r="H421" s="34" t="s">
        <v>408</v>
      </c>
      <c r="I421" s="35" t="str">
        <f>VLOOKUP(H421,人員與團隊!$A$4:$D$27,3,FALSE)</f>
        <v>線上服務</v>
      </c>
      <c r="J421" s="34" t="s">
        <v>215</v>
      </c>
      <c r="K421" s="33">
        <v>46166.436805555553</v>
      </c>
      <c r="L421" s="33">
        <v>46167.046732962961</v>
      </c>
      <c r="M421" s="36">
        <f t="shared" si="30"/>
        <v>110.99999999511056</v>
      </c>
      <c r="N421" s="37">
        <f t="shared" si="31"/>
        <v>16.488257777702529</v>
      </c>
      <c r="O421" s="36">
        <f>VLOOKUP(G421,SLA標準!$A$4:$C$7,2,FALSE)</f>
        <v>240</v>
      </c>
      <c r="P421" s="37">
        <f>VLOOKUP(G421,SLA標準!$A$4:$C$7,3,FALSE)</f>
        <v>24</v>
      </c>
      <c r="Q421" s="35" t="str">
        <f t="shared" si="32"/>
        <v>達標</v>
      </c>
      <c r="R421" s="34" t="s">
        <v>47</v>
      </c>
      <c r="S421" s="35" t="str">
        <f t="shared" si="33"/>
        <v>否</v>
      </c>
      <c r="T421" s="36" t="str">
        <f>IFERROR(VLOOKUP(A421,滿意度調查!$B$4:$D$570,3,FALSE),"")</f>
        <v/>
      </c>
      <c r="U421" s="35" t="str">
        <f t="shared" si="34"/>
        <v>2026-05</v>
      </c>
      <c r="V421" s="38">
        <f>IF(J421="已結案",0,(使用說明!$B$7-B421)*24)</f>
        <v>0</v>
      </c>
    </row>
    <row r="422" spans="1:22">
      <c r="A422" s="32" t="s">
        <v>923</v>
      </c>
      <c r="B422" s="33">
        <v>46166.618055555555</v>
      </c>
      <c r="C422" s="34" t="s">
        <v>924</v>
      </c>
      <c r="D422" s="34" t="s">
        <v>225</v>
      </c>
      <c r="E422" s="34" t="s">
        <v>211</v>
      </c>
      <c r="F422" s="34" t="s">
        <v>226</v>
      </c>
      <c r="G422" s="34" t="s">
        <v>242</v>
      </c>
      <c r="H422" s="34" t="s">
        <v>237</v>
      </c>
      <c r="I422" s="35" t="str">
        <f>VLOOKUP(H422,人員與團隊!$A$4:$D$27,3,FALSE)</f>
        <v>北區服務</v>
      </c>
      <c r="J422" s="34" t="s">
        <v>215</v>
      </c>
      <c r="K422" s="33">
        <v>46166.709722222222</v>
      </c>
      <c r="L422" s="33">
        <v>46166.820097256947</v>
      </c>
      <c r="M422" s="36">
        <f t="shared" si="30"/>
        <v>132.00000000069849</v>
      </c>
      <c r="N422" s="37">
        <f t="shared" si="31"/>
        <v>4.8490008334047161</v>
      </c>
      <c r="O422" s="36">
        <f>VLOOKUP(G422,SLA標準!$A$4:$C$7,2,FALSE)</f>
        <v>240</v>
      </c>
      <c r="P422" s="37">
        <f>VLOOKUP(G422,SLA標準!$A$4:$C$7,3,FALSE)</f>
        <v>24</v>
      </c>
      <c r="Q422" s="35" t="str">
        <f t="shared" si="32"/>
        <v>達標</v>
      </c>
      <c r="R422" s="34" t="s">
        <v>47</v>
      </c>
      <c r="S422" s="35" t="str">
        <f t="shared" si="33"/>
        <v>是</v>
      </c>
      <c r="T422" s="36">
        <f>IFERROR(VLOOKUP(A422,滿意度調查!$B$4:$D$570,3,FALSE),"")</f>
        <v>5</v>
      </c>
      <c r="U422" s="35" t="str">
        <f t="shared" si="34"/>
        <v>2026-05</v>
      </c>
      <c r="V422" s="38">
        <f>IF(J422="已結案",0,(使用說明!$B$7-B422)*24)</f>
        <v>0</v>
      </c>
    </row>
    <row r="423" spans="1:22">
      <c r="A423" s="32" t="s">
        <v>925</v>
      </c>
      <c r="B423" s="33">
        <v>46166.695833333331</v>
      </c>
      <c r="C423" s="34" t="s">
        <v>521</v>
      </c>
      <c r="D423" s="34" t="s">
        <v>210</v>
      </c>
      <c r="E423" s="34" t="s">
        <v>265</v>
      </c>
      <c r="F423" s="34" t="s">
        <v>266</v>
      </c>
      <c r="G423" s="34" t="s">
        <v>221</v>
      </c>
      <c r="H423" s="34" t="s">
        <v>408</v>
      </c>
      <c r="I423" s="35" t="str">
        <f>VLOOKUP(H423,人員與團隊!$A$4:$D$27,3,FALSE)</f>
        <v>線上服務</v>
      </c>
      <c r="J423" s="34" t="s">
        <v>215</v>
      </c>
      <c r="K423" s="33">
        <v>46166.713194444441</v>
      </c>
      <c r="L423" s="33">
        <v>46167.25797363426</v>
      </c>
      <c r="M423" s="36">
        <f t="shared" si="30"/>
        <v>24.999999997671694</v>
      </c>
      <c r="N423" s="37">
        <f t="shared" si="31"/>
        <v>13.491367222275585</v>
      </c>
      <c r="O423" s="36">
        <f>VLOOKUP(G423,SLA標準!$A$4:$C$7,2,FALSE)</f>
        <v>60</v>
      </c>
      <c r="P423" s="37">
        <f>VLOOKUP(G423,SLA標準!$A$4:$C$7,3,FALSE)</f>
        <v>8</v>
      </c>
      <c r="Q423" s="35" t="str">
        <f t="shared" si="32"/>
        <v>逾期</v>
      </c>
      <c r="R423" s="34" t="s">
        <v>47</v>
      </c>
      <c r="S423" s="35" t="str">
        <f t="shared" si="33"/>
        <v>是</v>
      </c>
      <c r="T423" s="36">
        <f>IFERROR(VLOOKUP(A423,滿意度調查!$B$4:$D$570,3,FALSE),"")</f>
        <v>3</v>
      </c>
      <c r="U423" s="35" t="str">
        <f t="shared" si="34"/>
        <v>2026-05</v>
      </c>
      <c r="V423" s="38">
        <f>IF(J423="已結案",0,(使用說明!$B$7-B423)*24)</f>
        <v>0</v>
      </c>
    </row>
    <row r="424" spans="1:22">
      <c r="A424" s="32" t="s">
        <v>926</v>
      </c>
      <c r="B424" s="33">
        <v>46166.738194444442</v>
      </c>
      <c r="C424" s="34" t="s">
        <v>694</v>
      </c>
      <c r="D424" s="34" t="s">
        <v>225</v>
      </c>
      <c r="E424" s="34" t="s">
        <v>245</v>
      </c>
      <c r="F424" s="34" t="s">
        <v>246</v>
      </c>
      <c r="G424" s="34" t="s">
        <v>242</v>
      </c>
      <c r="H424" s="34" t="s">
        <v>227</v>
      </c>
      <c r="I424" s="35" t="str">
        <f>VLOOKUP(H424,人員與團隊!$A$4:$D$27,3,FALSE)</f>
        <v>北區服務</v>
      </c>
      <c r="J424" s="34" t="s">
        <v>215</v>
      </c>
      <c r="K424" s="33">
        <v>46166.8125</v>
      </c>
      <c r="L424" s="33">
        <v>46167.372495729163</v>
      </c>
      <c r="M424" s="36">
        <f t="shared" si="30"/>
        <v>107.0000000030268</v>
      </c>
      <c r="N424" s="37">
        <f t="shared" si="31"/>
        <v>15.223230833304115</v>
      </c>
      <c r="O424" s="36">
        <f>VLOOKUP(G424,SLA標準!$A$4:$C$7,2,FALSE)</f>
        <v>240</v>
      </c>
      <c r="P424" s="37">
        <f>VLOOKUP(G424,SLA標準!$A$4:$C$7,3,FALSE)</f>
        <v>24</v>
      </c>
      <c r="Q424" s="35" t="str">
        <f t="shared" si="32"/>
        <v>達標</v>
      </c>
      <c r="R424" s="34" t="s">
        <v>47</v>
      </c>
      <c r="S424" s="35" t="str">
        <f t="shared" si="33"/>
        <v>是</v>
      </c>
      <c r="T424" s="36">
        <f>IFERROR(VLOOKUP(A424,滿意度調查!$B$4:$D$570,3,FALSE),"")</f>
        <v>5</v>
      </c>
      <c r="U424" s="35" t="str">
        <f t="shared" si="34"/>
        <v>2026-05</v>
      </c>
      <c r="V424" s="38">
        <f>IF(J424="已結案",0,(使用說明!$B$7-B424)*24)</f>
        <v>0</v>
      </c>
    </row>
    <row r="425" spans="1:22">
      <c r="A425" s="32" t="s">
        <v>927</v>
      </c>
      <c r="B425" s="33">
        <v>46166.811805555553</v>
      </c>
      <c r="C425" s="34" t="s">
        <v>322</v>
      </c>
      <c r="D425" s="34" t="s">
        <v>210</v>
      </c>
      <c r="E425" s="34" t="s">
        <v>230</v>
      </c>
      <c r="F425" s="34" t="s">
        <v>231</v>
      </c>
      <c r="G425" s="34" t="s">
        <v>242</v>
      </c>
      <c r="H425" s="34" t="s">
        <v>328</v>
      </c>
      <c r="I425" s="35" t="str">
        <f>VLOOKUP(H425,人員與團隊!$A$4:$D$27,3,FALSE)</f>
        <v>北區服務</v>
      </c>
      <c r="J425" s="34" t="s">
        <v>215</v>
      </c>
      <c r="K425" s="33">
        <v>46166.861111111109</v>
      </c>
      <c r="L425" s="33">
        <v>46167.479703032404</v>
      </c>
      <c r="M425" s="36">
        <f t="shared" si="30"/>
        <v>71.000000000931323</v>
      </c>
      <c r="N425" s="37">
        <f t="shared" si="31"/>
        <v>16.029539444425609</v>
      </c>
      <c r="O425" s="36">
        <f>VLOOKUP(G425,SLA標準!$A$4:$C$7,2,FALSE)</f>
        <v>240</v>
      </c>
      <c r="P425" s="37">
        <f>VLOOKUP(G425,SLA標準!$A$4:$C$7,3,FALSE)</f>
        <v>24</v>
      </c>
      <c r="Q425" s="35" t="str">
        <f t="shared" si="32"/>
        <v>達標</v>
      </c>
      <c r="R425" s="34" t="s">
        <v>41</v>
      </c>
      <c r="S425" s="35" t="str">
        <f t="shared" si="33"/>
        <v>是</v>
      </c>
      <c r="T425" s="36">
        <f>IFERROR(VLOOKUP(A425,滿意度調查!$B$4:$D$570,3,FALSE),"")</f>
        <v>4</v>
      </c>
      <c r="U425" s="35" t="str">
        <f t="shared" si="34"/>
        <v>2026-05</v>
      </c>
      <c r="V425" s="38">
        <f>IF(J425="已結案",0,(使用說明!$B$7-B425)*24)</f>
        <v>0</v>
      </c>
    </row>
    <row r="426" spans="1:22">
      <c r="A426" s="32" t="s">
        <v>928</v>
      </c>
      <c r="B426" s="33">
        <v>46167.374305555553</v>
      </c>
      <c r="C426" s="34" t="s">
        <v>648</v>
      </c>
      <c r="D426" s="34" t="s">
        <v>240</v>
      </c>
      <c r="E426" s="34" t="s">
        <v>230</v>
      </c>
      <c r="F426" s="34" t="s">
        <v>231</v>
      </c>
      <c r="G426" s="34" t="s">
        <v>213</v>
      </c>
      <c r="H426" s="34" t="s">
        <v>227</v>
      </c>
      <c r="I426" s="35" t="str">
        <f>VLOOKUP(H426,人員與團隊!$A$4:$D$27,3,FALSE)</f>
        <v>北區服務</v>
      </c>
      <c r="J426" s="34" t="s">
        <v>215</v>
      </c>
      <c r="K426" s="33">
        <v>46167.790277777778</v>
      </c>
      <c r="L426" s="33">
        <v>46168.206055648145</v>
      </c>
      <c r="M426" s="36">
        <f t="shared" si="30"/>
        <v>599.00000000372529</v>
      </c>
      <c r="N426" s="37">
        <f t="shared" si="31"/>
        <v>19.962002222193405</v>
      </c>
      <c r="O426" s="36">
        <f>VLOOKUP(G426,SLA標準!$A$4:$C$7,2,FALSE)</f>
        <v>480</v>
      </c>
      <c r="P426" s="37">
        <f>VLOOKUP(G426,SLA標準!$A$4:$C$7,3,FALSE)</f>
        <v>48</v>
      </c>
      <c r="Q426" s="35" t="str">
        <f t="shared" si="32"/>
        <v>逾期</v>
      </c>
      <c r="R426" s="34" t="s">
        <v>47</v>
      </c>
      <c r="S426" s="35" t="str">
        <f t="shared" si="33"/>
        <v>是</v>
      </c>
      <c r="T426" s="36">
        <f>IFERROR(VLOOKUP(A426,滿意度調查!$B$4:$D$570,3,FALSE),"")</f>
        <v>3</v>
      </c>
      <c r="U426" s="35" t="str">
        <f t="shared" si="34"/>
        <v>2026-05</v>
      </c>
      <c r="V426" s="38">
        <f>IF(J426="已結案",0,(使用說明!$B$7-B426)*24)</f>
        <v>0</v>
      </c>
    </row>
    <row r="427" spans="1:22">
      <c r="A427" s="32" t="s">
        <v>929</v>
      </c>
      <c r="B427" s="33">
        <v>46167.508333333331</v>
      </c>
      <c r="C427" s="34" t="s">
        <v>930</v>
      </c>
      <c r="D427" s="34" t="s">
        <v>240</v>
      </c>
      <c r="E427" s="34" t="s">
        <v>230</v>
      </c>
      <c r="F427" s="34" t="s">
        <v>339</v>
      </c>
      <c r="G427" s="34" t="s">
        <v>242</v>
      </c>
      <c r="H427" s="34" t="s">
        <v>267</v>
      </c>
      <c r="I427" s="35" t="str">
        <f>VLOOKUP(H427,人員與團隊!$A$4:$D$27,3,FALSE)</f>
        <v>南區服務</v>
      </c>
      <c r="J427" s="34" t="s">
        <v>215</v>
      </c>
      <c r="K427" s="33">
        <v>46167.655555555553</v>
      </c>
      <c r="L427" s="33">
        <v>46168.961869409723</v>
      </c>
      <c r="M427" s="36">
        <f t="shared" si="30"/>
        <v>211.99999999953434</v>
      </c>
      <c r="N427" s="37">
        <f t="shared" si="31"/>
        <v>34.884865833388176</v>
      </c>
      <c r="O427" s="36">
        <f>VLOOKUP(G427,SLA標準!$A$4:$C$7,2,FALSE)</f>
        <v>240</v>
      </c>
      <c r="P427" s="37">
        <f>VLOOKUP(G427,SLA標準!$A$4:$C$7,3,FALSE)</f>
        <v>24</v>
      </c>
      <c r="Q427" s="35" t="str">
        <f t="shared" si="32"/>
        <v>逾期</v>
      </c>
      <c r="R427" s="34" t="s">
        <v>41</v>
      </c>
      <c r="S427" s="35" t="str">
        <f t="shared" si="33"/>
        <v>是</v>
      </c>
      <c r="T427" s="36">
        <f>IFERROR(VLOOKUP(A427,滿意度調查!$B$4:$D$570,3,FALSE),"")</f>
        <v>3</v>
      </c>
      <c r="U427" s="35" t="str">
        <f t="shared" si="34"/>
        <v>2026-05</v>
      </c>
      <c r="V427" s="38">
        <f>IF(J427="已結案",0,(使用說明!$B$7-B427)*24)</f>
        <v>0</v>
      </c>
    </row>
    <row r="428" spans="1:22">
      <c r="A428" s="32" t="s">
        <v>931</v>
      </c>
      <c r="B428" s="33">
        <v>46167.681944444441</v>
      </c>
      <c r="C428" s="34" t="s">
        <v>791</v>
      </c>
      <c r="D428" s="34" t="s">
        <v>210</v>
      </c>
      <c r="E428" s="34" t="s">
        <v>265</v>
      </c>
      <c r="F428" s="34" t="s">
        <v>304</v>
      </c>
      <c r="G428" s="34" t="s">
        <v>242</v>
      </c>
      <c r="H428" s="34" t="s">
        <v>384</v>
      </c>
      <c r="I428" s="35" t="str">
        <f>VLOOKUP(H428,人員與團隊!$A$4:$D$27,3,FALSE)</f>
        <v>線上服務</v>
      </c>
      <c r="J428" s="34" t="s">
        <v>215</v>
      </c>
      <c r="K428" s="33">
        <v>46167.727083333331</v>
      </c>
      <c r="L428" s="33">
        <v>46168.285396712963</v>
      </c>
      <c r="M428" s="36">
        <f t="shared" si="30"/>
        <v>65.000000002328306</v>
      </c>
      <c r="N428" s="37">
        <f t="shared" si="31"/>
        <v>14.482854444533587</v>
      </c>
      <c r="O428" s="36">
        <f>VLOOKUP(G428,SLA標準!$A$4:$C$7,2,FALSE)</f>
        <v>240</v>
      </c>
      <c r="P428" s="37">
        <f>VLOOKUP(G428,SLA標準!$A$4:$C$7,3,FALSE)</f>
        <v>24</v>
      </c>
      <c r="Q428" s="35" t="str">
        <f t="shared" si="32"/>
        <v>達標</v>
      </c>
      <c r="R428" s="34" t="s">
        <v>41</v>
      </c>
      <c r="S428" s="35" t="str">
        <f t="shared" si="33"/>
        <v>是</v>
      </c>
      <c r="T428" s="36">
        <f>IFERROR(VLOOKUP(A428,滿意度調查!$B$4:$D$570,3,FALSE),"")</f>
        <v>4</v>
      </c>
      <c r="U428" s="35" t="str">
        <f t="shared" si="34"/>
        <v>2026-05</v>
      </c>
      <c r="V428" s="38">
        <f>IF(J428="已結案",0,(使用說明!$B$7-B428)*24)</f>
        <v>0</v>
      </c>
    </row>
    <row r="429" spans="1:22">
      <c r="A429" s="32" t="s">
        <v>932</v>
      </c>
      <c r="B429" s="33">
        <v>46167.682638888888</v>
      </c>
      <c r="C429" s="34" t="s">
        <v>808</v>
      </c>
      <c r="D429" s="34" t="s">
        <v>218</v>
      </c>
      <c r="E429" s="34" t="s">
        <v>211</v>
      </c>
      <c r="F429" s="34" t="s">
        <v>331</v>
      </c>
      <c r="G429" s="34" t="s">
        <v>242</v>
      </c>
      <c r="H429" s="34" t="s">
        <v>262</v>
      </c>
      <c r="I429" s="35" t="str">
        <f>VLOOKUP(H429,人員與團隊!$A$4:$D$27,3,FALSE)</f>
        <v>南區服務</v>
      </c>
      <c r="J429" s="34" t="s">
        <v>215</v>
      </c>
      <c r="K429" s="33">
        <v>46167.85833333333</v>
      </c>
      <c r="L429" s="33">
        <v>46167.954673298613</v>
      </c>
      <c r="M429" s="36">
        <f t="shared" si="30"/>
        <v>252.9999999969732</v>
      </c>
      <c r="N429" s="37">
        <f t="shared" si="31"/>
        <v>6.528825833403971</v>
      </c>
      <c r="O429" s="36">
        <f>VLOOKUP(G429,SLA標準!$A$4:$C$7,2,FALSE)</f>
        <v>240</v>
      </c>
      <c r="P429" s="37">
        <f>VLOOKUP(G429,SLA標準!$A$4:$C$7,3,FALSE)</f>
        <v>24</v>
      </c>
      <c r="Q429" s="35" t="str">
        <f t="shared" si="32"/>
        <v>逾期</v>
      </c>
      <c r="R429" s="34" t="s">
        <v>47</v>
      </c>
      <c r="S429" s="35" t="str">
        <f t="shared" si="33"/>
        <v>否</v>
      </c>
      <c r="T429" s="36" t="str">
        <f>IFERROR(VLOOKUP(A429,滿意度調查!$B$4:$D$570,3,FALSE),"")</f>
        <v/>
      </c>
      <c r="U429" s="35" t="str">
        <f t="shared" si="34"/>
        <v>2026-05</v>
      </c>
      <c r="V429" s="38">
        <f>IF(J429="已結案",0,(使用說明!$B$7-B429)*24)</f>
        <v>0</v>
      </c>
    </row>
    <row r="430" spans="1:22">
      <c r="A430" s="32" t="s">
        <v>933</v>
      </c>
      <c r="B430" s="33">
        <v>46167.704861111109</v>
      </c>
      <c r="C430" s="34" t="s">
        <v>224</v>
      </c>
      <c r="D430" s="34" t="s">
        <v>218</v>
      </c>
      <c r="E430" s="34" t="s">
        <v>265</v>
      </c>
      <c r="F430" s="34" t="s">
        <v>479</v>
      </c>
      <c r="G430" s="34" t="s">
        <v>242</v>
      </c>
      <c r="H430" s="34" t="s">
        <v>340</v>
      </c>
      <c r="I430" s="35" t="str">
        <f>VLOOKUP(H430,人員與團隊!$A$4:$D$27,3,FALSE)</f>
        <v>北區服務</v>
      </c>
      <c r="J430" s="34" t="s">
        <v>215</v>
      </c>
      <c r="K430" s="33">
        <v>46167.898611111108</v>
      </c>
      <c r="L430" s="33">
        <v>46168.716966018517</v>
      </c>
      <c r="M430" s="36">
        <f t="shared" si="30"/>
        <v>278.99999999790452</v>
      </c>
      <c r="N430" s="37">
        <f t="shared" si="31"/>
        <v>24.29051777778659</v>
      </c>
      <c r="O430" s="36">
        <f>VLOOKUP(G430,SLA標準!$A$4:$C$7,2,FALSE)</f>
        <v>240</v>
      </c>
      <c r="P430" s="37">
        <f>VLOOKUP(G430,SLA標準!$A$4:$C$7,3,FALSE)</f>
        <v>24</v>
      </c>
      <c r="Q430" s="35" t="str">
        <f t="shared" si="32"/>
        <v>逾期</v>
      </c>
      <c r="R430" s="34" t="s">
        <v>47</v>
      </c>
      <c r="S430" s="35" t="str">
        <f t="shared" si="33"/>
        <v>是</v>
      </c>
      <c r="T430" s="36">
        <f>IFERROR(VLOOKUP(A430,滿意度調查!$B$4:$D$570,3,FALSE),"")</f>
        <v>3</v>
      </c>
      <c r="U430" s="35" t="str">
        <f t="shared" si="34"/>
        <v>2026-05</v>
      </c>
      <c r="V430" s="38">
        <f>IF(J430="已結案",0,(使用說明!$B$7-B430)*24)</f>
        <v>0</v>
      </c>
    </row>
    <row r="431" spans="1:22">
      <c r="A431" s="32" t="s">
        <v>934</v>
      </c>
      <c r="B431" s="33">
        <v>46167.712500000001</v>
      </c>
      <c r="C431" s="34" t="s">
        <v>935</v>
      </c>
      <c r="D431" s="34" t="s">
        <v>210</v>
      </c>
      <c r="E431" s="34" t="s">
        <v>235</v>
      </c>
      <c r="F431" s="34" t="s">
        <v>253</v>
      </c>
      <c r="G431" s="34" t="s">
        <v>350</v>
      </c>
      <c r="H431" s="34" t="s">
        <v>305</v>
      </c>
      <c r="I431" s="35" t="str">
        <f>VLOOKUP(H431,人員與團隊!$A$4:$D$27,3,FALSE)</f>
        <v>線上服務</v>
      </c>
      <c r="J431" s="34" t="s">
        <v>356</v>
      </c>
      <c r="K431" s="33">
        <v>46167.718055555553</v>
      </c>
      <c r="L431" s="33"/>
      <c r="M431" s="36">
        <f t="shared" si="30"/>
        <v>7.9999999946448952</v>
      </c>
      <c r="N431" s="37" t="str">
        <f t="shared" si="31"/>
        <v/>
      </c>
      <c r="O431" s="36">
        <f>VLOOKUP(G431,SLA標準!$A$4:$C$7,2,FALSE)</f>
        <v>30</v>
      </c>
      <c r="P431" s="37">
        <f>VLOOKUP(G431,SLA標準!$A$4:$C$7,3,FALSE)</f>
        <v>4</v>
      </c>
      <c r="Q431" s="35" t="str">
        <f t="shared" si="32"/>
        <v>逾期</v>
      </c>
      <c r="R431" s="34" t="s">
        <v>47</v>
      </c>
      <c r="S431" s="35" t="str">
        <f t="shared" si="33"/>
        <v>否</v>
      </c>
      <c r="T431" s="36" t="str">
        <f>IFERROR(VLOOKUP(A431,滿意度調查!$B$4:$D$570,3,FALSE),"")</f>
        <v/>
      </c>
      <c r="U431" s="35" t="str">
        <f t="shared" si="34"/>
        <v>2026-05</v>
      </c>
      <c r="V431" s="38">
        <f>IF(J431="已結案",0,(使用說明!$B$7-B431)*24)</f>
        <v>879.89999999996508</v>
      </c>
    </row>
    <row r="432" spans="1:22">
      <c r="A432" s="32" t="s">
        <v>936</v>
      </c>
      <c r="B432" s="33">
        <v>46167.818749999999</v>
      </c>
      <c r="C432" s="34" t="s">
        <v>893</v>
      </c>
      <c r="D432" s="34" t="s">
        <v>225</v>
      </c>
      <c r="E432" s="34" t="s">
        <v>211</v>
      </c>
      <c r="F432" s="34" t="s">
        <v>334</v>
      </c>
      <c r="G432" s="34" t="s">
        <v>221</v>
      </c>
      <c r="H432" s="34" t="s">
        <v>222</v>
      </c>
      <c r="I432" s="35" t="str">
        <f>VLOOKUP(H432,人員與團隊!$A$4:$D$27,3,FALSE)</f>
        <v>北區服務</v>
      </c>
      <c r="J432" s="34" t="s">
        <v>215</v>
      </c>
      <c r="K432" s="33">
        <v>46167.845833333333</v>
      </c>
      <c r="L432" s="33">
        <v>46168.044389861112</v>
      </c>
      <c r="M432" s="36">
        <f t="shared" si="30"/>
        <v>39.000000001396984</v>
      </c>
      <c r="N432" s="37">
        <f t="shared" si="31"/>
        <v>5.4153566667228006</v>
      </c>
      <c r="O432" s="36">
        <f>VLOOKUP(G432,SLA標準!$A$4:$C$7,2,FALSE)</f>
        <v>60</v>
      </c>
      <c r="P432" s="37">
        <f>VLOOKUP(G432,SLA標準!$A$4:$C$7,3,FALSE)</f>
        <v>8</v>
      </c>
      <c r="Q432" s="35" t="str">
        <f t="shared" si="32"/>
        <v>達標</v>
      </c>
      <c r="R432" s="34" t="s">
        <v>41</v>
      </c>
      <c r="S432" s="35" t="str">
        <f t="shared" si="33"/>
        <v>是</v>
      </c>
      <c r="T432" s="36">
        <f>IFERROR(VLOOKUP(A432,滿意度調查!$B$4:$D$570,3,FALSE),"")</f>
        <v>4</v>
      </c>
      <c r="U432" s="35" t="str">
        <f t="shared" si="34"/>
        <v>2026-05</v>
      </c>
      <c r="V432" s="38">
        <f>IF(J432="已結案",0,(使用說明!$B$7-B432)*24)</f>
        <v>0</v>
      </c>
    </row>
    <row r="433" spans="1:22">
      <c r="A433" s="32" t="s">
        <v>937</v>
      </c>
      <c r="B433" s="33">
        <v>46168.393750000003</v>
      </c>
      <c r="C433" s="34" t="s">
        <v>607</v>
      </c>
      <c r="D433" s="34" t="s">
        <v>240</v>
      </c>
      <c r="E433" s="34" t="s">
        <v>211</v>
      </c>
      <c r="F433" s="34" t="s">
        <v>226</v>
      </c>
      <c r="G433" s="34" t="s">
        <v>213</v>
      </c>
      <c r="H433" s="34" t="s">
        <v>328</v>
      </c>
      <c r="I433" s="35" t="str">
        <f>VLOOKUP(H433,人員與團隊!$A$4:$D$27,3,FALSE)</f>
        <v>北區服務</v>
      </c>
      <c r="J433" s="34" t="s">
        <v>215</v>
      </c>
      <c r="K433" s="33">
        <v>46168.619444444441</v>
      </c>
      <c r="L433" s="33">
        <v>46168.595662581021</v>
      </c>
      <c r="M433" s="36">
        <f t="shared" si="30"/>
        <v>324.99999999068677</v>
      </c>
      <c r="N433" s="37">
        <f t="shared" si="31"/>
        <v>4.8459019444417208</v>
      </c>
      <c r="O433" s="36">
        <f>VLOOKUP(G433,SLA標準!$A$4:$C$7,2,FALSE)</f>
        <v>480</v>
      </c>
      <c r="P433" s="37">
        <f>VLOOKUP(G433,SLA標準!$A$4:$C$7,3,FALSE)</f>
        <v>48</v>
      </c>
      <c r="Q433" s="35" t="str">
        <f t="shared" si="32"/>
        <v>達標</v>
      </c>
      <c r="R433" s="34" t="s">
        <v>47</v>
      </c>
      <c r="S433" s="35" t="str">
        <f t="shared" si="33"/>
        <v>否</v>
      </c>
      <c r="T433" s="36" t="str">
        <f>IFERROR(VLOOKUP(A433,滿意度調查!$B$4:$D$570,3,FALSE),"")</f>
        <v/>
      </c>
      <c r="U433" s="35" t="str">
        <f t="shared" si="34"/>
        <v>2026-05</v>
      </c>
      <c r="V433" s="38">
        <f>IF(J433="已結案",0,(使用說明!$B$7-B433)*24)</f>
        <v>0</v>
      </c>
    </row>
    <row r="434" spans="1:22">
      <c r="A434" s="32" t="s">
        <v>938</v>
      </c>
      <c r="B434" s="33">
        <v>46168.468055555553</v>
      </c>
      <c r="C434" s="34" t="s">
        <v>336</v>
      </c>
      <c r="D434" s="34" t="s">
        <v>225</v>
      </c>
      <c r="E434" s="34" t="s">
        <v>235</v>
      </c>
      <c r="F434" s="34" t="s">
        <v>253</v>
      </c>
      <c r="G434" s="34" t="s">
        <v>213</v>
      </c>
      <c r="H434" s="34" t="s">
        <v>250</v>
      </c>
      <c r="I434" s="35" t="str">
        <f>VLOOKUP(H434,人員與團隊!$A$4:$D$27,3,FALSE)</f>
        <v>南區服務</v>
      </c>
      <c r="J434" s="34" t="s">
        <v>215</v>
      </c>
      <c r="K434" s="33">
        <v>46168.615277777775</v>
      </c>
      <c r="L434" s="33">
        <v>46169.250076643519</v>
      </c>
      <c r="M434" s="36">
        <f t="shared" si="30"/>
        <v>211.99999999953434</v>
      </c>
      <c r="N434" s="37">
        <f t="shared" si="31"/>
        <v>18.7685061111697</v>
      </c>
      <c r="O434" s="36">
        <f>VLOOKUP(G434,SLA標準!$A$4:$C$7,2,FALSE)</f>
        <v>480</v>
      </c>
      <c r="P434" s="37">
        <f>VLOOKUP(G434,SLA標準!$A$4:$C$7,3,FALSE)</f>
        <v>48</v>
      </c>
      <c r="Q434" s="35" t="str">
        <f t="shared" si="32"/>
        <v>達標</v>
      </c>
      <c r="R434" s="34" t="s">
        <v>47</v>
      </c>
      <c r="S434" s="35" t="str">
        <f t="shared" si="33"/>
        <v>是</v>
      </c>
      <c r="T434" s="36">
        <f>IFERROR(VLOOKUP(A434,滿意度調查!$B$4:$D$570,3,FALSE),"")</f>
        <v>5</v>
      </c>
      <c r="U434" s="35" t="str">
        <f t="shared" si="34"/>
        <v>2026-05</v>
      </c>
      <c r="V434" s="38">
        <f>IF(J434="已結案",0,(使用說明!$B$7-B434)*24)</f>
        <v>0</v>
      </c>
    </row>
    <row r="435" spans="1:22">
      <c r="A435" s="32" t="s">
        <v>939</v>
      </c>
      <c r="B435" s="33">
        <v>46168.477083333331</v>
      </c>
      <c r="C435" s="34" t="s">
        <v>940</v>
      </c>
      <c r="D435" s="34" t="s">
        <v>210</v>
      </c>
      <c r="E435" s="34" t="s">
        <v>235</v>
      </c>
      <c r="F435" s="34" t="s">
        <v>298</v>
      </c>
      <c r="G435" s="34" t="s">
        <v>213</v>
      </c>
      <c r="H435" s="34" t="s">
        <v>305</v>
      </c>
      <c r="I435" s="35" t="str">
        <f>VLOOKUP(H435,人員與團隊!$A$4:$D$27,3,FALSE)</f>
        <v>線上服務</v>
      </c>
      <c r="J435" s="34" t="s">
        <v>215</v>
      </c>
      <c r="K435" s="33">
        <v>46168.603472222225</v>
      </c>
      <c r="L435" s="33">
        <v>46168.898167881947</v>
      </c>
      <c r="M435" s="36">
        <f t="shared" si="30"/>
        <v>182.00000000651926</v>
      </c>
      <c r="N435" s="37">
        <f t="shared" si="31"/>
        <v>10.106029166781809</v>
      </c>
      <c r="O435" s="36">
        <f>VLOOKUP(G435,SLA標準!$A$4:$C$7,2,FALSE)</f>
        <v>480</v>
      </c>
      <c r="P435" s="37">
        <f>VLOOKUP(G435,SLA標準!$A$4:$C$7,3,FALSE)</f>
        <v>48</v>
      </c>
      <c r="Q435" s="35" t="str">
        <f t="shared" si="32"/>
        <v>達標</v>
      </c>
      <c r="R435" s="34" t="s">
        <v>47</v>
      </c>
      <c r="S435" s="35" t="str">
        <f t="shared" si="33"/>
        <v>是</v>
      </c>
      <c r="T435" s="36">
        <f>IFERROR(VLOOKUP(A435,滿意度調查!$B$4:$D$570,3,FALSE),"")</f>
        <v>5</v>
      </c>
      <c r="U435" s="35" t="str">
        <f t="shared" si="34"/>
        <v>2026-05</v>
      </c>
      <c r="V435" s="38">
        <f>IF(J435="已結案",0,(使用說明!$B$7-B435)*24)</f>
        <v>0</v>
      </c>
    </row>
    <row r="436" spans="1:22">
      <c r="A436" s="32" t="s">
        <v>941</v>
      </c>
      <c r="B436" s="33">
        <v>46168.526388888888</v>
      </c>
      <c r="C436" s="34" t="s">
        <v>835</v>
      </c>
      <c r="D436" s="34" t="s">
        <v>210</v>
      </c>
      <c r="E436" s="34" t="s">
        <v>235</v>
      </c>
      <c r="F436" s="34" t="s">
        <v>298</v>
      </c>
      <c r="G436" s="34" t="s">
        <v>242</v>
      </c>
      <c r="H436" s="34" t="s">
        <v>381</v>
      </c>
      <c r="I436" s="35" t="str">
        <f>VLOOKUP(H436,人員與團隊!$A$4:$D$27,3,FALSE)</f>
        <v>線上服務</v>
      </c>
      <c r="J436" s="34" t="s">
        <v>215</v>
      </c>
      <c r="K436" s="33">
        <v>46168.604166666664</v>
      </c>
      <c r="L436" s="33">
        <v>46169.211752835647</v>
      </c>
      <c r="M436" s="36">
        <f t="shared" si="30"/>
        <v>111.99999999837019</v>
      </c>
      <c r="N436" s="37">
        <f t="shared" si="31"/>
        <v>16.448734722216614</v>
      </c>
      <c r="O436" s="36">
        <f>VLOOKUP(G436,SLA標準!$A$4:$C$7,2,FALSE)</f>
        <v>240</v>
      </c>
      <c r="P436" s="37">
        <f>VLOOKUP(G436,SLA標準!$A$4:$C$7,3,FALSE)</f>
        <v>24</v>
      </c>
      <c r="Q436" s="35" t="str">
        <f t="shared" si="32"/>
        <v>達標</v>
      </c>
      <c r="R436" s="34" t="s">
        <v>47</v>
      </c>
      <c r="S436" s="35" t="str">
        <f t="shared" si="33"/>
        <v>否</v>
      </c>
      <c r="T436" s="36" t="str">
        <f>IFERROR(VLOOKUP(A436,滿意度調查!$B$4:$D$570,3,FALSE),"")</f>
        <v/>
      </c>
      <c r="U436" s="35" t="str">
        <f t="shared" si="34"/>
        <v>2026-05</v>
      </c>
      <c r="V436" s="38">
        <f>IF(J436="已結案",0,(使用說明!$B$7-B436)*24)</f>
        <v>0</v>
      </c>
    </row>
    <row r="437" spans="1:22">
      <c r="A437" s="32" t="s">
        <v>942</v>
      </c>
      <c r="B437" s="33">
        <v>46168.52847222222</v>
      </c>
      <c r="C437" s="34" t="s">
        <v>729</v>
      </c>
      <c r="D437" s="34" t="s">
        <v>225</v>
      </c>
      <c r="E437" s="34" t="s">
        <v>230</v>
      </c>
      <c r="F437" s="34" t="s">
        <v>320</v>
      </c>
      <c r="G437" s="34" t="s">
        <v>242</v>
      </c>
      <c r="H437" s="34" t="s">
        <v>262</v>
      </c>
      <c r="I437" s="35" t="str">
        <f>VLOOKUP(H437,人員與團隊!$A$4:$D$27,3,FALSE)</f>
        <v>南區服務</v>
      </c>
      <c r="J437" s="34" t="s">
        <v>356</v>
      </c>
      <c r="K437" s="33">
        <v>46168.669444444444</v>
      </c>
      <c r="L437" s="33"/>
      <c r="M437" s="36">
        <f t="shared" si="30"/>
        <v>203.00000000162981</v>
      </c>
      <c r="N437" s="37" t="str">
        <f t="shared" si="31"/>
        <v/>
      </c>
      <c r="O437" s="36">
        <f>VLOOKUP(G437,SLA標準!$A$4:$C$7,2,FALSE)</f>
        <v>240</v>
      </c>
      <c r="P437" s="37">
        <f>VLOOKUP(G437,SLA標準!$A$4:$C$7,3,FALSE)</f>
        <v>24</v>
      </c>
      <c r="Q437" s="35" t="str">
        <f t="shared" si="32"/>
        <v>逾期</v>
      </c>
      <c r="R437" s="34" t="s">
        <v>47</v>
      </c>
      <c r="S437" s="35" t="str">
        <f t="shared" si="33"/>
        <v>否</v>
      </c>
      <c r="T437" s="36" t="str">
        <f>IFERROR(VLOOKUP(A437,滿意度調查!$B$4:$D$570,3,FALSE),"")</f>
        <v/>
      </c>
      <c r="U437" s="35" t="str">
        <f t="shared" si="34"/>
        <v>2026-05</v>
      </c>
      <c r="V437" s="38">
        <f>IF(J437="已結案",0,(使用說明!$B$7-B437)*24)</f>
        <v>860.31666666670935</v>
      </c>
    </row>
    <row r="438" spans="1:22">
      <c r="A438" s="32" t="s">
        <v>943</v>
      </c>
      <c r="B438" s="33">
        <v>46168.824999999997</v>
      </c>
      <c r="C438" s="34" t="s">
        <v>944</v>
      </c>
      <c r="D438" s="34" t="s">
        <v>225</v>
      </c>
      <c r="E438" s="34" t="s">
        <v>265</v>
      </c>
      <c r="F438" s="34" t="s">
        <v>304</v>
      </c>
      <c r="G438" s="34" t="s">
        <v>242</v>
      </c>
      <c r="H438" s="34" t="s">
        <v>222</v>
      </c>
      <c r="I438" s="35" t="str">
        <f>VLOOKUP(H438,人員與團隊!$A$4:$D$27,3,FALSE)</f>
        <v>北區服務</v>
      </c>
      <c r="J438" s="34" t="s">
        <v>215</v>
      </c>
      <c r="K438" s="33">
        <v>46168.934027777781</v>
      </c>
      <c r="L438" s="33">
        <v>46169.928547905096</v>
      </c>
      <c r="M438" s="36">
        <f t="shared" si="30"/>
        <v>157.00000000884756</v>
      </c>
      <c r="N438" s="37">
        <f t="shared" si="31"/>
        <v>26.485149722371716</v>
      </c>
      <c r="O438" s="36">
        <f>VLOOKUP(G438,SLA標準!$A$4:$C$7,2,FALSE)</f>
        <v>240</v>
      </c>
      <c r="P438" s="37">
        <f>VLOOKUP(G438,SLA標準!$A$4:$C$7,3,FALSE)</f>
        <v>24</v>
      </c>
      <c r="Q438" s="35" t="str">
        <f t="shared" si="32"/>
        <v>逾期</v>
      </c>
      <c r="R438" s="34" t="s">
        <v>47</v>
      </c>
      <c r="S438" s="35" t="str">
        <f t="shared" si="33"/>
        <v>是</v>
      </c>
      <c r="T438" s="36">
        <f>IFERROR(VLOOKUP(A438,滿意度調查!$B$4:$D$570,3,FALSE),"")</f>
        <v>3</v>
      </c>
      <c r="U438" s="35" t="str">
        <f t="shared" si="34"/>
        <v>2026-05</v>
      </c>
      <c r="V438" s="38">
        <f>IF(J438="已結案",0,(使用說明!$B$7-B438)*24)</f>
        <v>0</v>
      </c>
    </row>
    <row r="439" spans="1:22">
      <c r="A439" s="32" t="s">
        <v>945</v>
      </c>
      <c r="B439" s="33">
        <v>46168.836111111108</v>
      </c>
      <c r="C439" s="34" t="s">
        <v>720</v>
      </c>
      <c r="D439" s="34" t="s">
        <v>210</v>
      </c>
      <c r="E439" s="34" t="s">
        <v>265</v>
      </c>
      <c r="F439" s="34" t="s">
        <v>479</v>
      </c>
      <c r="G439" s="34" t="s">
        <v>213</v>
      </c>
      <c r="H439" s="34" t="s">
        <v>381</v>
      </c>
      <c r="I439" s="35" t="str">
        <f>VLOOKUP(H439,人員與團隊!$A$4:$D$27,3,FALSE)</f>
        <v>線上服務</v>
      </c>
      <c r="J439" s="34" t="s">
        <v>215</v>
      </c>
      <c r="K439" s="33">
        <v>46169.009027777778</v>
      </c>
      <c r="L439" s="33">
        <v>46169.88274734954</v>
      </c>
      <c r="M439" s="36">
        <f t="shared" si="30"/>
        <v>249.00000000488944</v>
      </c>
      <c r="N439" s="37">
        <f t="shared" si="31"/>
        <v>25.119269722374156</v>
      </c>
      <c r="O439" s="36">
        <f>VLOOKUP(G439,SLA標準!$A$4:$C$7,2,FALSE)</f>
        <v>480</v>
      </c>
      <c r="P439" s="37">
        <f>VLOOKUP(G439,SLA標準!$A$4:$C$7,3,FALSE)</f>
        <v>48</v>
      </c>
      <c r="Q439" s="35" t="str">
        <f t="shared" si="32"/>
        <v>達標</v>
      </c>
      <c r="R439" s="34" t="s">
        <v>47</v>
      </c>
      <c r="S439" s="35" t="str">
        <f t="shared" si="33"/>
        <v>否</v>
      </c>
      <c r="T439" s="36" t="str">
        <f>IFERROR(VLOOKUP(A439,滿意度調查!$B$4:$D$570,3,FALSE),"")</f>
        <v/>
      </c>
      <c r="U439" s="35" t="str">
        <f t="shared" si="34"/>
        <v>2026-05</v>
      </c>
      <c r="V439" s="38">
        <f>IF(J439="已結案",0,(使用說明!$B$7-B439)*24)</f>
        <v>0</v>
      </c>
    </row>
    <row r="440" spans="1:22">
      <c r="A440" s="32" t="s">
        <v>946</v>
      </c>
      <c r="B440" s="33">
        <v>46169.551388888889</v>
      </c>
      <c r="C440" s="34" t="s">
        <v>947</v>
      </c>
      <c r="D440" s="34" t="s">
        <v>218</v>
      </c>
      <c r="E440" s="34" t="s">
        <v>219</v>
      </c>
      <c r="F440" s="34" t="s">
        <v>249</v>
      </c>
      <c r="G440" s="34" t="s">
        <v>221</v>
      </c>
      <c r="H440" s="34" t="s">
        <v>325</v>
      </c>
      <c r="I440" s="35" t="str">
        <f>VLOOKUP(H440,人員與團隊!$A$4:$D$27,3,FALSE)</f>
        <v>線上服務</v>
      </c>
      <c r="J440" s="34" t="s">
        <v>356</v>
      </c>
      <c r="K440" s="33">
        <v>46169.606249999997</v>
      </c>
      <c r="L440" s="33"/>
      <c r="M440" s="36">
        <f t="shared" si="30"/>
        <v>78.999999995576218</v>
      </c>
      <c r="N440" s="37" t="str">
        <f t="shared" si="31"/>
        <v/>
      </c>
      <c r="O440" s="36">
        <f>VLOOKUP(G440,SLA標準!$A$4:$C$7,2,FALSE)</f>
        <v>60</v>
      </c>
      <c r="P440" s="37">
        <f>VLOOKUP(G440,SLA標準!$A$4:$C$7,3,FALSE)</f>
        <v>8</v>
      </c>
      <c r="Q440" s="35" t="str">
        <f t="shared" si="32"/>
        <v>逾期</v>
      </c>
      <c r="R440" s="34" t="s">
        <v>47</v>
      </c>
      <c r="S440" s="35" t="str">
        <f t="shared" si="33"/>
        <v>否</v>
      </c>
      <c r="T440" s="36" t="str">
        <f>IFERROR(VLOOKUP(A440,滿意度調查!$B$4:$D$570,3,FALSE),"")</f>
        <v/>
      </c>
      <c r="U440" s="35" t="str">
        <f t="shared" si="34"/>
        <v>2026-05</v>
      </c>
      <c r="V440" s="38">
        <f>IF(J440="已結案",0,(使用說明!$B$7-B440)*24)</f>
        <v>835.76666666666279</v>
      </c>
    </row>
    <row r="441" spans="1:22">
      <c r="A441" s="32" t="s">
        <v>948</v>
      </c>
      <c r="B441" s="33">
        <v>46169.561111111114</v>
      </c>
      <c r="C441" s="34" t="s">
        <v>905</v>
      </c>
      <c r="D441" s="34" t="s">
        <v>210</v>
      </c>
      <c r="E441" s="34" t="s">
        <v>230</v>
      </c>
      <c r="F441" s="34" t="s">
        <v>339</v>
      </c>
      <c r="G441" s="34" t="s">
        <v>242</v>
      </c>
      <c r="H441" s="34" t="s">
        <v>310</v>
      </c>
      <c r="I441" s="35" t="str">
        <f>VLOOKUP(H441,人員與團隊!$A$4:$D$27,3,FALSE)</f>
        <v>線上服務</v>
      </c>
      <c r="J441" s="34" t="s">
        <v>215</v>
      </c>
      <c r="K441" s="33">
        <v>46169.621527777781</v>
      </c>
      <c r="L441" s="33">
        <v>46170.433792754629</v>
      </c>
      <c r="M441" s="36">
        <f t="shared" si="30"/>
        <v>87.000000000698492</v>
      </c>
      <c r="N441" s="37">
        <f t="shared" si="31"/>
        <v>20.944359444372822</v>
      </c>
      <c r="O441" s="36">
        <f>VLOOKUP(G441,SLA標準!$A$4:$C$7,2,FALSE)</f>
        <v>240</v>
      </c>
      <c r="P441" s="37">
        <f>VLOOKUP(G441,SLA標準!$A$4:$C$7,3,FALSE)</f>
        <v>24</v>
      </c>
      <c r="Q441" s="35" t="str">
        <f t="shared" si="32"/>
        <v>達標</v>
      </c>
      <c r="R441" s="34" t="s">
        <v>47</v>
      </c>
      <c r="S441" s="35" t="str">
        <f t="shared" si="33"/>
        <v>是</v>
      </c>
      <c r="T441" s="36">
        <f>IFERROR(VLOOKUP(A441,滿意度調查!$B$4:$D$570,3,FALSE),"")</f>
        <v>5</v>
      </c>
      <c r="U441" s="35" t="str">
        <f t="shared" si="34"/>
        <v>2026-05</v>
      </c>
      <c r="V441" s="38">
        <f>IF(J441="已結案",0,(使用說明!$B$7-B441)*24)</f>
        <v>0</v>
      </c>
    </row>
    <row r="442" spans="1:22">
      <c r="A442" s="32" t="s">
        <v>949</v>
      </c>
      <c r="B442" s="33">
        <v>46169.589583333334</v>
      </c>
      <c r="C442" s="34" t="s">
        <v>378</v>
      </c>
      <c r="D442" s="34" t="s">
        <v>240</v>
      </c>
      <c r="E442" s="34" t="s">
        <v>230</v>
      </c>
      <c r="F442" s="34" t="s">
        <v>231</v>
      </c>
      <c r="G442" s="34" t="s">
        <v>221</v>
      </c>
      <c r="H442" s="34" t="s">
        <v>237</v>
      </c>
      <c r="I442" s="35" t="str">
        <f>VLOOKUP(H442,人員與團隊!$A$4:$D$27,3,FALSE)</f>
        <v>北區服務</v>
      </c>
      <c r="J442" s="34" t="s">
        <v>215</v>
      </c>
      <c r="K442" s="33">
        <v>46169.65</v>
      </c>
      <c r="L442" s="33">
        <v>46170.020628530096</v>
      </c>
      <c r="M442" s="36">
        <f t="shared" si="30"/>
        <v>87.000000000698492</v>
      </c>
      <c r="N442" s="37">
        <f t="shared" si="31"/>
        <v>10.345084722270258</v>
      </c>
      <c r="O442" s="36">
        <f>VLOOKUP(G442,SLA標準!$A$4:$C$7,2,FALSE)</f>
        <v>60</v>
      </c>
      <c r="P442" s="37">
        <f>VLOOKUP(G442,SLA標準!$A$4:$C$7,3,FALSE)</f>
        <v>8</v>
      </c>
      <c r="Q442" s="35" t="str">
        <f t="shared" si="32"/>
        <v>逾期</v>
      </c>
      <c r="R442" s="34" t="s">
        <v>47</v>
      </c>
      <c r="S442" s="35" t="str">
        <f t="shared" si="33"/>
        <v>是</v>
      </c>
      <c r="T442" s="36">
        <f>IFERROR(VLOOKUP(A442,滿意度調查!$B$4:$D$570,3,FALSE),"")</f>
        <v>3</v>
      </c>
      <c r="U442" s="35" t="str">
        <f t="shared" si="34"/>
        <v>2026-05</v>
      </c>
      <c r="V442" s="38">
        <f>IF(J442="已結案",0,(使用說明!$B$7-B442)*24)</f>
        <v>0</v>
      </c>
    </row>
    <row r="443" spans="1:22">
      <c r="A443" s="32" t="s">
        <v>950</v>
      </c>
      <c r="B443" s="33">
        <v>46169.675000000003</v>
      </c>
      <c r="C443" s="34" t="s">
        <v>951</v>
      </c>
      <c r="D443" s="34" t="s">
        <v>218</v>
      </c>
      <c r="E443" s="34" t="s">
        <v>265</v>
      </c>
      <c r="F443" s="34" t="s">
        <v>304</v>
      </c>
      <c r="G443" s="34" t="s">
        <v>350</v>
      </c>
      <c r="H443" s="34" t="s">
        <v>250</v>
      </c>
      <c r="I443" s="35" t="str">
        <f>VLOOKUP(H443,人員與團隊!$A$4:$D$27,3,FALSE)</f>
        <v>南區服務</v>
      </c>
      <c r="J443" s="34" t="s">
        <v>215</v>
      </c>
      <c r="K443" s="33">
        <v>46169.69027777778</v>
      </c>
      <c r="L443" s="33">
        <v>46170.268298495372</v>
      </c>
      <c r="M443" s="36">
        <f t="shared" si="30"/>
        <v>21.999999998370185</v>
      </c>
      <c r="N443" s="37">
        <f t="shared" si="31"/>
        <v>14.239163888851181</v>
      </c>
      <c r="O443" s="36">
        <f>VLOOKUP(G443,SLA標準!$A$4:$C$7,2,FALSE)</f>
        <v>30</v>
      </c>
      <c r="P443" s="37">
        <f>VLOOKUP(G443,SLA標準!$A$4:$C$7,3,FALSE)</f>
        <v>4</v>
      </c>
      <c r="Q443" s="35" t="str">
        <f t="shared" si="32"/>
        <v>逾期</v>
      </c>
      <c r="R443" s="34" t="s">
        <v>47</v>
      </c>
      <c r="S443" s="35" t="str">
        <f t="shared" si="33"/>
        <v>否</v>
      </c>
      <c r="T443" s="36" t="str">
        <f>IFERROR(VLOOKUP(A443,滿意度調查!$B$4:$D$570,3,FALSE),"")</f>
        <v/>
      </c>
      <c r="U443" s="35" t="str">
        <f t="shared" si="34"/>
        <v>2026-05</v>
      </c>
      <c r="V443" s="38">
        <f>IF(J443="已結案",0,(使用說明!$B$7-B443)*24)</f>
        <v>0</v>
      </c>
    </row>
    <row r="444" spans="1:22">
      <c r="A444" s="32" t="s">
        <v>952</v>
      </c>
      <c r="B444" s="33">
        <v>46169.719444444447</v>
      </c>
      <c r="C444" s="34" t="s">
        <v>441</v>
      </c>
      <c r="D444" s="34" t="s">
        <v>210</v>
      </c>
      <c r="E444" s="34" t="s">
        <v>219</v>
      </c>
      <c r="F444" s="34" t="s">
        <v>249</v>
      </c>
      <c r="G444" s="34" t="s">
        <v>213</v>
      </c>
      <c r="H444" s="34" t="s">
        <v>381</v>
      </c>
      <c r="I444" s="35" t="str">
        <f>VLOOKUP(H444,人員與團隊!$A$4:$D$27,3,FALSE)</f>
        <v>線上服務</v>
      </c>
      <c r="J444" s="34" t="s">
        <v>215</v>
      </c>
      <c r="K444" s="33">
        <v>46169.80972222222</v>
      </c>
      <c r="L444" s="33">
        <v>46170.431262094906</v>
      </c>
      <c r="M444" s="36">
        <f t="shared" si="30"/>
        <v>129.99999999417923</v>
      </c>
      <c r="N444" s="37">
        <f t="shared" si="31"/>
        <v>17.083623611018993</v>
      </c>
      <c r="O444" s="36">
        <f>VLOOKUP(G444,SLA標準!$A$4:$C$7,2,FALSE)</f>
        <v>480</v>
      </c>
      <c r="P444" s="37">
        <f>VLOOKUP(G444,SLA標準!$A$4:$C$7,3,FALSE)</f>
        <v>48</v>
      </c>
      <c r="Q444" s="35" t="str">
        <f t="shared" si="32"/>
        <v>達標</v>
      </c>
      <c r="R444" s="34" t="s">
        <v>47</v>
      </c>
      <c r="S444" s="35" t="str">
        <f t="shared" si="33"/>
        <v>否</v>
      </c>
      <c r="T444" s="36" t="str">
        <f>IFERROR(VLOOKUP(A444,滿意度調查!$B$4:$D$570,3,FALSE),"")</f>
        <v/>
      </c>
      <c r="U444" s="35" t="str">
        <f t="shared" si="34"/>
        <v>2026-05</v>
      </c>
      <c r="V444" s="38">
        <f>IF(J444="已結案",0,(使用說明!$B$7-B444)*24)</f>
        <v>0</v>
      </c>
    </row>
    <row r="445" spans="1:22">
      <c r="A445" s="32" t="s">
        <v>953</v>
      </c>
      <c r="B445" s="33">
        <v>46169.745138888888</v>
      </c>
      <c r="C445" s="34" t="s">
        <v>281</v>
      </c>
      <c r="D445" s="34" t="s">
        <v>225</v>
      </c>
      <c r="E445" s="34" t="s">
        <v>230</v>
      </c>
      <c r="F445" s="34" t="s">
        <v>231</v>
      </c>
      <c r="G445" s="34" t="s">
        <v>221</v>
      </c>
      <c r="H445" s="34" t="s">
        <v>232</v>
      </c>
      <c r="I445" s="35" t="str">
        <f>VLOOKUP(H445,人員與團隊!$A$4:$D$27,3,FALSE)</f>
        <v>北區服務</v>
      </c>
      <c r="J445" s="34" t="s">
        <v>215</v>
      </c>
      <c r="K445" s="33">
        <v>46169.762499999997</v>
      </c>
      <c r="L445" s="33">
        <v>46170.141830081018</v>
      </c>
      <c r="M445" s="36">
        <f t="shared" si="30"/>
        <v>24.999999997671694</v>
      </c>
      <c r="N445" s="37">
        <f t="shared" si="31"/>
        <v>9.5205886111361906</v>
      </c>
      <c r="O445" s="36">
        <f>VLOOKUP(G445,SLA標準!$A$4:$C$7,2,FALSE)</f>
        <v>60</v>
      </c>
      <c r="P445" s="37">
        <f>VLOOKUP(G445,SLA標準!$A$4:$C$7,3,FALSE)</f>
        <v>8</v>
      </c>
      <c r="Q445" s="35" t="str">
        <f t="shared" si="32"/>
        <v>逾期</v>
      </c>
      <c r="R445" s="34" t="s">
        <v>47</v>
      </c>
      <c r="S445" s="35" t="str">
        <f t="shared" si="33"/>
        <v>否</v>
      </c>
      <c r="T445" s="36" t="str">
        <f>IFERROR(VLOOKUP(A445,滿意度調查!$B$4:$D$570,3,FALSE),"")</f>
        <v/>
      </c>
      <c r="U445" s="35" t="str">
        <f t="shared" si="34"/>
        <v>2026-05</v>
      </c>
      <c r="V445" s="38">
        <f>IF(J445="已結案",0,(使用說明!$B$7-B445)*24)</f>
        <v>0</v>
      </c>
    </row>
    <row r="446" spans="1:22">
      <c r="A446" s="32" t="s">
        <v>954</v>
      </c>
      <c r="B446" s="33">
        <v>46169.837500000001</v>
      </c>
      <c r="C446" s="34" t="s">
        <v>447</v>
      </c>
      <c r="D446" s="34" t="s">
        <v>218</v>
      </c>
      <c r="E446" s="34" t="s">
        <v>265</v>
      </c>
      <c r="F446" s="34" t="s">
        <v>479</v>
      </c>
      <c r="G446" s="34" t="s">
        <v>242</v>
      </c>
      <c r="H446" s="34" t="s">
        <v>250</v>
      </c>
      <c r="I446" s="35" t="str">
        <f>VLOOKUP(H446,人員與團隊!$A$4:$D$27,3,FALSE)</f>
        <v>南區服務</v>
      </c>
      <c r="J446" s="34" t="s">
        <v>215</v>
      </c>
      <c r="K446" s="33">
        <v>46169.974999999999</v>
      </c>
      <c r="L446" s="33">
        <v>46170.8074543287</v>
      </c>
      <c r="M446" s="36">
        <f t="shared" si="30"/>
        <v>197.99999999580905</v>
      </c>
      <c r="N446" s="37">
        <f t="shared" si="31"/>
        <v>23.27890388877131</v>
      </c>
      <c r="O446" s="36">
        <f>VLOOKUP(G446,SLA標準!$A$4:$C$7,2,FALSE)</f>
        <v>240</v>
      </c>
      <c r="P446" s="37">
        <f>VLOOKUP(G446,SLA標準!$A$4:$C$7,3,FALSE)</f>
        <v>24</v>
      </c>
      <c r="Q446" s="35" t="str">
        <f t="shared" si="32"/>
        <v>達標</v>
      </c>
      <c r="R446" s="34" t="s">
        <v>47</v>
      </c>
      <c r="S446" s="35" t="str">
        <f t="shared" si="33"/>
        <v>是</v>
      </c>
      <c r="T446" s="36">
        <f>IFERROR(VLOOKUP(A446,滿意度調查!$B$4:$D$570,3,FALSE),"")</f>
        <v>5</v>
      </c>
      <c r="U446" s="35" t="str">
        <f t="shared" si="34"/>
        <v>2026-05</v>
      </c>
      <c r="V446" s="38">
        <f>IF(J446="已結案",0,(使用說明!$B$7-B446)*24)</f>
        <v>0</v>
      </c>
    </row>
    <row r="447" spans="1:22">
      <c r="A447" s="32" t="s">
        <v>955</v>
      </c>
      <c r="B447" s="33">
        <v>46170.414583333331</v>
      </c>
      <c r="C447" s="34" t="s">
        <v>515</v>
      </c>
      <c r="D447" s="34" t="s">
        <v>218</v>
      </c>
      <c r="E447" s="34" t="s">
        <v>219</v>
      </c>
      <c r="F447" s="34" t="s">
        <v>220</v>
      </c>
      <c r="G447" s="34" t="s">
        <v>242</v>
      </c>
      <c r="H447" s="34" t="s">
        <v>227</v>
      </c>
      <c r="I447" s="35" t="str">
        <f>VLOOKUP(H447,人員與團隊!$A$4:$D$27,3,FALSE)</f>
        <v>北區服務</v>
      </c>
      <c r="J447" s="34" t="s">
        <v>215</v>
      </c>
      <c r="K447" s="33">
        <v>46170.672222222223</v>
      </c>
      <c r="L447" s="33">
        <v>46170.827034317132</v>
      </c>
      <c r="M447" s="36">
        <f t="shared" si="30"/>
        <v>371.00000000442378</v>
      </c>
      <c r="N447" s="37">
        <f t="shared" si="31"/>
        <v>9.8988236112054437</v>
      </c>
      <c r="O447" s="36">
        <f>VLOOKUP(G447,SLA標準!$A$4:$C$7,2,FALSE)</f>
        <v>240</v>
      </c>
      <c r="P447" s="37">
        <f>VLOOKUP(G447,SLA標準!$A$4:$C$7,3,FALSE)</f>
        <v>24</v>
      </c>
      <c r="Q447" s="35" t="str">
        <f t="shared" si="32"/>
        <v>逾期</v>
      </c>
      <c r="R447" s="34" t="s">
        <v>47</v>
      </c>
      <c r="S447" s="35" t="str">
        <f t="shared" si="33"/>
        <v>是</v>
      </c>
      <c r="T447" s="36">
        <f>IFERROR(VLOOKUP(A447,滿意度調查!$B$4:$D$570,3,FALSE),"")</f>
        <v>4</v>
      </c>
      <c r="U447" s="35" t="str">
        <f t="shared" si="34"/>
        <v>2026-05</v>
      </c>
      <c r="V447" s="38">
        <f>IF(J447="已結案",0,(使用說明!$B$7-B447)*24)</f>
        <v>0</v>
      </c>
    </row>
    <row r="448" spans="1:22">
      <c r="A448" s="32" t="s">
        <v>956</v>
      </c>
      <c r="B448" s="33">
        <v>46170.486805555556</v>
      </c>
      <c r="C448" s="34" t="s">
        <v>438</v>
      </c>
      <c r="D448" s="34" t="s">
        <v>225</v>
      </c>
      <c r="E448" s="34" t="s">
        <v>211</v>
      </c>
      <c r="F448" s="34" t="s">
        <v>226</v>
      </c>
      <c r="G448" s="34" t="s">
        <v>242</v>
      </c>
      <c r="H448" s="34" t="s">
        <v>384</v>
      </c>
      <c r="I448" s="35" t="str">
        <f>VLOOKUP(H448,人員與團隊!$A$4:$D$27,3,FALSE)</f>
        <v>線上服務</v>
      </c>
      <c r="J448" s="34" t="s">
        <v>215</v>
      </c>
      <c r="K448" s="33">
        <v>46170.594444444447</v>
      </c>
      <c r="L448" s="33">
        <v>46170.645367291669</v>
      </c>
      <c r="M448" s="36">
        <f t="shared" si="30"/>
        <v>155.00000000232831</v>
      </c>
      <c r="N448" s="37">
        <f t="shared" si="31"/>
        <v>3.8054816666990519</v>
      </c>
      <c r="O448" s="36">
        <f>VLOOKUP(G448,SLA標準!$A$4:$C$7,2,FALSE)</f>
        <v>240</v>
      </c>
      <c r="P448" s="37">
        <f>VLOOKUP(G448,SLA標準!$A$4:$C$7,3,FALSE)</f>
        <v>24</v>
      </c>
      <c r="Q448" s="35" t="str">
        <f t="shared" si="32"/>
        <v>達標</v>
      </c>
      <c r="R448" s="34" t="s">
        <v>41</v>
      </c>
      <c r="S448" s="35" t="str">
        <f t="shared" si="33"/>
        <v>是</v>
      </c>
      <c r="T448" s="36">
        <f>IFERROR(VLOOKUP(A448,滿意度調查!$B$4:$D$570,3,FALSE),"")</f>
        <v>4</v>
      </c>
      <c r="U448" s="35" t="str">
        <f t="shared" si="34"/>
        <v>2026-05</v>
      </c>
      <c r="V448" s="38">
        <f>IF(J448="已結案",0,(使用說明!$B$7-B448)*24)</f>
        <v>0</v>
      </c>
    </row>
    <row r="449" spans="1:22">
      <c r="A449" s="32" t="s">
        <v>957</v>
      </c>
      <c r="B449" s="33">
        <v>46170.590277777781</v>
      </c>
      <c r="C449" s="34" t="s">
        <v>711</v>
      </c>
      <c r="D449" s="34" t="s">
        <v>218</v>
      </c>
      <c r="E449" s="34" t="s">
        <v>219</v>
      </c>
      <c r="F449" s="34" t="s">
        <v>220</v>
      </c>
      <c r="G449" s="34" t="s">
        <v>242</v>
      </c>
      <c r="H449" s="34" t="s">
        <v>237</v>
      </c>
      <c r="I449" s="35" t="str">
        <f>VLOOKUP(H449,人員與團隊!$A$4:$D$27,3,FALSE)</f>
        <v>北區服務</v>
      </c>
      <c r="J449" s="34" t="s">
        <v>215</v>
      </c>
      <c r="K449" s="33">
        <v>46170.818055555559</v>
      </c>
      <c r="L449" s="33">
        <v>46171.295978159724</v>
      </c>
      <c r="M449" s="36">
        <f t="shared" si="30"/>
        <v>328.00000000046566</v>
      </c>
      <c r="N449" s="37">
        <f t="shared" si="31"/>
        <v>16.936809166625608</v>
      </c>
      <c r="O449" s="36">
        <f>VLOOKUP(G449,SLA標準!$A$4:$C$7,2,FALSE)</f>
        <v>240</v>
      </c>
      <c r="P449" s="37">
        <f>VLOOKUP(G449,SLA標準!$A$4:$C$7,3,FALSE)</f>
        <v>24</v>
      </c>
      <c r="Q449" s="35" t="str">
        <f t="shared" si="32"/>
        <v>逾期</v>
      </c>
      <c r="R449" s="34" t="s">
        <v>47</v>
      </c>
      <c r="S449" s="35" t="str">
        <f t="shared" si="33"/>
        <v>是</v>
      </c>
      <c r="T449" s="36">
        <f>IFERROR(VLOOKUP(A449,滿意度調查!$B$4:$D$570,3,FALSE),"")</f>
        <v>4</v>
      </c>
      <c r="U449" s="35" t="str">
        <f t="shared" si="34"/>
        <v>2026-05</v>
      </c>
      <c r="V449" s="38">
        <f>IF(J449="已結案",0,(使用說明!$B$7-B449)*24)</f>
        <v>0</v>
      </c>
    </row>
    <row r="450" spans="1:22">
      <c r="A450" s="32" t="s">
        <v>958</v>
      </c>
      <c r="B450" s="33">
        <v>46170.665277777778</v>
      </c>
      <c r="C450" s="34" t="s">
        <v>752</v>
      </c>
      <c r="D450" s="34" t="s">
        <v>218</v>
      </c>
      <c r="E450" s="34" t="s">
        <v>265</v>
      </c>
      <c r="F450" s="34" t="s">
        <v>301</v>
      </c>
      <c r="G450" s="34" t="s">
        <v>242</v>
      </c>
      <c r="H450" s="34" t="s">
        <v>227</v>
      </c>
      <c r="I450" s="35" t="str">
        <f>VLOOKUP(H450,人員與團隊!$A$4:$D$27,3,FALSE)</f>
        <v>北區服務</v>
      </c>
      <c r="J450" s="34" t="s">
        <v>215</v>
      </c>
      <c r="K450" s="33">
        <v>46170.882638888892</v>
      </c>
      <c r="L450" s="33">
        <v>46171.662505636574</v>
      </c>
      <c r="M450" s="36">
        <f t="shared" si="30"/>
        <v>313.00000000395812</v>
      </c>
      <c r="N450" s="37">
        <f t="shared" si="31"/>
        <v>23.933468611096032</v>
      </c>
      <c r="O450" s="36">
        <f>VLOOKUP(G450,SLA標準!$A$4:$C$7,2,FALSE)</f>
        <v>240</v>
      </c>
      <c r="P450" s="37">
        <f>VLOOKUP(G450,SLA標準!$A$4:$C$7,3,FALSE)</f>
        <v>24</v>
      </c>
      <c r="Q450" s="35" t="str">
        <f t="shared" si="32"/>
        <v>逾期</v>
      </c>
      <c r="R450" s="34" t="s">
        <v>47</v>
      </c>
      <c r="S450" s="35" t="str">
        <f t="shared" si="33"/>
        <v>是</v>
      </c>
      <c r="T450" s="36">
        <f>IFERROR(VLOOKUP(A450,滿意度調查!$B$4:$D$570,3,FALSE),"")</f>
        <v>4</v>
      </c>
      <c r="U450" s="35" t="str">
        <f t="shared" si="34"/>
        <v>2026-05</v>
      </c>
      <c r="V450" s="38">
        <f>IF(J450="已結案",0,(使用說明!$B$7-B450)*24)</f>
        <v>0</v>
      </c>
    </row>
    <row r="451" spans="1:22">
      <c r="A451" s="32" t="s">
        <v>959</v>
      </c>
      <c r="B451" s="33">
        <v>46170.684027777781</v>
      </c>
      <c r="C451" s="34" t="s">
        <v>425</v>
      </c>
      <c r="D451" s="34" t="s">
        <v>240</v>
      </c>
      <c r="E451" s="34" t="s">
        <v>211</v>
      </c>
      <c r="F451" s="34" t="s">
        <v>334</v>
      </c>
      <c r="G451" s="34" t="s">
        <v>213</v>
      </c>
      <c r="H451" s="34" t="s">
        <v>279</v>
      </c>
      <c r="I451" s="35" t="str">
        <f>VLOOKUP(H451,人員與團隊!$A$4:$D$27,3,FALSE)</f>
        <v>南區服務</v>
      </c>
      <c r="J451" s="34" t="s">
        <v>215</v>
      </c>
      <c r="K451" s="33">
        <v>46171.003472222219</v>
      </c>
      <c r="L451" s="33">
        <v>46170.939233668978</v>
      </c>
      <c r="M451" s="36">
        <f t="shared" si="30"/>
        <v>459.99999999068677</v>
      </c>
      <c r="N451" s="37">
        <f t="shared" si="31"/>
        <v>6.1249413887271658</v>
      </c>
      <c r="O451" s="36">
        <f>VLOOKUP(G451,SLA標準!$A$4:$C$7,2,FALSE)</f>
        <v>480</v>
      </c>
      <c r="P451" s="37">
        <f>VLOOKUP(G451,SLA標準!$A$4:$C$7,3,FALSE)</f>
        <v>48</v>
      </c>
      <c r="Q451" s="35" t="str">
        <f t="shared" si="32"/>
        <v>達標</v>
      </c>
      <c r="R451" s="34" t="s">
        <v>47</v>
      </c>
      <c r="S451" s="35" t="str">
        <f t="shared" si="33"/>
        <v>是</v>
      </c>
      <c r="T451" s="36">
        <f>IFERROR(VLOOKUP(A451,滿意度調查!$B$4:$D$570,3,FALSE),"")</f>
        <v>4</v>
      </c>
      <c r="U451" s="35" t="str">
        <f t="shared" si="34"/>
        <v>2026-05</v>
      </c>
      <c r="V451" s="38">
        <f>IF(J451="已結案",0,(使用說明!$B$7-B451)*24)</f>
        <v>0</v>
      </c>
    </row>
    <row r="452" spans="1:22">
      <c r="A452" s="32" t="s">
        <v>960</v>
      </c>
      <c r="B452" s="33">
        <v>46170.762499999997</v>
      </c>
      <c r="C452" s="34" t="s">
        <v>961</v>
      </c>
      <c r="D452" s="34" t="s">
        <v>210</v>
      </c>
      <c r="E452" s="34" t="s">
        <v>211</v>
      </c>
      <c r="F452" s="34" t="s">
        <v>226</v>
      </c>
      <c r="G452" s="34" t="s">
        <v>221</v>
      </c>
      <c r="H452" s="34" t="s">
        <v>310</v>
      </c>
      <c r="I452" s="35" t="str">
        <f>VLOOKUP(H452,人員與團隊!$A$4:$D$27,3,FALSE)</f>
        <v>線上服務</v>
      </c>
      <c r="J452" s="34" t="s">
        <v>215</v>
      </c>
      <c r="K452" s="33">
        <v>46170.775694444441</v>
      </c>
      <c r="L452" s="33">
        <v>46170.880868518521</v>
      </c>
      <c r="M452" s="36">
        <f t="shared" ref="M452:M515" si="35">IF(K452="","",(K452-B452)*1440)</f>
        <v>18.999999999068677</v>
      </c>
      <c r="N452" s="37">
        <f t="shared" ref="N452:N515" si="36">IF(L452="","",(L452-B452)*24)</f>
        <v>2.8408444445813075</v>
      </c>
      <c r="O452" s="36">
        <f>VLOOKUP(G452,SLA標準!$A$4:$C$7,2,FALSE)</f>
        <v>60</v>
      </c>
      <c r="P452" s="37">
        <f>VLOOKUP(G452,SLA標準!$A$4:$C$7,3,FALSE)</f>
        <v>8</v>
      </c>
      <c r="Q452" s="35" t="str">
        <f t="shared" ref="Q452:Q515" si="37">IF(J452="已結案",IF(AND(M452&lt;=O452,N452&lt;=P452),"達標","逾期"),IF(OR(M452&gt;O452,V452&gt;P452),"逾期","進行中"))</f>
        <v>達標</v>
      </c>
      <c r="R452" s="34" t="s">
        <v>47</v>
      </c>
      <c r="S452" s="35" t="str">
        <f t="shared" ref="S452:S515" si="38">IF(T452="","否","是")</f>
        <v>是</v>
      </c>
      <c r="T452" s="36">
        <f>IFERROR(VLOOKUP(A452,滿意度調查!$B$4:$D$570,3,FALSE),"")</f>
        <v>5</v>
      </c>
      <c r="U452" s="35" t="str">
        <f t="shared" ref="U452:U515" si="39">TEXT(B452,"yyyy-mm")</f>
        <v>2026-05</v>
      </c>
      <c r="V452" s="38">
        <f>IF(J452="已結案",0,(使用說明!$B$7-B452)*24)</f>
        <v>0</v>
      </c>
    </row>
    <row r="453" spans="1:22">
      <c r="A453" s="32" t="s">
        <v>962</v>
      </c>
      <c r="B453" s="33">
        <v>46171.361805555556</v>
      </c>
      <c r="C453" s="34" t="s">
        <v>771</v>
      </c>
      <c r="D453" s="34" t="s">
        <v>218</v>
      </c>
      <c r="E453" s="34" t="s">
        <v>235</v>
      </c>
      <c r="F453" s="34" t="s">
        <v>298</v>
      </c>
      <c r="G453" s="34" t="s">
        <v>242</v>
      </c>
      <c r="H453" s="34" t="s">
        <v>305</v>
      </c>
      <c r="I453" s="35" t="str">
        <f>VLOOKUP(H453,人員與團隊!$A$4:$D$27,3,FALSE)</f>
        <v>線上服務</v>
      </c>
      <c r="J453" s="34" t="s">
        <v>215</v>
      </c>
      <c r="K453" s="33">
        <v>46171.554861111108</v>
      </c>
      <c r="L453" s="33">
        <v>46171.895661006944</v>
      </c>
      <c r="M453" s="36">
        <f t="shared" si="35"/>
        <v>277.9999999946449</v>
      </c>
      <c r="N453" s="37">
        <f t="shared" si="36"/>
        <v>12.812530833296478</v>
      </c>
      <c r="O453" s="36">
        <f>VLOOKUP(G453,SLA標準!$A$4:$C$7,2,FALSE)</f>
        <v>240</v>
      </c>
      <c r="P453" s="37">
        <f>VLOOKUP(G453,SLA標準!$A$4:$C$7,3,FALSE)</f>
        <v>24</v>
      </c>
      <c r="Q453" s="35" t="str">
        <f t="shared" si="37"/>
        <v>逾期</v>
      </c>
      <c r="R453" s="34" t="s">
        <v>47</v>
      </c>
      <c r="S453" s="35" t="str">
        <f t="shared" si="38"/>
        <v>否</v>
      </c>
      <c r="T453" s="36" t="str">
        <f>IFERROR(VLOOKUP(A453,滿意度調查!$B$4:$D$570,3,FALSE),"")</f>
        <v/>
      </c>
      <c r="U453" s="35" t="str">
        <f t="shared" si="39"/>
        <v>2026-05</v>
      </c>
      <c r="V453" s="38">
        <f>IF(J453="已結案",0,(使用說明!$B$7-B453)*24)</f>
        <v>0</v>
      </c>
    </row>
    <row r="454" spans="1:22">
      <c r="A454" s="32" t="s">
        <v>963</v>
      </c>
      <c r="B454" s="33">
        <v>46171.40347222222</v>
      </c>
      <c r="C454" s="34" t="s">
        <v>964</v>
      </c>
      <c r="D454" s="34" t="s">
        <v>210</v>
      </c>
      <c r="E454" s="34" t="s">
        <v>211</v>
      </c>
      <c r="F454" s="34" t="s">
        <v>212</v>
      </c>
      <c r="G454" s="34" t="s">
        <v>350</v>
      </c>
      <c r="H454" s="34" t="s">
        <v>408</v>
      </c>
      <c r="I454" s="35" t="str">
        <f>VLOOKUP(H454,人員與團隊!$A$4:$D$27,3,FALSE)</f>
        <v>線上服務</v>
      </c>
      <c r="J454" s="34" t="s">
        <v>215</v>
      </c>
      <c r="K454" s="33">
        <v>46171.414583333331</v>
      </c>
      <c r="L454" s="33">
        <v>46171.463819907411</v>
      </c>
      <c r="M454" s="36">
        <f t="shared" si="35"/>
        <v>15.999999999767169</v>
      </c>
      <c r="N454" s="37">
        <f t="shared" si="36"/>
        <v>1.4483444445650093</v>
      </c>
      <c r="O454" s="36">
        <f>VLOOKUP(G454,SLA標準!$A$4:$C$7,2,FALSE)</f>
        <v>30</v>
      </c>
      <c r="P454" s="37">
        <f>VLOOKUP(G454,SLA標準!$A$4:$C$7,3,FALSE)</f>
        <v>4</v>
      </c>
      <c r="Q454" s="35" t="str">
        <f t="shared" si="37"/>
        <v>達標</v>
      </c>
      <c r="R454" s="34" t="s">
        <v>47</v>
      </c>
      <c r="S454" s="35" t="str">
        <f t="shared" si="38"/>
        <v>是</v>
      </c>
      <c r="T454" s="36">
        <f>IFERROR(VLOOKUP(A454,滿意度調查!$B$4:$D$570,3,FALSE),"")</f>
        <v>5</v>
      </c>
      <c r="U454" s="35" t="str">
        <f t="shared" si="39"/>
        <v>2026-05</v>
      </c>
      <c r="V454" s="38">
        <f>IF(J454="已結案",0,(使用說明!$B$7-B454)*24)</f>
        <v>0</v>
      </c>
    </row>
    <row r="455" spans="1:22">
      <c r="A455" s="32" t="s">
        <v>965</v>
      </c>
      <c r="B455" s="33">
        <v>46171.468055555553</v>
      </c>
      <c r="C455" s="34" t="s">
        <v>966</v>
      </c>
      <c r="D455" s="34" t="s">
        <v>210</v>
      </c>
      <c r="E455" s="34" t="s">
        <v>211</v>
      </c>
      <c r="F455" s="34" t="s">
        <v>331</v>
      </c>
      <c r="G455" s="34" t="s">
        <v>350</v>
      </c>
      <c r="H455" s="34" t="s">
        <v>274</v>
      </c>
      <c r="I455" s="35" t="str">
        <f>VLOOKUP(H455,人員與團隊!$A$4:$D$27,3,FALSE)</f>
        <v>南區服務</v>
      </c>
      <c r="J455" s="34" t="s">
        <v>215</v>
      </c>
      <c r="K455" s="33">
        <v>46171.477777777778</v>
      </c>
      <c r="L455" s="33">
        <v>46171.623537511572</v>
      </c>
      <c r="M455" s="36">
        <f t="shared" si="35"/>
        <v>14.00000000372529</v>
      </c>
      <c r="N455" s="37">
        <f t="shared" si="36"/>
        <v>3.7315669444506057</v>
      </c>
      <c r="O455" s="36">
        <f>VLOOKUP(G455,SLA標準!$A$4:$C$7,2,FALSE)</f>
        <v>30</v>
      </c>
      <c r="P455" s="37">
        <f>VLOOKUP(G455,SLA標準!$A$4:$C$7,3,FALSE)</f>
        <v>4</v>
      </c>
      <c r="Q455" s="35" t="str">
        <f t="shared" si="37"/>
        <v>達標</v>
      </c>
      <c r="R455" s="34" t="s">
        <v>41</v>
      </c>
      <c r="S455" s="35" t="str">
        <f t="shared" si="38"/>
        <v>是</v>
      </c>
      <c r="T455" s="36">
        <f>IFERROR(VLOOKUP(A455,滿意度調查!$B$4:$D$570,3,FALSE),"")</f>
        <v>4</v>
      </c>
      <c r="U455" s="35" t="str">
        <f t="shared" si="39"/>
        <v>2026-05</v>
      </c>
      <c r="V455" s="38">
        <f>IF(J455="已結案",0,(使用說明!$B$7-B455)*24)</f>
        <v>0</v>
      </c>
    </row>
    <row r="456" spans="1:22">
      <c r="A456" s="32" t="s">
        <v>967</v>
      </c>
      <c r="B456" s="33">
        <v>46171.588194444441</v>
      </c>
      <c r="C456" s="34" t="s">
        <v>968</v>
      </c>
      <c r="D456" s="34" t="s">
        <v>218</v>
      </c>
      <c r="E456" s="34" t="s">
        <v>235</v>
      </c>
      <c r="F456" s="34" t="s">
        <v>241</v>
      </c>
      <c r="G456" s="34" t="s">
        <v>242</v>
      </c>
      <c r="H456" s="34" t="s">
        <v>305</v>
      </c>
      <c r="I456" s="35" t="str">
        <f>VLOOKUP(H456,人員與團隊!$A$4:$D$27,3,FALSE)</f>
        <v>線上服務</v>
      </c>
      <c r="J456" s="34" t="s">
        <v>215</v>
      </c>
      <c r="K456" s="33">
        <v>46171.806250000001</v>
      </c>
      <c r="L456" s="33">
        <v>46172.186287013887</v>
      </c>
      <c r="M456" s="36">
        <f t="shared" si="35"/>
        <v>314.00000000721775</v>
      </c>
      <c r="N456" s="37">
        <f t="shared" si="36"/>
        <v>14.354221666697413</v>
      </c>
      <c r="O456" s="36">
        <f>VLOOKUP(G456,SLA標準!$A$4:$C$7,2,FALSE)</f>
        <v>240</v>
      </c>
      <c r="P456" s="37">
        <f>VLOOKUP(G456,SLA標準!$A$4:$C$7,3,FALSE)</f>
        <v>24</v>
      </c>
      <c r="Q456" s="35" t="str">
        <f t="shared" si="37"/>
        <v>逾期</v>
      </c>
      <c r="R456" s="34" t="s">
        <v>47</v>
      </c>
      <c r="S456" s="35" t="str">
        <f t="shared" si="38"/>
        <v>是</v>
      </c>
      <c r="T456" s="36">
        <f>IFERROR(VLOOKUP(A456,滿意度調查!$B$4:$D$570,3,FALSE),"")</f>
        <v>3</v>
      </c>
      <c r="U456" s="35" t="str">
        <f t="shared" si="39"/>
        <v>2026-05</v>
      </c>
      <c r="V456" s="38">
        <f>IF(J456="已結案",0,(使用說明!$B$7-B456)*24)</f>
        <v>0</v>
      </c>
    </row>
    <row r="457" spans="1:22">
      <c r="A457" s="32" t="s">
        <v>969</v>
      </c>
      <c r="B457" s="33">
        <v>46171.599305555559</v>
      </c>
      <c r="C457" s="34" t="s">
        <v>678</v>
      </c>
      <c r="D457" s="34" t="s">
        <v>225</v>
      </c>
      <c r="E457" s="34" t="s">
        <v>219</v>
      </c>
      <c r="F457" s="34" t="s">
        <v>220</v>
      </c>
      <c r="G457" s="34" t="s">
        <v>221</v>
      </c>
      <c r="H457" s="34" t="s">
        <v>274</v>
      </c>
      <c r="I457" s="35" t="str">
        <f>VLOOKUP(H457,人員與團隊!$A$4:$D$27,3,FALSE)</f>
        <v>南區服務</v>
      </c>
      <c r="J457" s="34" t="s">
        <v>215</v>
      </c>
      <c r="K457" s="33">
        <v>46171.620833333334</v>
      </c>
      <c r="L457" s="33">
        <v>46171.913110578702</v>
      </c>
      <c r="M457" s="36">
        <f t="shared" si="35"/>
        <v>30.99999999627471</v>
      </c>
      <c r="N457" s="37">
        <f t="shared" si="36"/>
        <v>7.531320555426646</v>
      </c>
      <c r="O457" s="36">
        <f>VLOOKUP(G457,SLA標準!$A$4:$C$7,2,FALSE)</f>
        <v>60</v>
      </c>
      <c r="P457" s="37">
        <f>VLOOKUP(G457,SLA標準!$A$4:$C$7,3,FALSE)</f>
        <v>8</v>
      </c>
      <c r="Q457" s="35" t="str">
        <f t="shared" si="37"/>
        <v>達標</v>
      </c>
      <c r="R457" s="34" t="s">
        <v>47</v>
      </c>
      <c r="S457" s="35" t="str">
        <f t="shared" si="38"/>
        <v>是</v>
      </c>
      <c r="T457" s="36">
        <f>IFERROR(VLOOKUP(A457,滿意度調查!$B$4:$D$570,3,FALSE),"")</f>
        <v>5</v>
      </c>
      <c r="U457" s="35" t="str">
        <f t="shared" si="39"/>
        <v>2026-05</v>
      </c>
      <c r="V457" s="38">
        <f>IF(J457="已結案",0,(使用說明!$B$7-B457)*24)</f>
        <v>0</v>
      </c>
    </row>
    <row r="458" spans="1:22">
      <c r="A458" s="32" t="s">
        <v>970</v>
      </c>
      <c r="B458" s="33">
        <v>46171.661805555559</v>
      </c>
      <c r="C458" s="34" t="s">
        <v>476</v>
      </c>
      <c r="D458" s="34" t="s">
        <v>240</v>
      </c>
      <c r="E458" s="34" t="s">
        <v>235</v>
      </c>
      <c r="F458" s="34" t="s">
        <v>241</v>
      </c>
      <c r="G458" s="34" t="s">
        <v>242</v>
      </c>
      <c r="H458" s="34" t="s">
        <v>361</v>
      </c>
      <c r="I458" s="35" t="str">
        <f>VLOOKUP(H458,人員與團隊!$A$4:$D$27,3,FALSE)</f>
        <v>南區服務</v>
      </c>
      <c r="J458" s="34" t="s">
        <v>215</v>
      </c>
      <c r="K458" s="33">
        <v>46171.80972222222</v>
      </c>
      <c r="L458" s="33">
        <v>46171.936104490742</v>
      </c>
      <c r="M458" s="36">
        <f t="shared" si="35"/>
        <v>212.99999999231659</v>
      </c>
      <c r="N458" s="37">
        <f t="shared" si="36"/>
        <v>6.5831744443858042</v>
      </c>
      <c r="O458" s="36">
        <f>VLOOKUP(G458,SLA標準!$A$4:$C$7,2,FALSE)</f>
        <v>240</v>
      </c>
      <c r="P458" s="37">
        <f>VLOOKUP(G458,SLA標準!$A$4:$C$7,3,FALSE)</f>
        <v>24</v>
      </c>
      <c r="Q458" s="35" t="str">
        <f t="shared" si="37"/>
        <v>達標</v>
      </c>
      <c r="R458" s="34" t="s">
        <v>41</v>
      </c>
      <c r="S458" s="35" t="str">
        <f t="shared" si="38"/>
        <v>是</v>
      </c>
      <c r="T458" s="36">
        <f>IFERROR(VLOOKUP(A458,滿意度調查!$B$4:$D$570,3,FALSE),"")</f>
        <v>4</v>
      </c>
      <c r="U458" s="35" t="str">
        <f t="shared" si="39"/>
        <v>2026-05</v>
      </c>
      <c r="V458" s="38">
        <f>IF(J458="已結案",0,(使用說明!$B$7-B458)*24)</f>
        <v>0</v>
      </c>
    </row>
    <row r="459" spans="1:22">
      <c r="A459" s="32" t="s">
        <v>971</v>
      </c>
      <c r="B459" s="33">
        <v>46171.779166666667</v>
      </c>
      <c r="C459" s="34" t="s">
        <v>317</v>
      </c>
      <c r="D459" s="34" t="s">
        <v>210</v>
      </c>
      <c r="E459" s="34" t="s">
        <v>230</v>
      </c>
      <c r="F459" s="34" t="s">
        <v>339</v>
      </c>
      <c r="G459" s="34" t="s">
        <v>242</v>
      </c>
      <c r="H459" s="34" t="s">
        <v>285</v>
      </c>
      <c r="I459" s="35" t="str">
        <f>VLOOKUP(H459,人員與團隊!$A$4:$D$27,3,FALSE)</f>
        <v>線上服務</v>
      </c>
      <c r="J459" s="34" t="s">
        <v>215</v>
      </c>
      <c r="K459" s="33">
        <v>46171.814583333333</v>
      </c>
      <c r="L459" s="33">
        <v>46172.806411886573</v>
      </c>
      <c r="M459" s="36">
        <f t="shared" si="35"/>
        <v>50.999999998603016</v>
      </c>
      <c r="N459" s="37">
        <f t="shared" si="36"/>
        <v>24.653885277744848</v>
      </c>
      <c r="O459" s="36">
        <f>VLOOKUP(G459,SLA標準!$A$4:$C$7,2,FALSE)</f>
        <v>240</v>
      </c>
      <c r="P459" s="37">
        <f>VLOOKUP(G459,SLA標準!$A$4:$C$7,3,FALSE)</f>
        <v>24</v>
      </c>
      <c r="Q459" s="35" t="str">
        <f t="shared" si="37"/>
        <v>逾期</v>
      </c>
      <c r="R459" s="34" t="s">
        <v>47</v>
      </c>
      <c r="S459" s="35" t="str">
        <f t="shared" si="38"/>
        <v>是</v>
      </c>
      <c r="T459" s="36">
        <f>IFERROR(VLOOKUP(A459,滿意度調查!$B$4:$D$570,3,FALSE),"")</f>
        <v>4</v>
      </c>
      <c r="U459" s="35" t="str">
        <f t="shared" si="39"/>
        <v>2026-05</v>
      </c>
      <c r="V459" s="38">
        <f>IF(J459="已結案",0,(使用說明!$B$7-B459)*24)</f>
        <v>0</v>
      </c>
    </row>
    <row r="460" spans="1:22">
      <c r="A460" s="32" t="s">
        <v>972</v>
      </c>
      <c r="B460" s="33">
        <v>46171.818055555559</v>
      </c>
      <c r="C460" s="34" t="s">
        <v>303</v>
      </c>
      <c r="D460" s="34" t="s">
        <v>225</v>
      </c>
      <c r="E460" s="34" t="s">
        <v>245</v>
      </c>
      <c r="F460" s="34" t="s">
        <v>282</v>
      </c>
      <c r="G460" s="34" t="s">
        <v>242</v>
      </c>
      <c r="H460" s="34" t="s">
        <v>279</v>
      </c>
      <c r="I460" s="35" t="str">
        <f>VLOOKUP(H460,人員與團隊!$A$4:$D$27,3,FALSE)</f>
        <v>南區服務</v>
      </c>
      <c r="J460" s="34" t="s">
        <v>215</v>
      </c>
      <c r="K460" s="33">
        <v>46171.927777777775</v>
      </c>
      <c r="L460" s="33">
        <v>46172.807490115738</v>
      </c>
      <c r="M460" s="36">
        <f t="shared" si="35"/>
        <v>157.99999999115244</v>
      </c>
      <c r="N460" s="37">
        <f t="shared" si="36"/>
        <v>23.746429444290698</v>
      </c>
      <c r="O460" s="36">
        <f>VLOOKUP(G460,SLA標準!$A$4:$C$7,2,FALSE)</f>
        <v>240</v>
      </c>
      <c r="P460" s="37">
        <f>VLOOKUP(G460,SLA標準!$A$4:$C$7,3,FALSE)</f>
        <v>24</v>
      </c>
      <c r="Q460" s="35" t="str">
        <f t="shared" si="37"/>
        <v>達標</v>
      </c>
      <c r="R460" s="34" t="s">
        <v>47</v>
      </c>
      <c r="S460" s="35" t="str">
        <f t="shared" si="38"/>
        <v>是</v>
      </c>
      <c r="T460" s="36">
        <f>IFERROR(VLOOKUP(A460,滿意度調查!$B$4:$D$570,3,FALSE),"")</f>
        <v>5</v>
      </c>
      <c r="U460" s="35" t="str">
        <f t="shared" si="39"/>
        <v>2026-05</v>
      </c>
      <c r="V460" s="38">
        <f>IF(J460="已結案",0,(使用說明!$B$7-B460)*24)</f>
        <v>0</v>
      </c>
    </row>
    <row r="461" spans="1:22">
      <c r="A461" s="32" t="s">
        <v>973</v>
      </c>
      <c r="B461" s="33">
        <v>46171.854166666664</v>
      </c>
      <c r="C461" s="34" t="s">
        <v>387</v>
      </c>
      <c r="D461" s="34" t="s">
        <v>210</v>
      </c>
      <c r="E461" s="34" t="s">
        <v>235</v>
      </c>
      <c r="F461" s="34" t="s">
        <v>253</v>
      </c>
      <c r="G461" s="34" t="s">
        <v>221</v>
      </c>
      <c r="H461" s="34" t="s">
        <v>305</v>
      </c>
      <c r="I461" s="35" t="str">
        <f>VLOOKUP(H461,人員與團隊!$A$4:$D$27,3,FALSE)</f>
        <v>線上服務</v>
      </c>
      <c r="J461" s="34" t="s">
        <v>215</v>
      </c>
      <c r="K461" s="33">
        <v>46171.86041666667</v>
      </c>
      <c r="L461" s="33">
        <v>46172.194743171298</v>
      </c>
      <c r="M461" s="36">
        <f t="shared" si="35"/>
        <v>9.0000000083819032</v>
      </c>
      <c r="N461" s="37">
        <f t="shared" si="36"/>
        <v>8.1738361112074926</v>
      </c>
      <c r="O461" s="36">
        <f>VLOOKUP(G461,SLA標準!$A$4:$C$7,2,FALSE)</f>
        <v>60</v>
      </c>
      <c r="P461" s="37">
        <f>VLOOKUP(G461,SLA標準!$A$4:$C$7,3,FALSE)</f>
        <v>8</v>
      </c>
      <c r="Q461" s="35" t="str">
        <f t="shared" si="37"/>
        <v>逾期</v>
      </c>
      <c r="R461" s="34" t="s">
        <v>47</v>
      </c>
      <c r="S461" s="35" t="str">
        <f t="shared" si="38"/>
        <v>是</v>
      </c>
      <c r="T461" s="36">
        <f>IFERROR(VLOOKUP(A461,滿意度調查!$B$4:$D$570,3,FALSE),"")</f>
        <v>3</v>
      </c>
      <c r="U461" s="35" t="str">
        <f t="shared" si="39"/>
        <v>2026-05</v>
      </c>
      <c r="V461" s="38">
        <f>IF(J461="已結案",0,(使用說明!$B$7-B461)*24)</f>
        <v>0</v>
      </c>
    </row>
    <row r="462" spans="1:22">
      <c r="A462" s="32" t="s">
        <v>974</v>
      </c>
      <c r="B462" s="33">
        <v>46172.34097222222</v>
      </c>
      <c r="C462" s="34" t="s">
        <v>865</v>
      </c>
      <c r="D462" s="34" t="s">
        <v>240</v>
      </c>
      <c r="E462" s="34" t="s">
        <v>230</v>
      </c>
      <c r="F462" s="34" t="s">
        <v>320</v>
      </c>
      <c r="G462" s="34" t="s">
        <v>213</v>
      </c>
      <c r="H462" s="34" t="s">
        <v>222</v>
      </c>
      <c r="I462" s="35" t="str">
        <f>VLOOKUP(H462,人員與團隊!$A$4:$D$27,3,FALSE)</f>
        <v>北區服務</v>
      </c>
      <c r="J462" s="34" t="s">
        <v>215</v>
      </c>
      <c r="K462" s="33">
        <v>46172.568749999999</v>
      </c>
      <c r="L462" s="33">
        <v>46173.154624050927</v>
      </c>
      <c r="M462" s="36">
        <f t="shared" si="35"/>
        <v>328.00000000046566</v>
      </c>
      <c r="N462" s="37">
        <f t="shared" si="36"/>
        <v>19.527643888955936</v>
      </c>
      <c r="O462" s="36">
        <f>VLOOKUP(G462,SLA標準!$A$4:$C$7,2,FALSE)</f>
        <v>480</v>
      </c>
      <c r="P462" s="37">
        <f>VLOOKUP(G462,SLA標準!$A$4:$C$7,3,FALSE)</f>
        <v>48</v>
      </c>
      <c r="Q462" s="35" t="str">
        <f t="shared" si="37"/>
        <v>達標</v>
      </c>
      <c r="R462" s="34" t="s">
        <v>47</v>
      </c>
      <c r="S462" s="35" t="str">
        <f t="shared" si="38"/>
        <v>是</v>
      </c>
      <c r="T462" s="36">
        <f>IFERROR(VLOOKUP(A462,滿意度調查!$B$4:$D$570,3,FALSE),"")</f>
        <v>4</v>
      </c>
      <c r="U462" s="35" t="str">
        <f t="shared" si="39"/>
        <v>2026-05</v>
      </c>
      <c r="V462" s="38">
        <f>IF(J462="已結案",0,(使用說明!$B$7-B462)*24)</f>
        <v>0</v>
      </c>
    </row>
    <row r="463" spans="1:22">
      <c r="A463" s="32" t="s">
        <v>975</v>
      </c>
      <c r="B463" s="33">
        <v>46172.35</v>
      </c>
      <c r="C463" s="34" t="s">
        <v>976</v>
      </c>
      <c r="D463" s="34" t="s">
        <v>218</v>
      </c>
      <c r="E463" s="34" t="s">
        <v>265</v>
      </c>
      <c r="F463" s="34" t="s">
        <v>301</v>
      </c>
      <c r="G463" s="34" t="s">
        <v>242</v>
      </c>
      <c r="H463" s="34" t="s">
        <v>372</v>
      </c>
      <c r="I463" s="35" t="str">
        <f>VLOOKUP(H463,人員與團隊!$A$4:$D$27,3,FALSE)</f>
        <v>南區服務</v>
      </c>
      <c r="J463" s="34" t="s">
        <v>215</v>
      </c>
      <c r="K463" s="33">
        <v>46172.515972222223</v>
      </c>
      <c r="L463" s="33">
        <v>46172.886051967595</v>
      </c>
      <c r="M463" s="36">
        <f t="shared" si="35"/>
        <v>239.00000000372529</v>
      </c>
      <c r="N463" s="37">
        <f t="shared" si="36"/>
        <v>12.865247222303879</v>
      </c>
      <c r="O463" s="36">
        <f>VLOOKUP(G463,SLA標準!$A$4:$C$7,2,FALSE)</f>
        <v>240</v>
      </c>
      <c r="P463" s="37">
        <f>VLOOKUP(G463,SLA標準!$A$4:$C$7,3,FALSE)</f>
        <v>24</v>
      </c>
      <c r="Q463" s="35" t="str">
        <f t="shared" si="37"/>
        <v>達標</v>
      </c>
      <c r="R463" s="34" t="s">
        <v>47</v>
      </c>
      <c r="S463" s="35" t="str">
        <f t="shared" si="38"/>
        <v>是</v>
      </c>
      <c r="T463" s="36">
        <f>IFERROR(VLOOKUP(A463,滿意度調查!$B$4:$D$570,3,FALSE),"")</f>
        <v>5</v>
      </c>
      <c r="U463" s="35" t="str">
        <f t="shared" si="39"/>
        <v>2026-05</v>
      </c>
      <c r="V463" s="38">
        <f>IF(J463="已結案",0,(使用說明!$B$7-B463)*24)</f>
        <v>0</v>
      </c>
    </row>
    <row r="464" spans="1:22">
      <c r="A464" s="32" t="s">
        <v>977</v>
      </c>
      <c r="B464" s="33">
        <v>46172.370833333334</v>
      </c>
      <c r="C464" s="34" t="s">
        <v>527</v>
      </c>
      <c r="D464" s="34" t="s">
        <v>218</v>
      </c>
      <c r="E464" s="34" t="s">
        <v>219</v>
      </c>
      <c r="F464" s="34" t="s">
        <v>249</v>
      </c>
      <c r="G464" s="34" t="s">
        <v>242</v>
      </c>
      <c r="H464" s="34" t="s">
        <v>250</v>
      </c>
      <c r="I464" s="35" t="str">
        <f>VLOOKUP(H464,人員與團隊!$A$4:$D$27,3,FALSE)</f>
        <v>南區服務</v>
      </c>
      <c r="J464" s="34" t="s">
        <v>215</v>
      </c>
      <c r="K464" s="33">
        <v>46172.582638888889</v>
      </c>
      <c r="L464" s="33">
        <v>46172.766805023151</v>
      </c>
      <c r="M464" s="36">
        <f t="shared" si="35"/>
        <v>304.99999999883585</v>
      </c>
      <c r="N464" s="37">
        <f t="shared" si="36"/>
        <v>9.5033205556101166</v>
      </c>
      <c r="O464" s="36">
        <f>VLOOKUP(G464,SLA標準!$A$4:$C$7,2,FALSE)</f>
        <v>240</v>
      </c>
      <c r="P464" s="37">
        <f>VLOOKUP(G464,SLA標準!$A$4:$C$7,3,FALSE)</f>
        <v>24</v>
      </c>
      <c r="Q464" s="35" t="str">
        <f t="shared" si="37"/>
        <v>逾期</v>
      </c>
      <c r="R464" s="34" t="s">
        <v>47</v>
      </c>
      <c r="S464" s="35" t="str">
        <f t="shared" si="38"/>
        <v>是</v>
      </c>
      <c r="T464" s="36">
        <f>IFERROR(VLOOKUP(A464,滿意度調查!$B$4:$D$570,3,FALSE),"")</f>
        <v>3</v>
      </c>
      <c r="U464" s="35" t="str">
        <f t="shared" si="39"/>
        <v>2026-05</v>
      </c>
      <c r="V464" s="38">
        <f>IF(J464="已結案",0,(使用說明!$B$7-B464)*24)</f>
        <v>0</v>
      </c>
    </row>
    <row r="465" spans="1:22">
      <c r="A465" s="32" t="s">
        <v>978</v>
      </c>
      <c r="B465" s="33">
        <v>46172.38958333333</v>
      </c>
      <c r="C465" s="34" t="s">
        <v>815</v>
      </c>
      <c r="D465" s="34" t="s">
        <v>225</v>
      </c>
      <c r="E465" s="34" t="s">
        <v>245</v>
      </c>
      <c r="F465" s="34" t="s">
        <v>246</v>
      </c>
      <c r="G465" s="34" t="s">
        <v>350</v>
      </c>
      <c r="H465" s="34" t="s">
        <v>214</v>
      </c>
      <c r="I465" s="35" t="str">
        <f>VLOOKUP(H465,人員與團隊!$A$4:$D$27,3,FALSE)</f>
        <v>北區服務</v>
      </c>
      <c r="J465" s="34" t="s">
        <v>215</v>
      </c>
      <c r="K465" s="33">
        <v>46172.40625</v>
      </c>
      <c r="L465" s="33">
        <v>46172.737547303244</v>
      </c>
      <c r="M465" s="36">
        <f t="shared" si="35"/>
        <v>24.000000004889444</v>
      </c>
      <c r="N465" s="37">
        <f t="shared" si="36"/>
        <v>8.351135277946014</v>
      </c>
      <c r="O465" s="36">
        <f>VLOOKUP(G465,SLA標準!$A$4:$C$7,2,FALSE)</f>
        <v>30</v>
      </c>
      <c r="P465" s="37">
        <f>VLOOKUP(G465,SLA標準!$A$4:$C$7,3,FALSE)</f>
        <v>4</v>
      </c>
      <c r="Q465" s="35" t="str">
        <f t="shared" si="37"/>
        <v>逾期</v>
      </c>
      <c r="R465" s="34" t="s">
        <v>47</v>
      </c>
      <c r="S465" s="35" t="str">
        <f t="shared" si="38"/>
        <v>是</v>
      </c>
      <c r="T465" s="36">
        <f>IFERROR(VLOOKUP(A465,滿意度調查!$B$4:$D$570,3,FALSE),"")</f>
        <v>3</v>
      </c>
      <c r="U465" s="35" t="str">
        <f t="shared" si="39"/>
        <v>2026-05</v>
      </c>
      <c r="V465" s="38">
        <f>IF(J465="已結案",0,(使用說明!$B$7-B465)*24)</f>
        <v>0</v>
      </c>
    </row>
    <row r="466" spans="1:22">
      <c r="A466" s="32" t="s">
        <v>979</v>
      </c>
      <c r="B466" s="33">
        <v>46172.418055555558</v>
      </c>
      <c r="C466" s="34" t="s">
        <v>471</v>
      </c>
      <c r="D466" s="34" t="s">
        <v>210</v>
      </c>
      <c r="E466" s="34" t="s">
        <v>245</v>
      </c>
      <c r="F466" s="34" t="s">
        <v>282</v>
      </c>
      <c r="G466" s="34" t="s">
        <v>242</v>
      </c>
      <c r="H466" s="34" t="s">
        <v>372</v>
      </c>
      <c r="I466" s="35" t="str">
        <f>VLOOKUP(H466,人員與團隊!$A$4:$D$27,3,FALSE)</f>
        <v>南區服務</v>
      </c>
      <c r="J466" s="34" t="s">
        <v>215</v>
      </c>
      <c r="K466" s="33">
        <v>46172.460416666669</v>
      </c>
      <c r="L466" s="33">
        <v>46173.657059062498</v>
      </c>
      <c r="M466" s="36">
        <f t="shared" si="35"/>
        <v>60.999999999767169</v>
      </c>
      <c r="N466" s="37">
        <f t="shared" si="36"/>
        <v>29.736084166564979</v>
      </c>
      <c r="O466" s="36">
        <f>VLOOKUP(G466,SLA標準!$A$4:$C$7,2,FALSE)</f>
        <v>240</v>
      </c>
      <c r="P466" s="37">
        <f>VLOOKUP(G466,SLA標準!$A$4:$C$7,3,FALSE)</f>
        <v>24</v>
      </c>
      <c r="Q466" s="35" t="str">
        <f t="shared" si="37"/>
        <v>逾期</v>
      </c>
      <c r="R466" s="34" t="s">
        <v>47</v>
      </c>
      <c r="S466" s="35" t="str">
        <f t="shared" si="38"/>
        <v>否</v>
      </c>
      <c r="T466" s="36" t="str">
        <f>IFERROR(VLOOKUP(A466,滿意度調查!$B$4:$D$570,3,FALSE),"")</f>
        <v/>
      </c>
      <c r="U466" s="35" t="str">
        <f t="shared" si="39"/>
        <v>2026-05</v>
      </c>
      <c r="V466" s="38">
        <f>IF(J466="已結案",0,(使用說明!$B$7-B466)*24)</f>
        <v>0</v>
      </c>
    </row>
    <row r="467" spans="1:22">
      <c r="A467" s="32" t="s">
        <v>980</v>
      </c>
      <c r="B467" s="33">
        <v>46172.436111111114</v>
      </c>
      <c r="C467" s="34" t="s">
        <v>681</v>
      </c>
      <c r="D467" s="34" t="s">
        <v>225</v>
      </c>
      <c r="E467" s="34" t="s">
        <v>245</v>
      </c>
      <c r="F467" s="34" t="s">
        <v>246</v>
      </c>
      <c r="G467" s="34" t="s">
        <v>221</v>
      </c>
      <c r="H467" s="34" t="s">
        <v>372</v>
      </c>
      <c r="I467" s="35" t="str">
        <f>VLOOKUP(H467,人員與團隊!$A$4:$D$27,3,FALSE)</f>
        <v>南區服務</v>
      </c>
      <c r="J467" s="34" t="s">
        <v>215</v>
      </c>
      <c r="K467" s="33">
        <v>46172.450694444444</v>
      </c>
      <c r="L467" s="33">
        <v>46173.255392037034</v>
      </c>
      <c r="M467" s="36">
        <f t="shared" si="35"/>
        <v>20.999999995110556</v>
      </c>
      <c r="N467" s="37">
        <f t="shared" si="36"/>
        <v>19.662742222077213</v>
      </c>
      <c r="O467" s="36">
        <f>VLOOKUP(G467,SLA標準!$A$4:$C$7,2,FALSE)</f>
        <v>60</v>
      </c>
      <c r="P467" s="37">
        <f>VLOOKUP(G467,SLA標準!$A$4:$C$7,3,FALSE)</f>
        <v>8</v>
      </c>
      <c r="Q467" s="35" t="str">
        <f t="shared" si="37"/>
        <v>逾期</v>
      </c>
      <c r="R467" s="34" t="s">
        <v>47</v>
      </c>
      <c r="S467" s="35" t="str">
        <f t="shared" si="38"/>
        <v>是</v>
      </c>
      <c r="T467" s="36">
        <f>IFERROR(VLOOKUP(A467,滿意度調查!$B$4:$D$570,3,FALSE),"")</f>
        <v>3</v>
      </c>
      <c r="U467" s="35" t="str">
        <f t="shared" si="39"/>
        <v>2026-05</v>
      </c>
      <c r="V467" s="38">
        <f>IF(J467="已結案",0,(使用說明!$B$7-B467)*24)</f>
        <v>0</v>
      </c>
    </row>
    <row r="468" spans="1:22">
      <c r="A468" s="32" t="s">
        <v>981</v>
      </c>
      <c r="B468" s="33">
        <v>46172.579861111109</v>
      </c>
      <c r="C468" s="34" t="s">
        <v>423</v>
      </c>
      <c r="D468" s="34" t="s">
        <v>210</v>
      </c>
      <c r="E468" s="34" t="s">
        <v>219</v>
      </c>
      <c r="F468" s="34" t="s">
        <v>220</v>
      </c>
      <c r="G468" s="34" t="s">
        <v>242</v>
      </c>
      <c r="H468" s="34" t="s">
        <v>372</v>
      </c>
      <c r="I468" s="35" t="str">
        <f>VLOOKUP(H468,人員與團隊!$A$4:$D$27,3,FALSE)</f>
        <v>南區服務</v>
      </c>
      <c r="J468" s="34" t="s">
        <v>215</v>
      </c>
      <c r="K468" s="33">
        <v>46172.63958333333</v>
      </c>
      <c r="L468" s="33">
        <v>46173.270612002314</v>
      </c>
      <c r="M468" s="36">
        <f t="shared" si="35"/>
        <v>85.999999997438863</v>
      </c>
      <c r="N468" s="37">
        <f t="shared" si="36"/>
        <v>16.578021388908383</v>
      </c>
      <c r="O468" s="36">
        <f>VLOOKUP(G468,SLA標準!$A$4:$C$7,2,FALSE)</f>
        <v>240</v>
      </c>
      <c r="P468" s="37">
        <f>VLOOKUP(G468,SLA標準!$A$4:$C$7,3,FALSE)</f>
        <v>24</v>
      </c>
      <c r="Q468" s="35" t="str">
        <f t="shared" si="37"/>
        <v>達標</v>
      </c>
      <c r="R468" s="34" t="s">
        <v>41</v>
      </c>
      <c r="S468" s="35" t="str">
        <f t="shared" si="38"/>
        <v>是</v>
      </c>
      <c r="T468" s="36">
        <f>IFERROR(VLOOKUP(A468,滿意度調查!$B$4:$D$570,3,FALSE),"")</f>
        <v>4</v>
      </c>
      <c r="U468" s="35" t="str">
        <f t="shared" si="39"/>
        <v>2026-05</v>
      </c>
      <c r="V468" s="38">
        <f>IF(J468="已結案",0,(使用說明!$B$7-B468)*24)</f>
        <v>0</v>
      </c>
    </row>
    <row r="469" spans="1:22">
      <c r="A469" s="32" t="s">
        <v>982</v>
      </c>
      <c r="B469" s="33">
        <v>46172.629861111112</v>
      </c>
      <c r="C469" s="34" t="s">
        <v>968</v>
      </c>
      <c r="D469" s="34" t="s">
        <v>225</v>
      </c>
      <c r="E469" s="34" t="s">
        <v>235</v>
      </c>
      <c r="F469" s="34" t="s">
        <v>241</v>
      </c>
      <c r="G469" s="34" t="s">
        <v>242</v>
      </c>
      <c r="H469" s="34" t="s">
        <v>384</v>
      </c>
      <c r="I469" s="35" t="str">
        <f>VLOOKUP(H469,人員與團隊!$A$4:$D$27,3,FALSE)</f>
        <v>線上服務</v>
      </c>
      <c r="J469" s="34" t="s">
        <v>215</v>
      </c>
      <c r="K469" s="33">
        <v>46172.694444444445</v>
      </c>
      <c r="L469" s="33">
        <v>46173.315701678242</v>
      </c>
      <c r="M469" s="36">
        <f t="shared" si="35"/>
        <v>92.999999999301508</v>
      </c>
      <c r="N469" s="37">
        <f t="shared" si="36"/>
        <v>16.460173611121718</v>
      </c>
      <c r="O469" s="36">
        <f>VLOOKUP(G469,SLA標準!$A$4:$C$7,2,FALSE)</f>
        <v>240</v>
      </c>
      <c r="P469" s="37">
        <f>VLOOKUP(G469,SLA標準!$A$4:$C$7,3,FALSE)</f>
        <v>24</v>
      </c>
      <c r="Q469" s="35" t="str">
        <f t="shared" si="37"/>
        <v>達標</v>
      </c>
      <c r="R469" s="34" t="s">
        <v>47</v>
      </c>
      <c r="S469" s="35" t="str">
        <f t="shared" si="38"/>
        <v>否</v>
      </c>
      <c r="T469" s="36" t="str">
        <f>IFERROR(VLOOKUP(A469,滿意度調查!$B$4:$D$570,3,FALSE),"")</f>
        <v/>
      </c>
      <c r="U469" s="35" t="str">
        <f t="shared" si="39"/>
        <v>2026-05</v>
      </c>
      <c r="V469" s="38">
        <f>IF(J469="已結案",0,(使用說明!$B$7-B469)*24)</f>
        <v>0</v>
      </c>
    </row>
    <row r="470" spans="1:22">
      <c r="A470" s="32" t="s">
        <v>983</v>
      </c>
      <c r="B470" s="33">
        <v>46172.702777777777</v>
      </c>
      <c r="C470" s="34" t="s">
        <v>500</v>
      </c>
      <c r="D470" s="34" t="s">
        <v>218</v>
      </c>
      <c r="E470" s="34" t="s">
        <v>211</v>
      </c>
      <c r="F470" s="34" t="s">
        <v>334</v>
      </c>
      <c r="G470" s="34" t="s">
        <v>213</v>
      </c>
      <c r="H470" s="34" t="s">
        <v>250</v>
      </c>
      <c r="I470" s="35" t="str">
        <f>VLOOKUP(H470,人員與團隊!$A$4:$D$27,3,FALSE)</f>
        <v>南區服務</v>
      </c>
      <c r="J470" s="34" t="s">
        <v>356</v>
      </c>
      <c r="K470" s="33">
        <v>46173.088888888888</v>
      </c>
      <c r="L470" s="33"/>
      <c r="M470" s="36">
        <f t="shared" si="35"/>
        <v>555.99999999976717</v>
      </c>
      <c r="N470" s="37" t="str">
        <f t="shared" si="36"/>
        <v/>
      </c>
      <c r="O470" s="36">
        <f>VLOOKUP(G470,SLA標準!$A$4:$C$7,2,FALSE)</f>
        <v>480</v>
      </c>
      <c r="P470" s="37">
        <f>VLOOKUP(G470,SLA標準!$A$4:$C$7,3,FALSE)</f>
        <v>48</v>
      </c>
      <c r="Q470" s="35" t="str">
        <f t="shared" si="37"/>
        <v>逾期</v>
      </c>
      <c r="R470" s="34" t="s">
        <v>47</v>
      </c>
      <c r="S470" s="35" t="str">
        <f t="shared" si="38"/>
        <v>否</v>
      </c>
      <c r="T470" s="36" t="str">
        <f>IFERROR(VLOOKUP(A470,滿意度調查!$B$4:$D$570,3,FALSE),"")</f>
        <v/>
      </c>
      <c r="U470" s="35" t="str">
        <f t="shared" si="39"/>
        <v>2026-05</v>
      </c>
      <c r="V470" s="38">
        <f>IF(J470="已結案",0,(使用說明!$B$7-B470)*24)</f>
        <v>760.1333333333605</v>
      </c>
    </row>
    <row r="471" spans="1:22">
      <c r="A471" s="32" t="s">
        <v>984</v>
      </c>
      <c r="B471" s="33">
        <v>46172.803472222222</v>
      </c>
      <c r="C471" s="34" t="s">
        <v>300</v>
      </c>
      <c r="D471" s="34" t="s">
        <v>240</v>
      </c>
      <c r="E471" s="34" t="s">
        <v>235</v>
      </c>
      <c r="F471" s="34" t="s">
        <v>253</v>
      </c>
      <c r="G471" s="34" t="s">
        <v>242</v>
      </c>
      <c r="H471" s="34" t="s">
        <v>227</v>
      </c>
      <c r="I471" s="35" t="str">
        <f>VLOOKUP(H471,人員與團隊!$A$4:$D$27,3,FALSE)</f>
        <v>北區服務</v>
      </c>
      <c r="J471" s="34" t="s">
        <v>215</v>
      </c>
      <c r="K471" s="33">
        <v>46172.970833333333</v>
      </c>
      <c r="L471" s="33">
        <v>46173.39330059028</v>
      </c>
      <c r="M471" s="36">
        <f t="shared" si="35"/>
        <v>240.99999999976717</v>
      </c>
      <c r="N471" s="37">
        <f t="shared" si="36"/>
        <v>14.155880833393894</v>
      </c>
      <c r="O471" s="36">
        <f>VLOOKUP(G471,SLA標準!$A$4:$C$7,2,FALSE)</f>
        <v>240</v>
      </c>
      <c r="P471" s="37">
        <f>VLOOKUP(G471,SLA標準!$A$4:$C$7,3,FALSE)</f>
        <v>24</v>
      </c>
      <c r="Q471" s="35" t="str">
        <f t="shared" si="37"/>
        <v>逾期</v>
      </c>
      <c r="R471" s="34" t="s">
        <v>47</v>
      </c>
      <c r="S471" s="35" t="str">
        <f t="shared" si="38"/>
        <v>是</v>
      </c>
      <c r="T471" s="36">
        <f>IFERROR(VLOOKUP(A471,滿意度調查!$B$4:$D$570,3,FALSE),"")</f>
        <v>3</v>
      </c>
      <c r="U471" s="35" t="str">
        <f t="shared" si="39"/>
        <v>2026-05</v>
      </c>
      <c r="V471" s="38">
        <f>IF(J471="已結案",0,(使用說明!$B$7-B471)*24)</f>
        <v>0</v>
      </c>
    </row>
    <row r="472" spans="1:22">
      <c r="A472" s="32" t="s">
        <v>985</v>
      </c>
      <c r="B472" s="33">
        <v>46172.807638888888</v>
      </c>
      <c r="C472" s="34" t="s">
        <v>434</v>
      </c>
      <c r="D472" s="34" t="s">
        <v>210</v>
      </c>
      <c r="E472" s="34" t="s">
        <v>230</v>
      </c>
      <c r="F472" s="34" t="s">
        <v>231</v>
      </c>
      <c r="G472" s="34" t="s">
        <v>242</v>
      </c>
      <c r="H472" s="34" t="s">
        <v>325</v>
      </c>
      <c r="I472" s="35" t="str">
        <f>VLOOKUP(H472,人員與團隊!$A$4:$D$27,3,FALSE)</f>
        <v>線上服務</v>
      </c>
      <c r="J472" s="34" t="s">
        <v>215</v>
      </c>
      <c r="K472" s="33">
        <v>46172.834027777775</v>
      </c>
      <c r="L472" s="33">
        <v>46173.775630219905</v>
      </c>
      <c r="M472" s="36">
        <f t="shared" si="35"/>
        <v>37.999999998137355</v>
      </c>
      <c r="N472" s="37">
        <f t="shared" si="36"/>
        <v>23.231791944417637</v>
      </c>
      <c r="O472" s="36">
        <f>VLOOKUP(G472,SLA標準!$A$4:$C$7,2,FALSE)</f>
        <v>240</v>
      </c>
      <c r="P472" s="37">
        <f>VLOOKUP(G472,SLA標準!$A$4:$C$7,3,FALSE)</f>
        <v>24</v>
      </c>
      <c r="Q472" s="35" t="str">
        <f t="shared" si="37"/>
        <v>達標</v>
      </c>
      <c r="R472" s="34" t="s">
        <v>47</v>
      </c>
      <c r="S472" s="35" t="str">
        <f t="shared" si="38"/>
        <v>是</v>
      </c>
      <c r="T472" s="36">
        <f>IFERROR(VLOOKUP(A472,滿意度調查!$B$4:$D$570,3,FALSE),"")</f>
        <v>5</v>
      </c>
      <c r="U472" s="35" t="str">
        <f t="shared" si="39"/>
        <v>2026-05</v>
      </c>
      <c r="V472" s="38">
        <f>IF(J472="已結案",0,(使用說明!$B$7-B472)*24)</f>
        <v>0</v>
      </c>
    </row>
    <row r="473" spans="1:22">
      <c r="A473" s="32" t="s">
        <v>986</v>
      </c>
      <c r="B473" s="33">
        <v>46172.840277777781</v>
      </c>
      <c r="C473" s="34" t="s">
        <v>947</v>
      </c>
      <c r="D473" s="34" t="s">
        <v>210</v>
      </c>
      <c r="E473" s="34" t="s">
        <v>265</v>
      </c>
      <c r="F473" s="34" t="s">
        <v>266</v>
      </c>
      <c r="G473" s="34" t="s">
        <v>242</v>
      </c>
      <c r="H473" s="34" t="s">
        <v>408</v>
      </c>
      <c r="I473" s="35" t="str">
        <f>VLOOKUP(H473,人員與團隊!$A$4:$D$27,3,FALSE)</f>
        <v>線上服務</v>
      </c>
      <c r="J473" s="34" t="s">
        <v>215</v>
      </c>
      <c r="K473" s="33">
        <v>46172.879861111112</v>
      </c>
      <c r="L473" s="33">
        <v>46173.800104189817</v>
      </c>
      <c r="M473" s="36">
        <f t="shared" si="35"/>
        <v>56.999999997206032</v>
      </c>
      <c r="N473" s="37">
        <f t="shared" si="36"/>
        <v>23.035833888861816</v>
      </c>
      <c r="O473" s="36">
        <f>VLOOKUP(G473,SLA標準!$A$4:$C$7,2,FALSE)</f>
        <v>240</v>
      </c>
      <c r="P473" s="37">
        <f>VLOOKUP(G473,SLA標準!$A$4:$C$7,3,FALSE)</f>
        <v>24</v>
      </c>
      <c r="Q473" s="35" t="str">
        <f t="shared" si="37"/>
        <v>達標</v>
      </c>
      <c r="R473" s="34" t="s">
        <v>41</v>
      </c>
      <c r="S473" s="35" t="str">
        <f t="shared" si="38"/>
        <v>是</v>
      </c>
      <c r="T473" s="36">
        <f>IFERROR(VLOOKUP(A473,滿意度調查!$B$4:$D$570,3,FALSE),"")</f>
        <v>4</v>
      </c>
      <c r="U473" s="35" t="str">
        <f t="shared" si="39"/>
        <v>2026-05</v>
      </c>
      <c r="V473" s="38">
        <f>IF(J473="已結案",0,(使用說明!$B$7-B473)*24)</f>
        <v>0</v>
      </c>
    </row>
    <row r="474" spans="1:22">
      <c r="A474" s="32" t="s">
        <v>987</v>
      </c>
      <c r="B474" s="33">
        <v>46172.847222222219</v>
      </c>
      <c r="C474" s="34" t="s">
        <v>727</v>
      </c>
      <c r="D474" s="34" t="s">
        <v>240</v>
      </c>
      <c r="E474" s="34" t="s">
        <v>235</v>
      </c>
      <c r="F474" s="34" t="s">
        <v>236</v>
      </c>
      <c r="G474" s="34" t="s">
        <v>242</v>
      </c>
      <c r="H474" s="34" t="s">
        <v>250</v>
      </c>
      <c r="I474" s="35" t="str">
        <f>VLOOKUP(H474,人員與團隊!$A$4:$D$27,3,FALSE)</f>
        <v>南區服務</v>
      </c>
      <c r="J474" s="34" t="s">
        <v>215</v>
      </c>
      <c r="K474" s="33">
        <v>46173.018750000003</v>
      </c>
      <c r="L474" s="33">
        <v>46173.340861319448</v>
      </c>
      <c r="M474" s="36">
        <f t="shared" si="35"/>
        <v>247.00000000884756</v>
      </c>
      <c r="N474" s="37">
        <f t="shared" si="36"/>
        <v>11.847338333493099</v>
      </c>
      <c r="O474" s="36">
        <f>VLOOKUP(G474,SLA標準!$A$4:$C$7,2,FALSE)</f>
        <v>240</v>
      </c>
      <c r="P474" s="37">
        <f>VLOOKUP(G474,SLA標準!$A$4:$C$7,3,FALSE)</f>
        <v>24</v>
      </c>
      <c r="Q474" s="35" t="str">
        <f t="shared" si="37"/>
        <v>逾期</v>
      </c>
      <c r="R474" s="34" t="s">
        <v>47</v>
      </c>
      <c r="S474" s="35" t="str">
        <f t="shared" si="38"/>
        <v>是</v>
      </c>
      <c r="T474" s="36">
        <f>IFERROR(VLOOKUP(A474,滿意度調查!$B$4:$D$570,3,FALSE),"")</f>
        <v>3</v>
      </c>
      <c r="U474" s="35" t="str">
        <f t="shared" si="39"/>
        <v>2026-05</v>
      </c>
      <c r="V474" s="38">
        <f>IF(J474="已結案",0,(使用說明!$B$7-B474)*24)</f>
        <v>0</v>
      </c>
    </row>
    <row r="475" spans="1:22">
      <c r="A475" s="32" t="s">
        <v>988</v>
      </c>
      <c r="B475" s="33">
        <v>46172.847916666666</v>
      </c>
      <c r="C475" s="34" t="s">
        <v>322</v>
      </c>
      <c r="D475" s="34" t="s">
        <v>240</v>
      </c>
      <c r="E475" s="34" t="s">
        <v>245</v>
      </c>
      <c r="F475" s="34" t="s">
        <v>282</v>
      </c>
      <c r="G475" s="34" t="s">
        <v>242</v>
      </c>
      <c r="H475" s="34" t="s">
        <v>262</v>
      </c>
      <c r="I475" s="35" t="str">
        <f>VLOOKUP(H475,人員與團隊!$A$4:$D$27,3,FALSE)</f>
        <v>南區服務</v>
      </c>
      <c r="J475" s="34" t="s">
        <v>215</v>
      </c>
      <c r="K475" s="33">
        <v>46173.086111111108</v>
      </c>
      <c r="L475" s="33">
        <v>46174.355008958337</v>
      </c>
      <c r="M475" s="36">
        <f t="shared" si="35"/>
        <v>342.9999999969732</v>
      </c>
      <c r="N475" s="37">
        <f t="shared" si="36"/>
        <v>36.170215000107419</v>
      </c>
      <c r="O475" s="36">
        <f>VLOOKUP(G475,SLA標準!$A$4:$C$7,2,FALSE)</f>
        <v>240</v>
      </c>
      <c r="P475" s="37">
        <f>VLOOKUP(G475,SLA標準!$A$4:$C$7,3,FALSE)</f>
        <v>24</v>
      </c>
      <c r="Q475" s="35" t="str">
        <f t="shared" si="37"/>
        <v>逾期</v>
      </c>
      <c r="R475" s="34" t="s">
        <v>47</v>
      </c>
      <c r="S475" s="35" t="str">
        <f t="shared" si="38"/>
        <v>是</v>
      </c>
      <c r="T475" s="36">
        <f>IFERROR(VLOOKUP(A475,滿意度調查!$B$4:$D$570,3,FALSE),"")</f>
        <v>3</v>
      </c>
      <c r="U475" s="35" t="str">
        <f t="shared" si="39"/>
        <v>2026-05</v>
      </c>
      <c r="V475" s="38">
        <f>IF(J475="已結案",0,(使用說明!$B$7-B475)*24)</f>
        <v>0</v>
      </c>
    </row>
    <row r="476" spans="1:22">
      <c r="A476" s="32" t="s">
        <v>989</v>
      </c>
      <c r="B476" s="33">
        <v>46172.861111111109</v>
      </c>
      <c r="C476" s="34" t="s">
        <v>264</v>
      </c>
      <c r="D476" s="34" t="s">
        <v>225</v>
      </c>
      <c r="E476" s="34" t="s">
        <v>211</v>
      </c>
      <c r="F476" s="34" t="s">
        <v>226</v>
      </c>
      <c r="G476" s="34" t="s">
        <v>221</v>
      </c>
      <c r="H476" s="34" t="s">
        <v>250</v>
      </c>
      <c r="I476" s="35" t="str">
        <f>VLOOKUP(H476,人員與團隊!$A$4:$D$27,3,FALSE)</f>
        <v>南區服務</v>
      </c>
      <c r="J476" s="34" t="s">
        <v>215</v>
      </c>
      <c r="K476" s="33">
        <v>46172.895833333336</v>
      </c>
      <c r="L476" s="33">
        <v>46172.96298074074</v>
      </c>
      <c r="M476" s="36">
        <f t="shared" si="35"/>
        <v>50.000000005820766</v>
      </c>
      <c r="N476" s="37">
        <f t="shared" si="36"/>
        <v>2.4448711111326702</v>
      </c>
      <c r="O476" s="36">
        <f>VLOOKUP(G476,SLA標準!$A$4:$C$7,2,FALSE)</f>
        <v>60</v>
      </c>
      <c r="P476" s="37">
        <f>VLOOKUP(G476,SLA標準!$A$4:$C$7,3,FALSE)</f>
        <v>8</v>
      </c>
      <c r="Q476" s="35" t="str">
        <f t="shared" si="37"/>
        <v>達標</v>
      </c>
      <c r="R476" s="34" t="s">
        <v>47</v>
      </c>
      <c r="S476" s="35" t="str">
        <f t="shared" si="38"/>
        <v>否</v>
      </c>
      <c r="T476" s="36" t="str">
        <f>IFERROR(VLOOKUP(A476,滿意度調查!$B$4:$D$570,3,FALSE),"")</f>
        <v/>
      </c>
      <c r="U476" s="35" t="str">
        <f t="shared" si="39"/>
        <v>2026-05</v>
      </c>
      <c r="V476" s="38">
        <f>IF(J476="已結案",0,(使用說明!$B$7-B476)*24)</f>
        <v>0</v>
      </c>
    </row>
    <row r="477" spans="1:22">
      <c r="A477" s="32" t="s">
        <v>990</v>
      </c>
      <c r="B477" s="33">
        <v>46173.467361111114</v>
      </c>
      <c r="C477" s="34" t="s">
        <v>886</v>
      </c>
      <c r="D477" s="34" t="s">
        <v>210</v>
      </c>
      <c r="E477" s="34" t="s">
        <v>245</v>
      </c>
      <c r="F477" s="34" t="s">
        <v>358</v>
      </c>
      <c r="G477" s="34" t="s">
        <v>242</v>
      </c>
      <c r="H477" s="34" t="s">
        <v>310</v>
      </c>
      <c r="I477" s="35" t="str">
        <f>VLOOKUP(H477,人員與團隊!$A$4:$D$27,3,FALSE)</f>
        <v>線上服務</v>
      </c>
      <c r="J477" s="34" t="s">
        <v>356</v>
      </c>
      <c r="K477" s="33">
        <v>46173.5</v>
      </c>
      <c r="L477" s="33"/>
      <c r="M477" s="36">
        <f t="shared" si="35"/>
        <v>46.999999996041879</v>
      </c>
      <c r="N477" s="37" t="str">
        <f t="shared" si="36"/>
        <v/>
      </c>
      <c r="O477" s="36">
        <f>VLOOKUP(G477,SLA標準!$A$4:$C$7,2,FALSE)</f>
        <v>240</v>
      </c>
      <c r="P477" s="37">
        <f>VLOOKUP(G477,SLA標準!$A$4:$C$7,3,FALSE)</f>
        <v>24</v>
      </c>
      <c r="Q477" s="35" t="str">
        <f t="shared" si="37"/>
        <v>逾期</v>
      </c>
      <c r="R477" s="34" t="s">
        <v>47</v>
      </c>
      <c r="S477" s="35" t="str">
        <f t="shared" si="38"/>
        <v>否</v>
      </c>
      <c r="T477" s="36" t="str">
        <f>IFERROR(VLOOKUP(A477,滿意度調查!$B$4:$D$570,3,FALSE),"")</f>
        <v/>
      </c>
      <c r="U477" s="35" t="str">
        <f t="shared" si="39"/>
        <v>2026-05</v>
      </c>
      <c r="V477" s="38">
        <f>IF(J477="已結案",0,(使用說明!$B$7-B477)*24)</f>
        <v>741.78333333326736</v>
      </c>
    </row>
    <row r="478" spans="1:22">
      <c r="A478" s="32" t="s">
        <v>991</v>
      </c>
      <c r="B478" s="33">
        <v>46173.561805555553</v>
      </c>
      <c r="C478" s="34" t="s">
        <v>289</v>
      </c>
      <c r="D478" s="34" t="s">
        <v>210</v>
      </c>
      <c r="E478" s="34" t="s">
        <v>235</v>
      </c>
      <c r="F478" s="34" t="s">
        <v>298</v>
      </c>
      <c r="G478" s="34" t="s">
        <v>213</v>
      </c>
      <c r="H478" s="34" t="s">
        <v>381</v>
      </c>
      <c r="I478" s="35" t="str">
        <f>VLOOKUP(H478,人員與團隊!$A$4:$D$27,3,FALSE)</f>
        <v>線上服務</v>
      </c>
      <c r="J478" s="34" t="s">
        <v>215</v>
      </c>
      <c r="K478" s="33">
        <v>46173.744444444441</v>
      </c>
      <c r="L478" s="33">
        <v>46174.156033807871</v>
      </c>
      <c r="M478" s="36">
        <f t="shared" si="35"/>
        <v>262.99999999813735</v>
      </c>
      <c r="N478" s="37">
        <f t="shared" si="36"/>
        <v>14.261478055617772</v>
      </c>
      <c r="O478" s="36">
        <f>VLOOKUP(G478,SLA標準!$A$4:$C$7,2,FALSE)</f>
        <v>480</v>
      </c>
      <c r="P478" s="37">
        <f>VLOOKUP(G478,SLA標準!$A$4:$C$7,3,FALSE)</f>
        <v>48</v>
      </c>
      <c r="Q478" s="35" t="str">
        <f t="shared" si="37"/>
        <v>達標</v>
      </c>
      <c r="R478" s="34" t="s">
        <v>47</v>
      </c>
      <c r="S478" s="35" t="str">
        <f t="shared" si="38"/>
        <v>是</v>
      </c>
      <c r="T478" s="36">
        <f>IFERROR(VLOOKUP(A478,滿意度調查!$B$4:$D$570,3,FALSE),"")</f>
        <v>5</v>
      </c>
      <c r="U478" s="35" t="str">
        <f t="shared" si="39"/>
        <v>2026-05</v>
      </c>
      <c r="V478" s="38">
        <f>IF(J478="已結案",0,(使用說明!$B$7-B478)*24)</f>
        <v>0</v>
      </c>
    </row>
    <row r="479" spans="1:22">
      <c r="A479" s="32" t="s">
        <v>992</v>
      </c>
      <c r="B479" s="33">
        <v>46173.581944444442</v>
      </c>
      <c r="C479" s="34" t="s">
        <v>993</v>
      </c>
      <c r="D479" s="34" t="s">
        <v>218</v>
      </c>
      <c r="E479" s="34" t="s">
        <v>235</v>
      </c>
      <c r="F479" s="34" t="s">
        <v>253</v>
      </c>
      <c r="G479" s="34" t="s">
        <v>221</v>
      </c>
      <c r="H479" s="34" t="s">
        <v>267</v>
      </c>
      <c r="I479" s="35" t="str">
        <f>VLOOKUP(H479,人員與團隊!$A$4:$D$27,3,FALSE)</f>
        <v>南區服務</v>
      </c>
      <c r="J479" s="34" t="s">
        <v>215</v>
      </c>
      <c r="K479" s="33">
        <v>46173.613888888889</v>
      </c>
      <c r="L479" s="33">
        <v>46173.881725543979</v>
      </c>
      <c r="M479" s="36">
        <f t="shared" si="35"/>
        <v>46.000000003259629</v>
      </c>
      <c r="N479" s="37">
        <f t="shared" si="36"/>
        <v>7.194746388879139</v>
      </c>
      <c r="O479" s="36">
        <f>VLOOKUP(G479,SLA標準!$A$4:$C$7,2,FALSE)</f>
        <v>60</v>
      </c>
      <c r="P479" s="37">
        <f>VLOOKUP(G479,SLA標準!$A$4:$C$7,3,FALSE)</f>
        <v>8</v>
      </c>
      <c r="Q479" s="35" t="str">
        <f t="shared" si="37"/>
        <v>達標</v>
      </c>
      <c r="R479" s="34" t="s">
        <v>47</v>
      </c>
      <c r="S479" s="35" t="str">
        <f t="shared" si="38"/>
        <v>是</v>
      </c>
      <c r="T479" s="36">
        <f>IFERROR(VLOOKUP(A479,滿意度調查!$B$4:$D$570,3,FALSE),"")</f>
        <v>5</v>
      </c>
      <c r="U479" s="35" t="str">
        <f t="shared" si="39"/>
        <v>2026-05</v>
      </c>
      <c r="V479" s="38">
        <f>IF(J479="已結案",0,(使用說明!$B$7-B479)*24)</f>
        <v>0</v>
      </c>
    </row>
    <row r="480" spans="1:22">
      <c r="A480" s="32" t="s">
        <v>994</v>
      </c>
      <c r="B480" s="33">
        <v>46173.740277777775</v>
      </c>
      <c r="C480" s="34" t="s">
        <v>795</v>
      </c>
      <c r="D480" s="34" t="s">
        <v>210</v>
      </c>
      <c r="E480" s="34" t="s">
        <v>235</v>
      </c>
      <c r="F480" s="34" t="s">
        <v>298</v>
      </c>
      <c r="G480" s="34" t="s">
        <v>242</v>
      </c>
      <c r="H480" s="34" t="s">
        <v>408</v>
      </c>
      <c r="I480" s="35" t="str">
        <f>VLOOKUP(H480,人員與團隊!$A$4:$D$27,3,FALSE)</f>
        <v>線上服務</v>
      </c>
      <c r="J480" s="34" t="s">
        <v>215</v>
      </c>
      <c r="K480" s="33">
        <v>46173.786111111112</v>
      </c>
      <c r="L480" s="33">
        <v>46174.211035034721</v>
      </c>
      <c r="M480" s="36">
        <f t="shared" si="35"/>
        <v>66.000000005587935</v>
      </c>
      <c r="N480" s="37">
        <f t="shared" si="36"/>
        <v>11.298174166702665</v>
      </c>
      <c r="O480" s="36">
        <f>VLOOKUP(G480,SLA標準!$A$4:$C$7,2,FALSE)</f>
        <v>240</v>
      </c>
      <c r="P480" s="37">
        <f>VLOOKUP(G480,SLA標準!$A$4:$C$7,3,FALSE)</f>
        <v>24</v>
      </c>
      <c r="Q480" s="35" t="str">
        <f t="shared" si="37"/>
        <v>達標</v>
      </c>
      <c r="R480" s="34" t="s">
        <v>47</v>
      </c>
      <c r="S480" s="35" t="str">
        <f t="shared" si="38"/>
        <v>否</v>
      </c>
      <c r="T480" s="36" t="str">
        <f>IFERROR(VLOOKUP(A480,滿意度調查!$B$4:$D$570,3,FALSE),"")</f>
        <v/>
      </c>
      <c r="U480" s="35" t="str">
        <f t="shared" si="39"/>
        <v>2026-05</v>
      </c>
      <c r="V480" s="38">
        <f>IF(J480="已結案",0,(使用說明!$B$7-B480)*24)</f>
        <v>0</v>
      </c>
    </row>
    <row r="481" spans="1:22">
      <c r="A481" s="32" t="s">
        <v>995</v>
      </c>
      <c r="B481" s="33">
        <v>46173.830555555556</v>
      </c>
      <c r="C481" s="34" t="s">
        <v>600</v>
      </c>
      <c r="D481" s="34" t="s">
        <v>210</v>
      </c>
      <c r="E481" s="34" t="s">
        <v>235</v>
      </c>
      <c r="F481" s="34" t="s">
        <v>253</v>
      </c>
      <c r="G481" s="34" t="s">
        <v>242</v>
      </c>
      <c r="H481" s="34" t="s">
        <v>381</v>
      </c>
      <c r="I481" s="35" t="str">
        <f>VLOOKUP(H481,人員與團隊!$A$4:$D$27,3,FALSE)</f>
        <v>線上服務</v>
      </c>
      <c r="J481" s="34" t="s">
        <v>215</v>
      </c>
      <c r="K481" s="33">
        <v>46173.861805555556</v>
      </c>
      <c r="L481" s="33">
        <v>46174.303989618056</v>
      </c>
      <c r="M481" s="36">
        <f t="shared" si="35"/>
        <v>45</v>
      </c>
      <c r="N481" s="37">
        <f t="shared" si="36"/>
        <v>11.362417500000447</v>
      </c>
      <c r="O481" s="36">
        <f>VLOOKUP(G481,SLA標準!$A$4:$C$7,2,FALSE)</f>
        <v>240</v>
      </c>
      <c r="P481" s="37">
        <f>VLOOKUP(G481,SLA標準!$A$4:$C$7,3,FALSE)</f>
        <v>24</v>
      </c>
      <c r="Q481" s="35" t="str">
        <f t="shared" si="37"/>
        <v>達標</v>
      </c>
      <c r="R481" s="34" t="s">
        <v>41</v>
      </c>
      <c r="S481" s="35" t="str">
        <f t="shared" si="38"/>
        <v>否</v>
      </c>
      <c r="T481" s="36" t="str">
        <f>IFERROR(VLOOKUP(A481,滿意度調查!$B$4:$D$570,3,FALSE),"")</f>
        <v/>
      </c>
      <c r="U481" s="35" t="str">
        <f t="shared" si="39"/>
        <v>2026-05</v>
      </c>
      <c r="V481" s="38">
        <f>IF(J481="已結案",0,(使用說明!$B$7-B481)*24)</f>
        <v>0</v>
      </c>
    </row>
    <row r="482" spans="1:22">
      <c r="A482" s="32" t="s">
        <v>996</v>
      </c>
      <c r="B482" s="33">
        <v>46173.835416666669</v>
      </c>
      <c r="C482" s="34" t="s">
        <v>252</v>
      </c>
      <c r="D482" s="34" t="s">
        <v>218</v>
      </c>
      <c r="E482" s="34" t="s">
        <v>265</v>
      </c>
      <c r="F482" s="34" t="s">
        <v>301</v>
      </c>
      <c r="G482" s="34" t="s">
        <v>242</v>
      </c>
      <c r="H482" s="34" t="s">
        <v>279</v>
      </c>
      <c r="I482" s="35" t="str">
        <f>VLOOKUP(H482,人員與團隊!$A$4:$D$27,3,FALSE)</f>
        <v>南區服務</v>
      </c>
      <c r="J482" s="34" t="s">
        <v>215</v>
      </c>
      <c r="K482" s="33">
        <v>46173.969444444447</v>
      </c>
      <c r="L482" s="33">
        <v>46174.270927349535</v>
      </c>
      <c r="M482" s="36">
        <f t="shared" si="35"/>
        <v>193.00000000046566</v>
      </c>
      <c r="N482" s="37">
        <f t="shared" si="36"/>
        <v>10.452256388787646</v>
      </c>
      <c r="O482" s="36">
        <f>VLOOKUP(G482,SLA標準!$A$4:$C$7,2,FALSE)</f>
        <v>240</v>
      </c>
      <c r="P482" s="37">
        <f>VLOOKUP(G482,SLA標準!$A$4:$C$7,3,FALSE)</f>
        <v>24</v>
      </c>
      <c r="Q482" s="35" t="str">
        <f t="shared" si="37"/>
        <v>達標</v>
      </c>
      <c r="R482" s="34" t="s">
        <v>47</v>
      </c>
      <c r="S482" s="35" t="str">
        <f t="shared" si="38"/>
        <v>是</v>
      </c>
      <c r="T482" s="36">
        <f>IFERROR(VLOOKUP(A482,滿意度調查!$B$4:$D$570,3,FALSE),"")</f>
        <v>5</v>
      </c>
      <c r="U482" s="35" t="str">
        <f t="shared" si="39"/>
        <v>2026-05</v>
      </c>
      <c r="V482" s="38">
        <f>IF(J482="已結案",0,(使用說明!$B$7-B482)*24)</f>
        <v>0</v>
      </c>
    </row>
    <row r="483" spans="1:22">
      <c r="A483" s="32" t="s">
        <v>997</v>
      </c>
      <c r="B483" s="33">
        <v>46173.865972222222</v>
      </c>
      <c r="C483" s="34" t="s">
        <v>998</v>
      </c>
      <c r="D483" s="34" t="s">
        <v>225</v>
      </c>
      <c r="E483" s="34" t="s">
        <v>230</v>
      </c>
      <c r="F483" s="34" t="s">
        <v>272</v>
      </c>
      <c r="G483" s="34" t="s">
        <v>242</v>
      </c>
      <c r="H483" s="34" t="s">
        <v>328</v>
      </c>
      <c r="I483" s="35" t="str">
        <f>VLOOKUP(H483,人員與團隊!$A$4:$D$27,3,FALSE)</f>
        <v>北區服務</v>
      </c>
      <c r="J483" s="34" t="s">
        <v>215</v>
      </c>
      <c r="K483" s="33">
        <v>46173.918749999997</v>
      </c>
      <c r="L483" s="33">
        <v>46174.419978449077</v>
      </c>
      <c r="M483" s="36">
        <f t="shared" si="35"/>
        <v>75.99999999627471</v>
      </c>
      <c r="N483" s="37">
        <f t="shared" si="36"/>
        <v>13.296149444533512</v>
      </c>
      <c r="O483" s="36">
        <f>VLOOKUP(G483,SLA標準!$A$4:$C$7,2,FALSE)</f>
        <v>240</v>
      </c>
      <c r="P483" s="37">
        <f>VLOOKUP(G483,SLA標準!$A$4:$C$7,3,FALSE)</f>
        <v>24</v>
      </c>
      <c r="Q483" s="35" t="str">
        <f t="shared" si="37"/>
        <v>達標</v>
      </c>
      <c r="R483" s="34" t="s">
        <v>47</v>
      </c>
      <c r="S483" s="35" t="str">
        <f t="shared" si="38"/>
        <v>是</v>
      </c>
      <c r="T483" s="36">
        <f>IFERROR(VLOOKUP(A483,滿意度調查!$B$4:$D$570,3,FALSE),"")</f>
        <v>5</v>
      </c>
      <c r="U483" s="35" t="str">
        <f t="shared" si="39"/>
        <v>2026-05</v>
      </c>
      <c r="V483" s="38">
        <f>IF(J483="已結案",0,(使用說明!$B$7-B483)*24)</f>
        <v>0</v>
      </c>
    </row>
    <row r="484" spans="1:22">
      <c r="A484" s="32" t="s">
        <v>999</v>
      </c>
      <c r="B484" s="33">
        <v>46174.336805555555</v>
      </c>
      <c r="C484" s="34" t="s">
        <v>564</v>
      </c>
      <c r="D484" s="34" t="s">
        <v>225</v>
      </c>
      <c r="E484" s="34" t="s">
        <v>230</v>
      </c>
      <c r="F484" s="34" t="s">
        <v>320</v>
      </c>
      <c r="G484" s="34" t="s">
        <v>221</v>
      </c>
      <c r="H484" s="34" t="s">
        <v>250</v>
      </c>
      <c r="I484" s="35" t="str">
        <f>VLOOKUP(H484,人員與團隊!$A$4:$D$27,3,FALSE)</f>
        <v>南區服務</v>
      </c>
      <c r="J484" s="34" t="s">
        <v>215</v>
      </c>
      <c r="K484" s="33">
        <v>46174.363888888889</v>
      </c>
      <c r="L484" s="33">
        <v>46175.094670104168</v>
      </c>
      <c r="M484" s="36">
        <f t="shared" si="35"/>
        <v>39.000000001396984</v>
      </c>
      <c r="N484" s="37">
        <f t="shared" si="36"/>
        <v>18.188749166729394</v>
      </c>
      <c r="O484" s="36">
        <f>VLOOKUP(G484,SLA標準!$A$4:$C$7,2,FALSE)</f>
        <v>60</v>
      </c>
      <c r="P484" s="37">
        <f>VLOOKUP(G484,SLA標準!$A$4:$C$7,3,FALSE)</f>
        <v>8</v>
      </c>
      <c r="Q484" s="35" t="str">
        <f t="shared" si="37"/>
        <v>逾期</v>
      </c>
      <c r="R484" s="34" t="s">
        <v>47</v>
      </c>
      <c r="S484" s="35" t="str">
        <f t="shared" si="38"/>
        <v>是</v>
      </c>
      <c r="T484" s="36">
        <f>IFERROR(VLOOKUP(A484,滿意度調查!$B$4:$D$570,3,FALSE),"")</f>
        <v>3</v>
      </c>
      <c r="U484" s="35" t="str">
        <f t="shared" si="39"/>
        <v>2026-06</v>
      </c>
      <c r="V484" s="38">
        <f>IF(J484="已結案",0,(使用說明!$B$7-B484)*24)</f>
        <v>0</v>
      </c>
    </row>
    <row r="485" spans="1:22">
      <c r="A485" s="32" t="s">
        <v>1000</v>
      </c>
      <c r="B485" s="33">
        <v>46174.338194444441</v>
      </c>
      <c r="C485" s="34" t="s">
        <v>600</v>
      </c>
      <c r="D485" s="34" t="s">
        <v>210</v>
      </c>
      <c r="E485" s="34" t="s">
        <v>219</v>
      </c>
      <c r="F485" s="34" t="s">
        <v>220</v>
      </c>
      <c r="G485" s="34" t="s">
        <v>221</v>
      </c>
      <c r="H485" s="34" t="s">
        <v>408</v>
      </c>
      <c r="I485" s="35" t="str">
        <f>VLOOKUP(H485,人員與團隊!$A$4:$D$27,3,FALSE)</f>
        <v>線上服務</v>
      </c>
      <c r="J485" s="34" t="s">
        <v>215</v>
      </c>
      <c r="K485" s="33">
        <v>46174.34652777778</v>
      </c>
      <c r="L485" s="33">
        <v>46174.717501608793</v>
      </c>
      <c r="M485" s="36">
        <f t="shared" si="35"/>
        <v>12.000000007683411</v>
      </c>
      <c r="N485" s="37">
        <f t="shared" si="36"/>
        <v>9.1033719444531016</v>
      </c>
      <c r="O485" s="36">
        <f>VLOOKUP(G485,SLA標準!$A$4:$C$7,2,FALSE)</f>
        <v>60</v>
      </c>
      <c r="P485" s="37">
        <f>VLOOKUP(G485,SLA標準!$A$4:$C$7,3,FALSE)</f>
        <v>8</v>
      </c>
      <c r="Q485" s="35" t="str">
        <f t="shared" si="37"/>
        <v>逾期</v>
      </c>
      <c r="R485" s="34" t="s">
        <v>41</v>
      </c>
      <c r="S485" s="35" t="str">
        <f t="shared" si="38"/>
        <v>是</v>
      </c>
      <c r="T485" s="36">
        <f>IFERROR(VLOOKUP(A485,滿意度調查!$B$4:$D$570,3,FALSE),"")</f>
        <v>3</v>
      </c>
      <c r="U485" s="35" t="str">
        <f t="shared" si="39"/>
        <v>2026-06</v>
      </c>
      <c r="V485" s="38">
        <f>IF(J485="已結案",0,(使用說明!$B$7-B485)*24)</f>
        <v>0</v>
      </c>
    </row>
    <row r="486" spans="1:22">
      <c r="A486" s="32" t="s">
        <v>1001</v>
      </c>
      <c r="B486" s="33">
        <v>46174.381249999999</v>
      </c>
      <c r="C486" s="34" t="s">
        <v>434</v>
      </c>
      <c r="D486" s="34" t="s">
        <v>210</v>
      </c>
      <c r="E486" s="34" t="s">
        <v>219</v>
      </c>
      <c r="F486" s="34" t="s">
        <v>371</v>
      </c>
      <c r="G486" s="34" t="s">
        <v>242</v>
      </c>
      <c r="H486" s="34" t="s">
        <v>310</v>
      </c>
      <c r="I486" s="35" t="str">
        <f>VLOOKUP(H486,人員與團隊!$A$4:$D$27,3,FALSE)</f>
        <v>線上服務</v>
      </c>
      <c r="J486" s="34" t="s">
        <v>215</v>
      </c>
      <c r="K486" s="33">
        <v>46174.412499999999</v>
      </c>
      <c r="L486" s="33">
        <v>46175.015182951392</v>
      </c>
      <c r="M486" s="36">
        <f t="shared" si="35"/>
        <v>45</v>
      </c>
      <c r="N486" s="37">
        <f t="shared" si="36"/>
        <v>15.214390833454672</v>
      </c>
      <c r="O486" s="36">
        <f>VLOOKUP(G486,SLA標準!$A$4:$C$7,2,FALSE)</f>
        <v>240</v>
      </c>
      <c r="P486" s="37">
        <f>VLOOKUP(G486,SLA標準!$A$4:$C$7,3,FALSE)</f>
        <v>24</v>
      </c>
      <c r="Q486" s="35" t="str">
        <f t="shared" si="37"/>
        <v>達標</v>
      </c>
      <c r="R486" s="34" t="s">
        <v>47</v>
      </c>
      <c r="S486" s="35" t="str">
        <f t="shared" si="38"/>
        <v>是</v>
      </c>
      <c r="T486" s="36">
        <f>IFERROR(VLOOKUP(A486,滿意度調查!$B$4:$D$570,3,FALSE),"")</f>
        <v>5</v>
      </c>
      <c r="U486" s="35" t="str">
        <f t="shared" si="39"/>
        <v>2026-06</v>
      </c>
      <c r="V486" s="38">
        <f>IF(J486="已結案",0,(使用說明!$B$7-B486)*24)</f>
        <v>0</v>
      </c>
    </row>
    <row r="487" spans="1:22">
      <c r="A487" s="32" t="s">
        <v>1002</v>
      </c>
      <c r="B487" s="33">
        <v>46174.51458333333</v>
      </c>
      <c r="C487" s="34" t="s">
        <v>1003</v>
      </c>
      <c r="D487" s="34" t="s">
        <v>218</v>
      </c>
      <c r="E487" s="34" t="s">
        <v>245</v>
      </c>
      <c r="F487" s="34" t="s">
        <v>278</v>
      </c>
      <c r="G487" s="34" t="s">
        <v>242</v>
      </c>
      <c r="H487" s="34" t="s">
        <v>340</v>
      </c>
      <c r="I487" s="35" t="str">
        <f>VLOOKUP(H487,人員與團隊!$A$4:$D$27,3,FALSE)</f>
        <v>北區服務</v>
      </c>
      <c r="J487" s="34" t="s">
        <v>215</v>
      </c>
      <c r="K487" s="33">
        <v>46174.789583333331</v>
      </c>
      <c r="L487" s="33">
        <v>46175.588700451386</v>
      </c>
      <c r="M487" s="36">
        <f t="shared" si="35"/>
        <v>396.00000000209548</v>
      </c>
      <c r="N487" s="37">
        <f t="shared" si="36"/>
        <v>25.778810833347961</v>
      </c>
      <c r="O487" s="36">
        <f>VLOOKUP(G487,SLA標準!$A$4:$C$7,2,FALSE)</f>
        <v>240</v>
      </c>
      <c r="P487" s="37">
        <f>VLOOKUP(G487,SLA標準!$A$4:$C$7,3,FALSE)</f>
        <v>24</v>
      </c>
      <c r="Q487" s="35" t="str">
        <f t="shared" si="37"/>
        <v>逾期</v>
      </c>
      <c r="R487" s="34" t="s">
        <v>47</v>
      </c>
      <c r="S487" s="35" t="str">
        <f t="shared" si="38"/>
        <v>否</v>
      </c>
      <c r="T487" s="36" t="str">
        <f>IFERROR(VLOOKUP(A487,滿意度調查!$B$4:$D$570,3,FALSE),"")</f>
        <v/>
      </c>
      <c r="U487" s="35" t="str">
        <f t="shared" si="39"/>
        <v>2026-06</v>
      </c>
      <c r="V487" s="38">
        <f>IF(J487="已結案",0,(使用說明!$B$7-B487)*24)</f>
        <v>0</v>
      </c>
    </row>
    <row r="488" spans="1:22">
      <c r="A488" s="32" t="s">
        <v>1004</v>
      </c>
      <c r="B488" s="33">
        <v>46174.515972222223</v>
      </c>
      <c r="C488" s="34" t="s">
        <v>415</v>
      </c>
      <c r="D488" s="34" t="s">
        <v>240</v>
      </c>
      <c r="E488" s="34" t="s">
        <v>265</v>
      </c>
      <c r="F488" s="34" t="s">
        <v>266</v>
      </c>
      <c r="G488" s="34" t="s">
        <v>242</v>
      </c>
      <c r="H488" s="34" t="s">
        <v>361</v>
      </c>
      <c r="I488" s="35" t="str">
        <f>VLOOKUP(H488,人員與團隊!$A$4:$D$27,3,FALSE)</f>
        <v>南區服務</v>
      </c>
      <c r="J488" s="34" t="s">
        <v>215</v>
      </c>
      <c r="K488" s="33">
        <v>46174.654861111114</v>
      </c>
      <c r="L488" s="33">
        <v>46175.660537280091</v>
      </c>
      <c r="M488" s="36">
        <f t="shared" si="35"/>
        <v>200.00000000232831</v>
      </c>
      <c r="N488" s="37">
        <f t="shared" si="36"/>
        <v>27.469561388832517</v>
      </c>
      <c r="O488" s="36">
        <f>VLOOKUP(G488,SLA標準!$A$4:$C$7,2,FALSE)</f>
        <v>240</v>
      </c>
      <c r="P488" s="37">
        <f>VLOOKUP(G488,SLA標準!$A$4:$C$7,3,FALSE)</f>
        <v>24</v>
      </c>
      <c r="Q488" s="35" t="str">
        <f t="shared" si="37"/>
        <v>逾期</v>
      </c>
      <c r="R488" s="34" t="s">
        <v>47</v>
      </c>
      <c r="S488" s="35" t="str">
        <f t="shared" si="38"/>
        <v>是</v>
      </c>
      <c r="T488" s="36">
        <f>IFERROR(VLOOKUP(A488,滿意度調查!$B$4:$D$570,3,FALSE),"")</f>
        <v>3</v>
      </c>
      <c r="U488" s="35" t="str">
        <f t="shared" si="39"/>
        <v>2026-06</v>
      </c>
      <c r="V488" s="38">
        <f>IF(J488="已結案",0,(使用說明!$B$7-B488)*24)</f>
        <v>0</v>
      </c>
    </row>
    <row r="489" spans="1:22">
      <c r="A489" s="32" t="s">
        <v>1005</v>
      </c>
      <c r="B489" s="33">
        <v>46174.568749999999</v>
      </c>
      <c r="C489" s="34" t="s">
        <v>827</v>
      </c>
      <c r="D489" s="34" t="s">
        <v>218</v>
      </c>
      <c r="E489" s="34" t="s">
        <v>265</v>
      </c>
      <c r="F489" s="34" t="s">
        <v>304</v>
      </c>
      <c r="G489" s="34" t="s">
        <v>221</v>
      </c>
      <c r="H489" s="34" t="s">
        <v>267</v>
      </c>
      <c r="I489" s="35" t="str">
        <f>VLOOKUP(H489,人員與團隊!$A$4:$D$27,3,FALSE)</f>
        <v>南區服務</v>
      </c>
      <c r="J489" s="34" t="s">
        <v>215</v>
      </c>
      <c r="K489" s="33">
        <v>46174.598611111112</v>
      </c>
      <c r="L489" s="33">
        <v>46175.107377256943</v>
      </c>
      <c r="M489" s="36">
        <f t="shared" si="35"/>
        <v>43.000000003958121</v>
      </c>
      <c r="N489" s="37">
        <f t="shared" si="36"/>
        <v>12.927054166677408</v>
      </c>
      <c r="O489" s="36">
        <f>VLOOKUP(G489,SLA標準!$A$4:$C$7,2,FALSE)</f>
        <v>60</v>
      </c>
      <c r="P489" s="37">
        <f>VLOOKUP(G489,SLA標準!$A$4:$C$7,3,FALSE)</f>
        <v>8</v>
      </c>
      <c r="Q489" s="35" t="str">
        <f t="shared" si="37"/>
        <v>逾期</v>
      </c>
      <c r="R489" s="34" t="s">
        <v>47</v>
      </c>
      <c r="S489" s="35" t="str">
        <f t="shared" si="38"/>
        <v>是</v>
      </c>
      <c r="T489" s="36">
        <f>IFERROR(VLOOKUP(A489,滿意度調查!$B$4:$D$570,3,FALSE),"")</f>
        <v>3</v>
      </c>
      <c r="U489" s="35" t="str">
        <f t="shared" si="39"/>
        <v>2026-06</v>
      </c>
      <c r="V489" s="38">
        <f>IF(J489="已結案",0,(使用說明!$B$7-B489)*24)</f>
        <v>0</v>
      </c>
    </row>
    <row r="490" spans="1:22">
      <c r="A490" s="32" t="s">
        <v>1006</v>
      </c>
      <c r="B490" s="33">
        <v>46174.62222222222</v>
      </c>
      <c r="C490" s="34" t="s">
        <v>1007</v>
      </c>
      <c r="D490" s="34" t="s">
        <v>225</v>
      </c>
      <c r="E490" s="34" t="s">
        <v>211</v>
      </c>
      <c r="F490" s="34" t="s">
        <v>331</v>
      </c>
      <c r="G490" s="34" t="s">
        <v>242</v>
      </c>
      <c r="H490" s="34" t="s">
        <v>340</v>
      </c>
      <c r="I490" s="35" t="str">
        <f>VLOOKUP(H490,人員與團隊!$A$4:$D$27,3,FALSE)</f>
        <v>北區服務</v>
      </c>
      <c r="J490" s="34" t="s">
        <v>215</v>
      </c>
      <c r="K490" s="33">
        <v>46174.681944444441</v>
      </c>
      <c r="L490" s="33">
        <v>46174.788306759256</v>
      </c>
      <c r="M490" s="36">
        <f t="shared" si="35"/>
        <v>85.999999997438863</v>
      </c>
      <c r="N490" s="37">
        <f t="shared" si="36"/>
        <v>3.9860288888448849</v>
      </c>
      <c r="O490" s="36">
        <f>VLOOKUP(G490,SLA標準!$A$4:$C$7,2,FALSE)</f>
        <v>240</v>
      </c>
      <c r="P490" s="37">
        <f>VLOOKUP(G490,SLA標準!$A$4:$C$7,3,FALSE)</f>
        <v>24</v>
      </c>
      <c r="Q490" s="35" t="str">
        <f t="shared" si="37"/>
        <v>達標</v>
      </c>
      <c r="R490" s="34" t="s">
        <v>47</v>
      </c>
      <c r="S490" s="35" t="str">
        <f t="shared" si="38"/>
        <v>是</v>
      </c>
      <c r="T490" s="36">
        <f>IFERROR(VLOOKUP(A490,滿意度調查!$B$4:$D$570,3,FALSE),"")</f>
        <v>4</v>
      </c>
      <c r="U490" s="35" t="str">
        <f t="shared" si="39"/>
        <v>2026-06</v>
      </c>
      <c r="V490" s="38">
        <f>IF(J490="已結案",0,(使用說明!$B$7-B490)*24)</f>
        <v>0</v>
      </c>
    </row>
    <row r="491" spans="1:22">
      <c r="A491" s="32" t="s">
        <v>1008</v>
      </c>
      <c r="B491" s="33">
        <v>46174.648611111108</v>
      </c>
      <c r="C491" s="34" t="s">
        <v>417</v>
      </c>
      <c r="D491" s="34" t="s">
        <v>218</v>
      </c>
      <c r="E491" s="34" t="s">
        <v>245</v>
      </c>
      <c r="F491" s="34" t="s">
        <v>246</v>
      </c>
      <c r="G491" s="34" t="s">
        <v>221</v>
      </c>
      <c r="H491" s="34" t="s">
        <v>279</v>
      </c>
      <c r="I491" s="35" t="str">
        <f>VLOOKUP(H491,人員與團隊!$A$4:$D$27,3,FALSE)</f>
        <v>南區服務</v>
      </c>
      <c r="J491" s="34" t="s">
        <v>215</v>
      </c>
      <c r="K491" s="33">
        <v>46174.70416666667</v>
      </c>
      <c r="L491" s="33">
        <v>46175.765398078707</v>
      </c>
      <c r="M491" s="36">
        <f t="shared" si="35"/>
        <v>80.000000009313226</v>
      </c>
      <c r="N491" s="37">
        <f t="shared" si="36"/>
        <v>26.802887222380377</v>
      </c>
      <c r="O491" s="36">
        <f>VLOOKUP(G491,SLA標準!$A$4:$C$7,2,FALSE)</f>
        <v>60</v>
      </c>
      <c r="P491" s="37">
        <f>VLOOKUP(G491,SLA標準!$A$4:$C$7,3,FALSE)</f>
        <v>8</v>
      </c>
      <c r="Q491" s="35" t="str">
        <f t="shared" si="37"/>
        <v>逾期</v>
      </c>
      <c r="R491" s="34" t="s">
        <v>47</v>
      </c>
      <c r="S491" s="35" t="str">
        <f t="shared" si="38"/>
        <v>是</v>
      </c>
      <c r="T491" s="36">
        <f>IFERROR(VLOOKUP(A491,滿意度調查!$B$4:$D$570,3,FALSE),"")</f>
        <v>2</v>
      </c>
      <c r="U491" s="35" t="str">
        <f t="shared" si="39"/>
        <v>2026-06</v>
      </c>
      <c r="V491" s="38">
        <f>IF(J491="已結案",0,(使用說明!$B$7-B491)*24)</f>
        <v>0</v>
      </c>
    </row>
    <row r="492" spans="1:22">
      <c r="A492" s="32" t="s">
        <v>1009</v>
      </c>
      <c r="B492" s="33">
        <v>46174.723611111112</v>
      </c>
      <c r="C492" s="34" t="s">
        <v>795</v>
      </c>
      <c r="D492" s="34" t="s">
        <v>240</v>
      </c>
      <c r="E492" s="34" t="s">
        <v>235</v>
      </c>
      <c r="F492" s="34" t="s">
        <v>253</v>
      </c>
      <c r="G492" s="34" t="s">
        <v>242</v>
      </c>
      <c r="H492" s="34" t="s">
        <v>340</v>
      </c>
      <c r="I492" s="35" t="str">
        <f>VLOOKUP(H492,人員與團隊!$A$4:$D$27,3,FALSE)</f>
        <v>北區服務</v>
      </c>
      <c r="J492" s="34" t="s">
        <v>275</v>
      </c>
      <c r="K492" s="33">
        <v>46175.012499999997</v>
      </c>
      <c r="L492" s="33"/>
      <c r="M492" s="36">
        <f t="shared" si="35"/>
        <v>415.9999999939464</v>
      </c>
      <c r="N492" s="37" t="str">
        <f t="shared" si="36"/>
        <v/>
      </c>
      <c r="O492" s="36">
        <f>VLOOKUP(G492,SLA標準!$A$4:$C$7,2,FALSE)</f>
        <v>240</v>
      </c>
      <c r="P492" s="37">
        <f>VLOOKUP(G492,SLA標準!$A$4:$C$7,3,FALSE)</f>
        <v>24</v>
      </c>
      <c r="Q492" s="35" t="str">
        <f t="shared" si="37"/>
        <v>逾期</v>
      </c>
      <c r="R492" s="34" t="s">
        <v>47</v>
      </c>
      <c r="S492" s="35" t="str">
        <f t="shared" si="38"/>
        <v>否</v>
      </c>
      <c r="T492" s="36" t="str">
        <f>IFERROR(VLOOKUP(A492,滿意度調查!$B$4:$D$570,3,FALSE),"")</f>
        <v/>
      </c>
      <c r="U492" s="35" t="str">
        <f t="shared" si="39"/>
        <v>2026-06</v>
      </c>
      <c r="V492" s="38">
        <f>IF(J492="已結案",0,(使用說明!$B$7-B492)*24)</f>
        <v>711.63333333330229</v>
      </c>
    </row>
    <row r="493" spans="1:22">
      <c r="A493" s="32" t="s">
        <v>1010</v>
      </c>
      <c r="B493" s="33">
        <v>46174.771527777775</v>
      </c>
      <c r="C493" s="34" t="s">
        <v>582</v>
      </c>
      <c r="D493" s="34" t="s">
        <v>210</v>
      </c>
      <c r="E493" s="34" t="s">
        <v>230</v>
      </c>
      <c r="F493" s="34" t="s">
        <v>339</v>
      </c>
      <c r="G493" s="34" t="s">
        <v>242</v>
      </c>
      <c r="H493" s="34" t="s">
        <v>274</v>
      </c>
      <c r="I493" s="35" t="str">
        <f>VLOOKUP(H493,人員與團隊!$A$4:$D$27,3,FALSE)</f>
        <v>南區服務</v>
      </c>
      <c r="J493" s="34" t="s">
        <v>215</v>
      </c>
      <c r="K493" s="33">
        <v>46174.86041666667</v>
      </c>
      <c r="L493" s="33">
        <v>46176.114128530091</v>
      </c>
      <c r="M493" s="36">
        <f t="shared" si="35"/>
        <v>128.00000000861473</v>
      </c>
      <c r="N493" s="37">
        <f t="shared" si="36"/>
        <v>32.222418055578601</v>
      </c>
      <c r="O493" s="36">
        <f>VLOOKUP(G493,SLA標準!$A$4:$C$7,2,FALSE)</f>
        <v>240</v>
      </c>
      <c r="P493" s="37">
        <f>VLOOKUP(G493,SLA標準!$A$4:$C$7,3,FALSE)</f>
        <v>24</v>
      </c>
      <c r="Q493" s="35" t="str">
        <f t="shared" si="37"/>
        <v>逾期</v>
      </c>
      <c r="R493" s="34" t="s">
        <v>47</v>
      </c>
      <c r="S493" s="35" t="str">
        <f t="shared" si="38"/>
        <v>是</v>
      </c>
      <c r="T493" s="36">
        <f>IFERROR(VLOOKUP(A493,滿意度調查!$B$4:$D$570,3,FALSE),"")</f>
        <v>3</v>
      </c>
      <c r="U493" s="35" t="str">
        <f t="shared" si="39"/>
        <v>2026-06</v>
      </c>
      <c r="V493" s="38">
        <f>IF(J493="已結案",0,(使用說明!$B$7-B493)*24)</f>
        <v>0</v>
      </c>
    </row>
    <row r="494" spans="1:22">
      <c r="A494" s="32" t="s">
        <v>1011</v>
      </c>
      <c r="B494" s="33">
        <v>46174.772916666669</v>
      </c>
      <c r="C494" s="34" t="s">
        <v>264</v>
      </c>
      <c r="D494" s="34" t="s">
        <v>225</v>
      </c>
      <c r="E494" s="34" t="s">
        <v>230</v>
      </c>
      <c r="F494" s="34" t="s">
        <v>339</v>
      </c>
      <c r="G494" s="34" t="s">
        <v>221</v>
      </c>
      <c r="H494" s="34" t="s">
        <v>250</v>
      </c>
      <c r="I494" s="35" t="str">
        <f>VLOOKUP(H494,人員與團隊!$A$4:$D$27,3,FALSE)</f>
        <v>南區服務</v>
      </c>
      <c r="J494" s="34" t="s">
        <v>215</v>
      </c>
      <c r="K494" s="33">
        <v>46174.788194444445</v>
      </c>
      <c r="L494" s="33">
        <v>46175.63930289352</v>
      </c>
      <c r="M494" s="36">
        <f t="shared" si="35"/>
        <v>21.999999998370185</v>
      </c>
      <c r="N494" s="37">
        <f t="shared" si="36"/>
        <v>20.793269444431644</v>
      </c>
      <c r="O494" s="36">
        <f>VLOOKUP(G494,SLA標準!$A$4:$C$7,2,FALSE)</f>
        <v>60</v>
      </c>
      <c r="P494" s="37">
        <f>VLOOKUP(G494,SLA標準!$A$4:$C$7,3,FALSE)</f>
        <v>8</v>
      </c>
      <c r="Q494" s="35" t="str">
        <f t="shared" si="37"/>
        <v>逾期</v>
      </c>
      <c r="R494" s="34" t="s">
        <v>47</v>
      </c>
      <c r="S494" s="35" t="str">
        <f t="shared" si="38"/>
        <v>是</v>
      </c>
      <c r="T494" s="36">
        <f>IFERROR(VLOOKUP(A494,滿意度調查!$B$4:$D$570,3,FALSE),"")</f>
        <v>3</v>
      </c>
      <c r="U494" s="35" t="str">
        <f t="shared" si="39"/>
        <v>2026-06</v>
      </c>
      <c r="V494" s="38">
        <f>IF(J494="已結案",0,(使用說明!$B$7-B494)*24)</f>
        <v>0</v>
      </c>
    </row>
    <row r="495" spans="1:22">
      <c r="A495" s="32" t="s">
        <v>1012</v>
      </c>
      <c r="B495" s="33">
        <v>46174.791666666664</v>
      </c>
      <c r="C495" s="34" t="s">
        <v>552</v>
      </c>
      <c r="D495" s="34" t="s">
        <v>218</v>
      </c>
      <c r="E495" s="34" t="s">
        <v>211</v>
      </c>
      <c r="F495" s="34" t="s">
        <v>226</v>
      </c>
      <c r="G495" s="34" t="s">
        <v>242</v>
      </c>
      <c r="H495" s="34" t="s">
        <v>243</v>
      </c>
      <c r="I495" s="35" t="str">
        <f>VLOOKUP(H495,人員與團隊!$A$4:$D$27,3,FALSE)</f>
        <v>南區服務</v>
      </c>
      <c r="J495" s="34" t="s">
        <v>215</v>
      </c>
      <c r="K495" s="33">
        <v>46174.989583333336</v>
      </c>
      <c r="L495" s="33">
        <v>46174.938148576388</v>
      </c>
      <c r="M495" s="36">
        <f t="shared" si="35"/>
        <v>285.00000000698492</v>
      </c>
      <c r="N495" s="37">
        <f t="shared" si="36"/>
        <v>3.515565833367873</v>
      </c>
      <c r="O495" s="36">
        <f>VLOOKUP(G495,SLA標準!$A$4:$C$7,2,FALSE)</f>
        <v>240</v>
      </c>
      <c r="P495" s="37">
        <f>VLOOKUP(G495,SLA標準!$A$4:$C$7,3,FALSE)</f>
        <v>24</v>
      </c>
      <c r="Q495" s="35" t="str">
        <f t="shared" si="37"/>
        <v>逾期</v>
      </c>
      <c r="R495" s="34" t="s">
        <v>47</v>
      </c>
      <c r="S495" s="35" t="str">
        <f t="shared" si="38"/>
        <v>是</v>
      </c>
      <c r="T495" s="36">
        <f>IFERROR(VLOOKUP(A495,滿意度調查!$B$4:$D$570,3,FALSE),"")</f>
        <v>3</v>
      </c>
      <c r="U495" s="35" t="str">
        <f t="shared" si="39"/>
        <v>2026-06</v>
      </c>
      <c r="V495" s="38">
        <f>IF(J495="已結案",0,(使用說明!$B$7-B495)*24)</f>
        <v>0</v>
      </c>
    </row>
    <row r="496" spans="1:22">
      <c r="A496" s="32" t="s">
        <v>1013</v>
      </c>
      <c r="B496" s="33">
        <v>46174.819444444445</v>
      </c>
      <c r="C496" s="34" t="s">
        <v>469</v>
      </c>
      <c r="D496" s="34" t="s">
        <v>210</v>
      </c>
      <c r="E496" s="34" t="s">
        <v>265</v>
      </c>
      <c r="F496" s="34" t="s">
        <v>479</v>
      </c>
      <c r="G496" s="34" t="s">
        <v>350</v>
      </c>
      <c r="H496" s="34" t="s">
        <v>243</v>
      </c>
      <c r="I496" s="35" t="str">
        <f>VLOOKUP(H496,人員與團隊!$A$4:$D$27,3,FALSE)</f>
        <v>南區服務</v>
      </c>
      <c r="J496" s="34" t="s">
        <v>215</v>
      </c>
      <c r="K496" s="33">
        <v>46174.830555555556</v>
      </c>
      <c r="L496" s="33">
        <v>46175.266925277778</v>
      </c>
      <c r="M496" s="36">
        <f t="shared" si="35"/>
        <v>15.999999999767169</v>
      </c>
      <c r="N496" s="37">
        <f t="shared" si="36"/>
        <v>10.739539999980479</v>
      </c>
      <c r="O496" s="36">
        <f>VLOOKUP(G496,SLA標準!$A$4:$C$7,2,FALSE)</f>
        <v>30</v>
      </c>
      <c r="P496" s="37">
        <f>VLOOKUP(G496,SLA標準!$A$4:$C$7,3,FALSE)</f>
        <v>4</v>
      </c>
      <c r="Q496" s="35" t="str">
        <f t="shared" si="37"/>
        <v>逾期</v>
      </c>
      <c r="R496" s="34" t="s">
        <v>47</v>
      </c>
      <c r="S496" s="35" t="str">
        <f t="shared" si="38"/>
        <v>是</v>
      </c>
      <c r="T496" s="36">
        <f>IFERROR(VLOOKUP(A496,滿意度調查!$B$4:$D$570,3,FALSE),"")</f>
        <v>3</v>
      </c>
      <c r="U496" s="35" t="str">
        <f t="shared" si="39"/>
        <v>2026-06</v>
      </c>
      <c r="V496" s="38">
        <f>IF(J496="已結案",0,(使用說明!$B$7-B496)*24)</f>
        <v>0</v>
      </c>
    </row>
    <row r="497" spans="1:22">
      <c r="A497" s="32" t="s">
        <v>1014</v>
      </c>
      <c r="B497" s="33">
        <v>46174.852777777778</v>
      </c>
      <c r="C497" s="34" t="s">
        <v>1015</v>
      </c>
      <c r="D497" s="34" t="s">
        <v>225</v>
      </c>
      <c r="E497" s="34" t="s">
        <v>211</v>
      </c>
      <c r="F497" s="34" t="s">
        <v>212</v>
      </c>
      <c r="G497" s="34" t="s">
        <v>242</v>
      </c>
      <c r="H497" s="34" t="s">
        <v>250</v>
      </c>
      <c r="I497" s="35" t="str">
        <f>VLOOKUP(H497,人員與團隊!$A$4:$D$27,3,FALSE)</f>
        <v>南區服務</v>
      </c>
      <c r="J497" s="34" t="s">
        <v>215</v>
      </c>
      <c r="K497" s="33">
        <v>46174.927777777775</v>
      </c>
      <c r="L497" s="33">
        <v>46175.042150532405</v>
      </c>
      <c r="M497" s="36">
        <f t="shared" si="35"/>
        <v>107.99999999580905</v>
      </c>
      <c r="N497" s="37">
        <f t="shared" si="36"/>
        <v>4.5449461110401899</v>
      </c>
      <c r="O497" s="36">
        <f>VLOOKUP(G497,SLA標準!$A$4:$C$7,2,FALSE)</f>
        <v>240</v>
      </c>
      <c r="P497" s="37">
        <f>VLOOKUP(G497,SLA標準!$A$4:$C$7,3,FALSE)</f>
        <v>24</v>
      </c>
      <c r="Q497" s="35" t="str">
        <f t="shared" si="37"/>
        <v>達標</v>
      </c>
      <c r="R497" s="34" t="s">
        <v>47</v>
      </c>
      <c r="S497" s="35" t="str">
        <f t="shared" si="38"/>
        <v>是</v>
      </c>
      <c r="T497" s="36">
        <f>IFERROR(VLOOKUP(A497,滿意度調查!$B$4:$D$570,3,FALSE),"")</f>
        <v>4</v>
      </c>
      <c r="U497" s="35" t="str">
        <f t="shared" si="39"/>
        <v>2026-06</v>
      </c>
      <c r="V497" s="38">
        <f>IF(J497="已結案",0,(使用說明!$B$7-B497)*24)</f>
        <v>0</v>
      </c>
    </row>
    <row r="498" spans="1:22">
      <c r="A498" s="32" t="s">
        <v>1016</v>
      </c>
      <c r="B498" s="33">
        <v>46174.864583333336</v>
      </c>
      <c r="C498" s="34" t="s">
        <v>1017</v>
      </c>
      <c r="D498" s="34" t="s">
        <v>225</v>
      </c>
      <c r="E498" s="34" t="s">
        <v>265</v>
      </c>
      <c r="F498" s="34" t="s">
        <v>266</v>
      </c>
      <c r="G498" s="34" t="s">
        <v>221</v>
      </c>
      <c r="H498" s="34" t="s">
        <v>328</v>
      </c>
      <c r="I498" s="35" t="str">
        <f>VLOOKUP(H498,人員與團隊!$A$4:$D$27,3,FALSE)</f>
        <v>北區服務</v>
      </c>
      <c r="J498" s="34" t="s">
        <v>215</v>
      </c>
      <c r="K498" s="33">
        <v>46174.902777777781</v>
      </c>
      <c r="L498" s="33">
        <v>46175.805056701392</v>
      </c>
      <c r="M498" s="36">
        <f t="shared" si="35"/>
        <v>55.000000001164153</v>
      </c>
      <c r="N498" s="37">
        <f t="shared" si="36"/>
        <v>22.571360833360814</v>
      </c>
      <c r="O498" s="36">
        <f>VLOOKUP(G498,SLA標準!$A$4:$C$7,2,FALSE)</f>
        <v>60</v>
      </c>
      <c r="P498" s="37">
        <f>VLOOKUP(G498,SLA標準!$A$4:$C$7,3,FALSE)</f>
        <v>8</v>
      </c>
      <c r="Q498" s="35" t="str">
        <f t="shared" si="37"/>
        <v>逾期</v>
      </c>
      <c r="R498" s="34" t="s">
        <v>47</v>
      </c>
      <c r="S498" s="35" t="str">
        <f t="shared" si="38"/>
        <v>是</v>
      </c>
      <c r="T498" s="36">
        <f>IFERROR(VLOOKUP(A498,滿意度調查!$B$4:$D$570,3,FALSE),"")</f>
        <v>3</v>
      </c>
      <c r="U498" s="35" t="str">
        <f t="shared" si="39"/>
        <v>2026-06</v>
      </c>
      <c r="V498" s="38">
        <f>IF(J498="已結案",0,(使用說明!$B$7-B498)*24)</f>
        <v>0</v>
      </c>
    </row>
    <row r="499" spans="1:22">
      <c r="A499" s="32" t="s">
        <v>1018</v>
      </c>
      <c r="B499" s="33">
        <v>46174.865277777775</v>
      </c>
      <c r="C499" s="34" t="s">
        <v>434</v>
      </c>
      <c r="D499" s="34" t="s">
        <v>225</v>
      </c>
      <c r="E499" s="34" t="s">
        <v>211</v>
      </c>
      <c r="F499" s="34" t="s">
        <v>226</v>
      </c>
      <c r="G499" s="34" t="s">
        <v>242</v>
      </c>
      <c r="H499" s="34" t="s">
        <v>315</v>
      </c>
      <c r="I499" s="35" t="str">
        <f>VLOOKUP(H499,人員與團隊!$A$4:$D$27,3,FALSE)</f>
        <v>北區服務</v>
      </c>
      <c r="J499" s="34" t="s">
        <v>356</v>
      </c>
      <c r="K499" s="33">
        <v>46174.974305555559</v>
      </c>
      <c r="L499" s="33"/>
      <c r="M499" s="36">
        <f t="shared" si="35"/>
        <v>157.00000000884756</v>
      </c>
      <c r="N499" s="37" t="str">
        <f t="shared" si="36"/>
        <v/>
      </c>
      <c r="O499" s="36">
        <f>VLOOKUP(G499,SLA標準!$A$4:$C$7,2,FALSE)</f>
        <v>240</v>
      </c>
      <c r="P499" s="37">
        <f>VLOOKUP(G499,SLA標準!$A$4:$C$7,3,FALSE)</f>
        <v>24</v>
      </c>
      <c r="Q499" s="35" t="str">
        <f t="shared" si="37"/>
        <v>逾期</v>
      </c>
      <c r="R499" s="34" t="s">
        <v>47</v>
      </c>
      <c r="S499" s="35" t="str">
        <f t="shared" si="38"/>
        <v>否</v>
      </c>
      <c r="T499" s="36" t="str">
        <f>IFERROR(VLOOKUP(A499,滿意度調查!$B$4:$D$570,3,FALSE),"")</f>
        <v/>
      </c>
      <c r="U499" s="35" t="str">
        <f t="shared" si="39"/>
        <v>2026-06</v>
      </c>
      <c r="V499" s="38">
        <f>IF(J499="已結案",0,(使用說明!$B$7-B499)*24)</f>
        <v>708.23333333339542</v>
      </c>
    </row>
    <row r="500" spans="1:22">
      <c r="A500" s="32" t="s">
        <v>1019</v>
      </c>
      <c r="B500" s="33">
        <v>46174.871527777781</v>
      </c>
      <c r="C500" s="34" t="s">
        <v>662</v>
      </c>
      <c r="D500" s="34" t="s">
        <v>225</v>
      </c>
      <c r="E500" s="34" t="s">
        <v>219</v>
      </c>
      <c r="F500" s="34" t="s">
        <v>220</v>
      </c>
      <c r="G500" s="34" t="s">
        <v>221</v>
      </c>
      <c r="H500" s="34" t="s">
        <v>340</v>
      </c>
      <c r="I500" s="35" t="str">
        <f>VLOOKUP(H500,人員與團隊!$A$4:$D$27,3,FALSE)</f>
        <v>北區服務</v>
      </c>
      <c r="J500" s="34" t="s">
        <v>215</v>
      </c>
      <c r="K500" s="33">
        <v>46174.912499999999</v>
      </c>
      <c r="L500" s="33">
        <v>46175.276894085648</v>
      </c>
      <c r="M500" s="36">
        <f t="shared" si="35"/>
        <v>58.999999993247911</v>
      </c>
      <c r="N500" s="37">
        <f t="shared" si="36"/>
        <v>9.7287913887994364</v>
      </c>
      <c r="O500" s="36">
        <f>VLOOKUP(G500,SLA標準!$A$4:$C$7,2,FALSE)</f>
        <v>60</v>
      </c>
      <c r="P500" s="37">
        <f>VLOOKUP(G500,SLA標準!$A$4:$C$7,3,FALSE)</f>
        <v>8</v>
      </c>
      <c r="Q500" s="35" t="str">
        <f t="shared" si="37"/>
        <v>逾期</v>
      </c>
      <c r="R500" s="34" t="s">
        <v>47</v>
      </c>
      <c r="S500" s="35" t="str">
        <f t="shared" si="38"/>
        <v>是</v>
      </c>
      <c r="T500" s="36">
        <f>IFERROR(VLOOKUP(A500,滿意度調查!$B$4:$D$570,3,FALSE),"")</f>
        <v>3</v>
      </c>
      <c r="U500" s="35" t="str">
        <f t="shared" si="39"/>
        <v>2026-06</v>
      </c>
      <c r="V500" s="38">
        <f>IF(J500="已結案",0,(使用說明!$B$7-B500)*24)</f>
        <v>0</v>
      </c>
    </row>
    <row r="501" spans="1:22">
      <c r="A501" s="32" t="s">
        <v>1020</v>
      </c>
      <c r="B501" s="33">
        <v>46175.441666666666</v>
      </c>
      <c r="C501" s="34" t="s">
        <v>517</v>
      </c>
      <c r="D501" s="34" t="s">
        <v>225</v>
      </c>
      <c r="E501" s="34" t="s">
        <v>265</v>
      </c>
      <c r="F501" s="34" t="s">
        <v>304</v>
      </c>
      <c r="G501" s="34" t="s">
        <v>213</v>
      </c>
      <c r="H501" s="34" t="s">
        <v>274</v>
      </c>
      <c r="I501" s="35" t="str">
        <f>VLOOKUP(H501,人員與團隊!$A$4:$D$27,3,FALSE)</f>
        <v>南區服務</v>
      </c>
      <c r="J501" s="34" t="s">
        <v>215</v>
      </c>
      <c r="K501" s="33">
        <v>46175.669444444444</v>
      </c>
      <c r="L501" s="33">
        <v>46176.192609131947</v>
      </c>
      <c r="M501" s="36">
        <f t="shared" si="35"/>
        <v>328.00000000046566</v>
      </c>
      <c r="N501" s="37">
        <f t="shared" si="36"/>
        <v>18.022619166760705</v>
      </c>
      <c r="O501" s="36">
        <f>VLOOKUP(G501,SLA標準!$A$4:$C$7,2,FALSE)</f>
        <v>480</v>
      </c>
      <c r="P501" s="37">
        <f>VLOOKUP(G501,SLA標準!$A$4:$C$7,3,FALSE)</f>
        <v>48</v>
      </c>
      <c r="Q501" s="35" t="str">
        <f t="shared" si="37"/>
        <v>達標</v>
      </c>
      <c r="R501" s="34" t="s">
        <v>47</v>
      </c>
      <c r="S501" s="35" t="str">
        <f t="shared" si="38"/>
        <v>是</v>
      </c>
      <c r="T501" s="36">
        <f>IFERROR(VLOOKUP(A501,滿意度調查!$B$4:$D$570,3,FALSE),"")</f>
        <v>5</v>
      </c>
      <c r="U501" s="35" t="str">
        <f t="shared" si="39"/>
        <v>2026-06</v>
      </c>
      <c r="V501" s="38">
        <f>IF(J501="已結案",0,(使用說明!$B$7-B501)*24)</f>
        <v>0</v>
      </c>
    </row>
    <row r="502" spans="1:22">
      <c r="A502" s="32" t="s">
        <v>1021</v>
      </c>
      <c r="B502" s="33">
        <v>46175.460416666669</v>
      </c>
      <c r="C502" s="34" t="s">
        <v>920</v>
      </c>
      <c r="D502" s="34" t="s">
        <v>218</v>
      </c>
      <c r="E502" s="34" t="s">
        <v>219</v>
      </c>
      <c r="F502" s="34" t="s">
        <v>220</v>
      </c>
      <c r="G502" s="34" t="s">
        <v>221</v>
      </c>
      <c r="H502" s="34" t="s">
        <v>237</v>
      </c>
      <c r="I502" s="35" t="str">
        <f>VLOOKUP(H502,人員與團隊!$A$4:$D$27,3,FALSE)</f>
        <v>北區服務</v>
      </c>
      <c r="J502" s="34" t="s">
        <v>215</v>
      </c>
      <c r="K502" s="33">
        <v>46175.522916666669</v>
      </c>
      <c r="L502" s="33">
        <v>46175.975930046297</v>
      </c>
      <c r="M502" s="36">
        <f t="shared" si="35"/>
        <v>90</v>
      </c>
      <c r="N502" s="37">
        <f t="shared" si="36"/>
        <v>12.372321111091878</v>
      </c>
      <c r="O502" s="36">
        <f>VLOOKUP(G502,SLA標準!$A$4:$C$7,2,FALSE)</f>
        <v>60</v>
      </c>
      <c r="P502" s="37">
        <f>VLOOKUP(G502,SLA標準!$A$4:$C$7,3,FALSE)</f>
        <v>8</v>
      </c>
      <c r="Q502" s="35" t="str">
        <f t="shared" si="37"/>
        <v>逾期</v>
      </c>
      <c r="R502" s="34" t="s">
        <v>41</v>
      </c>
      <c r="S502" s="35" t="str">
        <f t="shared" si="38"/>
        <v>是</v>
      </c>
      <c r="T502" s="36">
        <f>IFERROR(VLOOKUP(A502,滿意度調查!$B$4:$D$570,3,FALSE),"")</f>
        <v>2</v>
      </c>
      <c r="U502" s="35" t="str">
        <f t="shared" si="39"/>
        <v>2026-06</v>
      </c>
      <c r="V502" s="38">
        <f>IF(J502="已結案",0,(使用說明!$B$7-B502)*24)</f>
        <v>0</v>
      </c>
    </row>
    <row r="503" spans="1:22">
      <c r="A503" s="32" t="s">
        <v>1022</v>
      </c>
      <c r="B503" s="33">
        <v>46175.532638888886</v>
      </c>
      <c r="C503" s="34" t="s">
        <v>1023</v>
      </c>
      <c r="D503" s="34" t="s">
        <v>210</v>
      </c>
      <c r="E503" s="34" t="s">
        <v>265</v>
      </c>
      <c r="F503" s="34" t="s">
        <v>479</v>
      </c>
      <c r="G503" s="34" t="s">
        <v>242</v>
      </c>
      <c r="H503" s="34" t="s">
        <v>262</v>
      </c>
      <c r="I503" s="35" t="str">
        <f>VLOOKUP(H503,人員與團隊!$A$4:$D$27,3,FALSE)</f>
        <v>南區服務</v>
      </c>
      <c r="J503" s="34" t="s">
        <v>215</v>
      </c>
      <c r="K503" s="33">
        <v>46175.59097222222</v>
      </c>
      <c r="L503" s="33">
        <v>46176.141281053242</v>
      </c>
      <c r="M503" s="36">
        <f t="shared" si="35"/>
        <v>84.000000001396984</v>
      </c>
      <c r="N503" s="37">
        <f t="shared" si="36"/>
        <v>14.607411944540218</v>
      </c>
      <c r="O503" s="36">
        <f>VLOOKUP(G503,SLA標準!$A$4:$C$7,2,FALSE)</f>
        <v>240</v>
      </c>
      <c r="P503" s="37">
        <f>VLOOKUP(G503,SLA標準!$A$4:$C$7,3,FALSE)</f>
        <v>24</v>
      </c>
      <c r="Q503" s="35" t="str">
        <f t="shared" si="37"/>
        <v>達標</v>
      </c>
      <c r="R503" s="34" t="s">
        <v>47</v>
      </c>
      <c r="S503" s="35" t="str">
        <f t="shared" si="38"/>
        <v>是</v>
      </c>
      <c r="T503" s="36">
        <f>IFERROR(VLOOKUP(A503,滿意度調查!$B$4:$D$570,3,FALSE),"")</f>
        <v>4</v>
      </c>
      <c r="U503" s="35" t="str">
        <f t="shared" si="39"/>
        <v>2026-06</v>
      </c>
      <c r="V503" s="38">
        <f>IF(J503="已結案",0,(使用說明!$B$7-B503)*24)</f>
        <v>0</v>
      </c>
    </row>
    <row r="504" spans="1:22">
      <c r="A504" s="32" t="s">
        <v>1024</v>
      </c>
      <c r="B504" s="33">
        <v>46175.542361111111</v>
      </c>
      <c r="C504" s="34" t="s">
        <v>1007</v>
      </c>
      <c r="D504" s="34" t="s">
        <v>210</v>
      </c>
      <c r="E504" s="34" t="s">
        <v>211</v>
      </c>
      <c r="F504" s="34" t="s">
        <v>331</v>
      </c>
      <c r="G504" s="34" t="s">
        <v>242</v>
      </c>
      <c r="H504" s="34" t="s">
        <v>325</v>
      </c>
      <c r="I504" s="35" t="str">
        <f>VLOOKUP(H504,人員與團隊!$A$4:$D$27,3,FALSE)</f>
        <v>線上服務</v>
      </c>
      <c r="J504" s="34" t="s">
        <v>215</v>
      </c>
      <c r="K504" s="33">
        <v>46175.575694444444</v>
      </c>
      <c r="L504" s="33">
        <v>46175.7626327662</v>
      </c>
      <c r="M504" s="36">
        <f t="shared" si="35"/>
        <v>47.999999999301508</v>
      </c>
      <c r="N504" s="37">
        <f t="shared" si="36"/>
        <v>5.2865197221399285</v>
      </c>
      <c r="O504" s="36">
        <f>VLOOKUP(G504,SLA標準!$A$4:$C$7,2,FALSE)</f>
        <v>240</v>
      </c>
      <c r="P504" s="37">
        <f>VLOOKUP(G504,SLA標準!$A$4:$C$7,3,FALSE)</f>
        <v>24</v>
      </c>
      <c r="Q504" s="35" t="str">
        <f t="shared" si="37"/>
        <v>達標</v>
      </c>
      <c r="R504" s="34" t="s">
        <v>41</v>
      </c>
      <c r="S504" s="35" t="str">
        <f t="shared" si="38"/>
        <v>是</v>
      </c>
      <c r="T504" s="36">
        <f>IFERROR(VLOOKUP(A504,滿意度調查!$B$4:$D$570,3,FALSE),"")</f>
        <v>4</v>
      </c>
      <c r="U504" s="35" t="str">
        <f t="shared" si="39"/>
        <v>2026-06</v>
      </c>
      <c r="V504" s="38">
        <f>IF(J504="已結案",0,(使用說明!$B$7-B504)*24)</f>
        <v>0</v>
      </c>
    </row>
    <row r="505" spans="1:22">
      <c r="A505" s="32" t="s">
        <v>1025</v>
      </c>
      <c r="B505" s="33">
        <v>46175.605555555558</v>
      </c>
      <c r="C505" s="34" t="s">
        <v>998</v>
      </c>
      <c r="D505" s="34" t="s">
        <v>240</v>
      </c>
      <c r="E505" s="34" t="s">
        <v>211</v>
      </c>
      <c r="F505" s="34" t="s">
        <v>334</v>
      </c>
      <c r="G505" s="34" t="s">
        <v>213</v>
      </c>
      <c r="H505" s="34" t="s">
        <v>340</v>
      </c>
      <c r="I505" s="35" t="str">
        <f>VLOOKUP(H505,人員與團隊!$A$4:$D$27,3,FALSE)</f>
        <v>北區服務</v>
      </c>
      <c r="J505" s="34" t="s">
        <v>215</v>
      </c>
      <c r="K505" s="33">
        <v>46176.048611111109</v>
      </c>
      <c r="L505" s="33">
        <v>46175.874369710647</v>
      </c>
      <c r="M505" s="36">
        <f t="shared" si="35"/>
        <v>637.9999999946449</v>
      </c>
      <c r="N505" s="37">
        <f t="shared" si="36"/>
        <v>6.4515397221548483</v>
      </c>
      <c r="O505" s="36">
        <f>VLOOKUP(G505,SLA標準!$A$4:$C$7,2,FALSE)</f>
        <v>480</v>
      </c>
      <c r="P505" s="37">
        <f>VLOOKUP(G505,SLA標準!$A$4:$C$7,3,FALSE)</f>
        <v>48</v>
      </c>
      <c r="Q505" s="35" t="str">
        <f t="shared" si="37"/>
        <v>逾期</v>
      </c>
      <c r="R505" s="34" t="s">
        <v>47</v>
      </c>
      <c r="S505" s="35" t="str">
        <f t="shared" si="38"/>
        <v>是</v>
      </c>
      <c r="T505" s="36">
        <f>IFERROR(VLOOKUP(A505,滿意度調查!$B$4:$D$570,3,FALSE),"")</f>
        <v>4</v>
      </c>
      <c r="U505" s="35" t="str">
        <f t="shared" si="39"/>
        <v>2026-06</v>
      </c>
      <c r="V505" s="38">
        <f>IF(J505="已結案",0,(使用說明!$B$7-B505)*24)</f>
        <v>0</v>
      </c>
    </row>
    <row r="506" spans="1:22">
      <c r="A506" s="32" t="s">
        <v>1026</v>
      </c>
      <c r="B506" s="33">
        <v>46175.635416666664</v>
      </c>
      <c r="C506" s="34" t="s">
        <v>891</v>
      </c>
      <c r="D506" s="34" t="s">
        <v>240</v>
      </c>
      <c r="E506" s="34" t="s">
        <v>211</v>
      </c>
      <c r="F506" s="34" t="s">
        <v>334</v>
      </c>
      <c r="G506" s="34" t="s">
        <v>242</v>
      </c>
      <c r="H506" s="34" t="s">
        <v>340</v>
      </c>
      <c r="I506" s="35" t="str">
        <f>VLOOKUP(H506,人員與團隊!$A$4:$D$27,3,FALSE)</f>
        <v>北區服務</v>
      </c>
      <c r="J506" s="34" t="s">
        <v>774</v>
      </c>
      <c r="K506" s="33">
        <v>46175.811111111114</v>
      </c>
      <c r="L506" s="33"/>
      <c r="M506" s="36">
        <f t="shared" si="35"/>
        <v>253.00000000745058</v>
      </c>
      <c r="N506" s="37" t="str">
        <f t="shared" si="36"/>
        <v/>
      </c>
      <c r="O506" s="36">
        <f>VLOOKUP(G506,SLA標準!$A$4:$C$7,2,FALSE)</f>
        <v>240</v>
      </c>
      <c r="P506" s="37">
        <f>VLOOKUP(G506,SLA標準!$A$4:$C$7,3,FALSE)</f>
        <v>24</v>
      </c>
      <c r="Q506" s="35" t="str">
        <f t="shared" si="37"/>
        <v>逾期</v>
      </c>
      <c r="R506" s="34" t="s">
        <v>47</v>
      </c>
      <c r="S506" s="35" t="str">
        <f t="shared" si="38"/>
        <v>否</v>
      </c>
      <c r="T506" s="36" t="str">
        <f>IFERROR(VLOOKUP(A506,滿意度調查!$B$4:$D$570,3,FALSE),"")</f>
        <v/>
      </c>
      <c r="U506" s="35" t="str">
        <f t="shared" si="39"/>
        <v>2026-06</v>
      </c>
      <c r="V506" s="38">
        <f>IF(J506="已結案",0,(使用說明!$B$7-B506)*24)</f>
        <v>689.75000000005821</v>
      </c>
    </row>
    <row r="507" spans="1:22">
      <c r="A507" s="32" t="s">
        <v>1027</v>
      </c>
      <c r="B507" s="33">
        <v>46175.660416666666</v>
      </c>
      <c r="C507" s="34" t="s">
        <v>389</v>
      </c>
      <c r="D507" s="34" t="s">
        <v>210</v>
      </c>
      <c r="E507" s="34" t="s">
        <v>265</v>
      </c>
      <c r="F507" s="34" t="s">
        <v>266</v>
      </c>
      <c r="G507" s="34" t="s">
        <v>242</v>
      </c>
      <c r="H507" s="34" t="s">
        <v>285</v>
      </c>
      <c r="I507" s="35" t="str">
        <f>VLOOKUP(H507,人員與團隊!$A$4:$D$27,3,FALSE)</f>
        <v>線上服務</v>
      </c>
      <c r="J507" s="34" t="s">
        <v>215</v>
      </c>
      <c r="K507" s="33">
        <v>46175.714583333334</v>
      </c>
      <c r="L507" s="33">
        <v>46176.389342465278</v>
      </c>
      <c r="M507" s="36">
        <f t="shared" si="35"/>
        <v>78.000000002793968</v>
      </c>
      <c r="N507" s="37">
        <f t="shared" si="36"/>
        <v>17.494219166692346</v>
      </c>
      <c r="O507" s="36">
        <f>VLOOKUP(G507,SLA標準!$A$4:$C$7,2,FALSE)</f>
        <v>240</v>
      </c>
      <c r="P507" s="37">
        <f>VLOOKUP(G507,SLA標準!$A$4:$C$7,3,FALSE)</f>
        <v>24</v>
      </c>
      <c r="Q507" s="35" t="str">
        <f t="shared" si="37"/>
        <v>達標</v>
      </c>
      <c r="R507" s="34" t="s">
        <v>41</v>
      </c>
      <c r="S507" s="35" t="str">
        <f t="shared" si="38"/>
        <v>是</v>
      </c>
      <c r="T507" s="36">
        <f>IFERROR(VLOOKUP(A507,滿意度調查!$B$4:$D$570,3,FALSE),"")</f>
        <v>4</v>
      </c>
      <c r="U507" s="35" t="str">
        <f t="shared" si="39"/>
        <v>2026-06</v>
      </c>
      <c r="V507" s="38">
        <f>IF(J507="已結案",0,(使用說明!$B$7-B507)*24)</f>
        <v>0</v>
      </c>
    </row>
    <row r="508" spans="1:22">
      <c r="A508" s="32" t="s">
        <v>1028</v>
      </c>
      <c r="B508" s="33">
        <v>46175.671527777777</v>
      </c>
      <c r="C508" s="34" t="s">
        <v>403</v>
      </c>
      <c r="D508" s="34" t="s">
        <v>240</v>
      </c>
      <c r="E508" s="34" t="s">
        <v>211</v>
      </c>
      <c r="F508" s="34" t="s">
        <v>334</v>
      </c>
      <c r="G508" s="34" t="s">
        <v>213</v>
      </c>
      <c r="H508" s="34" t="s">
        <v>267</v>
      </c>
      <c r="I508" s="35" t="str">
        <f>VLOOKUP(H508,人員與團隊!$A$4:$D$27,3,FALSE)</f>
        <v>南區服務</v>
      </c>
      <c r="J508" s="34" t="s">
        <v>215</v>
      </c>
      <c r="K508" s="33">
        <v>46175.884722222225</v>
      </c>
      <c r="L508" s="33">
        <v>46176.011257743055</v>
      </c>
      <c r="M508" s="36">
        <f t="shared" si="35"/>
        <v>307.0000000053551</v>
      </c>
      <c r="N508" s="37">
        <f t="shared" si="36"/>
        <v>8.1535191666916944</v>
      </c>
      <c r="O508" s="36">
        <f>VLOOKUP(G508,SLA標準!$A$4:$C$7,2,FALSE)</f>
        <v>480</v>
      </c>
      <c r="P508" s="37">
        <f>VLOOKUP(G508,SLA標準!$A$4:$C$7,3,FALSE)</f>
        <v>48</v>
      </c>
      <c r="Q508" s="35" t="str">
        <f t="shared" si="37"/>
        <v>達標</v>
      </c>
      <c r="R508" s="34" t="s">
        <v>47</v>
      </c>
      <c r="S508" s="35" t="str">
        <f t="shared" si="38"/>
        <v>是</v>
      </c>
      <c r="T508" s="36">
        <f>IFERROR(VLOOKUP(A508,滿意度調查!$B$4:$D$570,3,FALSE),"")</f>
        <v>4</v>
      </c>
      <c r="U508" s="35" t="str">
        <f t="shared" si="39"/>
        <v>2026-06</v>
      </c>
      <c r="V508" s="38">
        <f>IF(J508="已結案",0,(使用說明!$B$7-B508)*24)</f>
        <v>0</v>
      </c>
    </row>
    <row r="509" spans="1:22">
      <c r="A509" s="32" t="s">
        <v>1029</v>
      </c>
      <c r="B509" s="33">
        <v>46175.671527777777</v>
      </c>
      <c r="C509" s="34" t="s">
        <v>287</v>
      </c>
      <c r="D509" s="34" t="s">
        <v>240</v>
      </c>
      <c r="E509" s="34" t="s">
        <v>235</v>
      </c>
      <c r="F509" s="34" t="s">
        <v>241</v>
      </c>
      <c r="G509" s="34" t="s">
        <v>242</v>
      </c>
      <c r="H509" s="34" t="s">
        <v>267</v>
      </c>
      <c r="I509" s="35" t="str">
        <f>VLOOKUP(H509,人員與團隊!$A$4:$D$27,3,FALSE)</f>
        <v>南區服務</v>
      </c>
      <c r="J509" s="34" t="s">
        <v>215</v>
      </c>
      <c r="K509" s="33">
        <v>46175.886111111111</v>
      </c>
      <c r="L509" s="33">
        <v>46176.028548564813</v>
      </c>
      <c r="M509" s="36">
        <f t="shared" si="35"/>
        <v>309.00000000139698</v>
      </c>
      <c r="N509" s="37">
        <f t="shared" si="36"/>
        <v>8.5684988888679072</v>
      </c>
      <c r="O509" s="36">
        <f>VLOOKUP(G509,SLA標準!$A$4:$C$7,2,FALSE)</f>
        <v>240</v>
      </c>
      <c r="P509" s="37">
        <f>VLOOKUP(G509,SLA標準!$A$4:$C$7,3,FALSE)</f>
        <v>24</v>
      </c>
      <c r="Q509" s="35" t="str">
        <f t="shared" si="37"/>
        <v>逾期</v>
      </c>
      <c r="R509" s="34" t="s">
        <v>47</v>
      </c>
      <c r="S509" s="35" t="str">
        <f t="shared" si="38"/>
        <v>否</v>
      </c>
      <c r="T509" s="36" t="str">
        <f>IFERROR(VLOOKUP(A509,滿意度調查!$B$4:$D$570,3,FALSE),"")</f>
        <v/>
      </c>
      <c r="U509" s="35" t="str">
        <f t="shared" si="39"/>
        <v>2026-06</v>
      </c>
      <c r="V509" s="38">
        <f>IF(J509="已結案",0,(使用說明!$B$7-B509)*24)</f>
        <v>0</v>
      </c>
    </row>
    <row r="510" spans="1:22">
      <c r="A510" s="32" t="s">
        <v>1030</v>
      </c>
      <c r="B510" s="33">
        <v>46175.718055555553</v>
      </c>
      <c r="C510" s="34" t="s">
        <v>824</v>
      </c>
      <c r="D510" s="34" t="s">
        <v>218</v>
      </c>
      <c r="E510" s="34" t="s">
        <v>211</v>
      </c>
      <c r="F510" s="34" t="s">
        <v>331</v>
      </c>
      <c r="G510" s="34" t="s">
        <v>213</v>
      </c>
      <c r="H510" s="34" t="s">
        <v>279</v>
      </c>
      <c r="I510" s="35" t="str">
        <f>VLOOKUP(H510,人員與團隊!$A$4:$D$27,3,FALSE)</f>
        <v>南區服務</v>
      </c>
      <c r="J510" s="34" t="s">
        <v>215</v>
      </c>
      <c r="K510" s="33">
        <v>46176.115277777775</v>
      </c>
      <c r="L510" s="33">
        <v>46176.064677210648</v>
      </c>
      <c r="M510" s="36">
        <f t="shared" si="35"/>
        <v>571.99999999953434</v>
      </c>
      <c r="N510" s="37">
        <f t="shared" si="36"/>
        <v>8.3189197222818621</v>
      </c>
      <c r="O510" s="36">
        <f>VLOOKUP(G510,SLA標準!$A$4:$C$7,2,FALSE)</f>
        <v>480</v>
      </c>
      <c r="P510" s="37">
        <f>VLOOKUP(G510,SLA標準!$A$4:$C$7,3,FALSE)</f>
        <v>48</v>
      </c>
      <c r="Q510" s="35" t="str">
        <f t="shared" si="37"/>
        <v>逾期</v>
      </c>
      <c r="R510" s="34" t="s">
        <v>47</v>
      </c>
      <c r="S510" s="35" t="str">
        <f t="shared" si="38"/>
        <v>是</v>
      </c>
      <c r="T510" s="36">
        <f>IFERROR(VLOOKUP(A510,滿意度調查!$B$4:$D$570,3,FALSE),"")</f>
        <v>3</v>
      </c>
      <c r="U510" s="35" t="str">
        <f t="shared" si="39"/>
        <v>2026-06</v>
      </c>
      <c r="V510" s="38">
        <f>IF(J510="已結案",0,(使用說明!$B$7-B510)*24)</f>
        <v>0</v>
      </c>
    </row>
    <row r="511" spans="1:22">
      <c r="A511" s="32" t="s">
        <v>1031</v>
      </c>
      <c r="B511" s="33">
        <v>46175.732638888891</v>
      </c>
      <c r="C511" s="34" t="s">
        <v>1032</v>
      </c>
      <c r="D511" s="34" t="s">
        <v>210</v>
      </c>
      <c r="E511" s="34" t="s">
        <v>230</v>
      </c>
      <c r="F511" s="34" t="s">
        <v>231</v>
      </c>
      <c r="G511" s="34" t="s">
        <v>242</v>
      </c>
      <c r="H511" s="34" t="s">
        <v>408</v>
      </c>
      <c r="I511" s="35" t="str">
        <f>VLOOKUP(H511,人員與團隊!$A$4:$D$27,3,FALSE)</f>
        <v>線上服務</v>
      </c>
      <c r="J511" s="34" t="s">
        <v>215</v>
      </c>
      <c r="K511" s="33">
        <v>46175.817361111112</v>
      </c>
      <c r="L511" s="33">
        <v>46176.946299710646</v>
      </c>
      <c r="M511" s="36">
        <f t="shared" si="35"/>
        <v>121.99999999953434</v>
      </c>
      <c r="N511" s="37">
        <f t="shared" si="36"/>
        <v>29.127859722124413</v>
      </c>
      <c r="O511" s="36">
        <f>VLOOKUP(G511,SLA標準!$A$4:$C$7,2,FALSE)</f>
        <v>240</v>
      </c>
      <c r="P511" s="37">
        <f>VLOOKUP(G511,SLA標準!$A$4:$C$7,3,FALSE)</f>
        <v>24</v>
      </c>
      <c r="Q511" s="35" t="str">
        <f t="shared" si="37"/>
        <v>逾期</v>
      </c>
      <c r="R511" s="34" t="s">
        <v>47</v>
      </c>
      <c r="S511" s="35" t="str">
        <f t="shared" si="38"/>
        <v>否</v>
      </c>
      <c r="T511" s="36" t="str">
        <f>IFERROR(VLOOKUP(A511,滿意度調查!$B$4:$D$570,3,FALSE),"")</f>
        <v/>
      </c>
      <c r="U511" s="35" t="str">
        <f t="shared" si="39"/>
        <v>2026-06</v>
      </c>
      <c r="V511" s="38">
        <f>IF(J511="已結案",0,(使用說明!$B$7-B511)*24)</f>
        <v>0</v>
      </c>
    </row>
    <row r="512" spans="1:22">
      <c r="A512" s="32" t="s">
        <v>1033</v>
      </c>
      <c r="B512" s="33">
        <v>46175.768055555556</v>
      </c>
      <c r="C512" s="34" t="s">
        <v>833</v>
      </c>
      <c r="D512" s="34" t="s">
        <v>225</v>
      </c>
      <c r="E512" s="34" t="s">
        <v>265</v>
      </c>
      <c r="F512" s="34" t="s">
        <v>304</v>
      </c>
      <c r="G512" s="34" t="s">
        <v>242</v>
      </c>
      <c r="H512" s="34" t="s">
        <v>328</v>
      </c>
      <c r="I512" s="35" t="str">
        <f>VLOOKUP(H512,人員與團隊!$A$4:$D$27,3,FALSE)</f>
        <v>北區服務</v>
      </c>
      <c r="J512" s="34" t="s">
        <v>215</v>
      </c>
      <c r="K512" s="33">
        <v>46175.879166666666</v>
      </c>
      <c r="L512" s="33">
        <v>46177.616221342592</v>
      </c>
      <c r="M512" s="36">
        <f t="shared" si="35"/>
        <v>159.99999999767169</v>
      </c>
      <c r="N512" s="37">
        <f t="shared" si="36"/>
        <v>44.355978888866957</v>
      </c>
      <c r="O512" s="36">
        <f>VLOOKUP(G512,SLA標準!$A$4:$C$7,2,FALSE)</f>
        <v>240</v>
      </c>
      <c r="P512" s="37">
        <f>VLOOKUP(G512,SLA標準!$A$4:$C$7,3,FALSE)</f>
        <v>24</v>
      </c>
      <c r="Q512" s="35" t="str">
        <f t="shared" si="37"/>
        <v>逾期</v>
      </c>
      <c r="R512" s="34" t="s">
        <v>47</v>
      </c>
      <c r="S512" s="35" t="str">
        <f t="shared" si="38"/>
        <v>是</v>
      </c>
      <c r="T512" s="36">
        <f>IFERROR(VLOOKUP(A512,滿意度調查!$B$4:$D$570,3,FALSE),"")</f>
        <v>4</v>
      </c>
      <c r="U512" s="35" t="str">
        <f t="shared" si="39"/>
        <v>2026-06</v>
      </c>
      <c r="V512" s="38">
        <f>IF(J512="已結案",0,(使用說明!$B$7-B512)*24)</f>
        <v>0</v>
      </c>
    </row>
    <row r="513" spans="1:22">
      <c r="A513" s="32" t="s">
        <v>1034</v>
      </c>
      <c r="B513" s="33">
        <v>46175.814583333333</v>
      </c>
      <c r="C513" s="34" t="s">
        <v>888</v>
      </c>
      <c r="D513" s="34" t="s">
        <v>210</v>
      </c>
      <c r="E513" s="34" t="s">
        <v>230</v>
      </c>
      <c r="F513" s="34" t="s">
        <v>320</v>
      </c>
      <c r="G513" s="34" t="s">
        <v>350</v>
      </c>
      <c r="H513" s="34" t="s">
        <v>325</v>
      </c>
      <c r="I513" s="35" t="str">
        <f>VLOOKUP(H513,人員與團隊!$A$4:$D$27,3,FALSE)</f>
        <v>線上服務</v>
      </c>
      <c r="J513" s="34" t="s">
        <v>215</v>
      </c>
      <c r="K513" s="33">
        <v>46175.819444444445</v>
      </c>
      <c r="L513" s="33">
        <v>46176.07139892361</v>
      </c>
      <c r="M513" s="36">
        <f t="shared" si="35"/>
        <v>7.0000000018626451</v>
      </c>
      <c r="N513" s="37">
        <f t="shared" si="36"/>
        <v>6.1635741666541435</v>
      </c>
      <c r="O513" s="36">
        <f>VLOOKUP(G513,SLA標準!$A$4:$C$7,2,FALSE)</f>
        <v>30</v>
      </c>
      <c r="P513" s="37">
        <f>VLOOKUP(G513,SLA標準!$A$4:$C$7,3,FALSE)</f>
        <v>4</v>
      </c>
      <c r="Q513" s="35" t="str">
        <f t="shared" si="37"/>
        <v>逾期</v>
      </c>
      <c r="R513" s="34" t="s">
        <v>41</v>
      </c>
      <c r="S513" s="35" t="str">
        <f t="shared" si="38"/>
        <v>是</v>
      </c>
      <c r="T513" s="36">
        <f>IFERROR(VLOOKUP(A513,滿意度調查!$B$4:$D$570,3,FALSE),"")</f>
        <v>2</v>
      </c>
      <c r="U513" s="35" t="str">
        <f t="shared" si="39"/>
        <v>2026-06</v>
      </c>
      <c r="V513" s="38">
        <f>IF(J513="已結案",0,(使用說明!$B$7-B513)*24)</f>
        <v>0</v>
      </c>
    </row>
    <row r="514" spans="1:22">
      <c r="A514" s="32" t="s">
        <v>1035</v>
      </c>
      <c r="B514" s="33">
        <v>46175.861805555556</v>
      </c>
      <c r="C514" s="34" t="s">
        <v>1036</v>
      </c>
      <c r="D514" s="34" t="s">
        <v>225</v>
      </c>
      <c r="E514" s="34" t="s">
        <v>219</v>
      </c>
      <c r="F514" s="34" t="s">
        <v>371</v>
      </c>
      <c r="G514" s="34" t="s">
        <v>221</v>
      </c>
      <c r="H514" s="34" t="s">
        <v>310</v>
      </c>
      <c r="I514" s="35" t="str">
        <f>VLOOKUP(H514,人員與團隊!$A$4:$D$27,3,FALSE)</f>
        <v>線上服務</v>
      </c>
      <c r="J514" s="34" t="s">
        <v>215</v>
      </c>
      <c r="K514" s="33">
        <v>46175.88958333333</v>
      </c>
      <c r="L514" s="33">
        <v>46176.22978509259</v>
      </c>
      <c r="M514" s="36">
        <f t="shared" si="35"/>
        <v>39.999999994179234</v>
      </c>
      <c r="N514" s="37">
        <f t="shared" si="36"/>
        <v>8.8315088888048194</v>
      </c>
      <c r="O514" s="36">
        <f>VLOOKUP(G514,SLA標準!$A$4:$C$7,2,FALSE)</f>
        <v>60</v>
      </c>
      <c r="P514" s="37">
        <f>VLOOKUP(G514,SLA標準!$A$4:$C$7,3,FALSE)</f>
        <v>8</v>
      </c>
      <c r="Q514" s="35" t="str">
        <f t="shared" si="37"/>
        <v>逾期</v>
      </c>
      <c r="R514" s="34" t="s">
        <v>47</v>
      </c>
      <c r="S514" s="35" t="str">
        <f t="shared" si="38"/>
        <v>是</v>
      </c>
      <c r="T514" s="36">
        <f>IFERROR(VLOOKUP(A514,滿意度調查!$B$4:$D$570,3,FALSE),"")</f>
        <v>4</v>
      </c>
      <c r="U514" s="35" t="str">
        <f t="shared" si="39"/>
        <v>2026-06</v>
      </c>
      <c r="V514" s="38">
        <f>IF(J514="已結案",0,(使用說明!$B$7-B514)*24)</f>
        <v>0</v>
      </c>
    </row>
    <row r="515" spans="1:22">
      <c r="A515" s="32" t="s">
        <v>1037</v>
      </c>
      <c r="B515" s="33">
        <v>46176.420138888891</v>
      </c>
      <c r="C515" s="34" t="s">
        <v>618</v>
      </c>
      <c r="D515" s="34" t="s">
        <v>218</v>
      </c>
      <c r="E515" s="34" t="s">
        <v>230</v>
      </c>
      <c r="F515" s="34" t="s">
        <v>339</v>
      </c>
      <c r="G515" s="34" t="s">
        <v>213</v>
      </c>
      <c r="H515" s="34" t="s">
        <v>250</v>
      </c>
      <c r="I515" s="35" t="str">
        <f>VLOOKUP(H515,人員與團隊!$A$4:$D$27,3,FALSE)</f>
        <v>南區服務</v>
      </c>
      <c r="J515" s="34" t="s">
        <v>215</v>
      </c>
      <c r="K515" s="33">
        <v>46176.789583333331</v>
      </c>
      <c r="L515" s="33">
        <v>46177.941095844908</v>
      </c>
      <c r="M515" s="36">
        <f t="shared" si="35"/>
        <v>531.99999999487773</v>
      </c>
      <c r="N515" s="37">
        <f t="shared" si="36"/>
        <v>36.502966944419313</v>
      </c>
      <c r="O515" s="36">
        <f>VLOOKUP(G515,SLA標準!$A$4:$C$7,2,FALSE)</f>
        <v>480</v>
      </c>
      <c r="P515" s="37">
        <f>VLOOKUP(G515,SLA標準!$A$4:$C$7,3,FALSE)</f>
        <v>48</v>
      </c>
      <c r="Q515" s="35" t="str">
        <f t="shared" si="37"/>
        <v>逾期</v>
      </c>
      <c r="R515" s="34" t="s">
        <v>47</v>
      </c>
      <c r="S515" s="35" t="str">
        <f t="shared" si="38"/>
        <v>是</v>
      </c>
      <c r="T515" s="36">
        <f>IFERROR(VLOOKUP(A515,滿意度調查!$B$4:$D$570,3,FALSE),"")</f>
        <v>3</v>
      </c>
      <c r="U515" s="35" t="str">
        <f t="shared" si="39"/>
        <v>2026-06</v>
      </c>
      <c r="V515" s="38">
        <f>IF(J515="已結案",0,(使用說明!$B$7-B515)*24)</f>
        <v>0</v>
      </c>
    </row>
    <row r="516" spans="1:22">
      <c r="A516" s="32" t="s">
        <v>1038</v>
      </c>
      <c r="B516" s="33">
        <v>46176.421527777777</v>
      </c>
      <c r="C516" s="34" t="s">
        <v>705</v>
      </c>
      <c r="D516" s="34" t="s">
        <v>210</v>
      </c>
      <c r="E516" s="34" t="s">
        <v>230</v>
      </c>
      <c r="F516" s="34" t="s">
        <v>231</v>
      </c>
      <c r="G516" s="34" t="s">
        <v>221</v>
      </c>
      <c r="H516" s="34" t="s">
        <v>285</v>
      </c>
      <c r="I516" s="35" t="str">
        <f>VLOOKUP(H516,人員與團隊!$A$4:$D$27,3,FALSE)</f>
        <v>線上服務</v>
      </c>
      <c r="J516" s="34" t="s">
        <v>215</v>
      </c>
      <c r="K516" s="33">
        <v>46176.441666666666</v>
      </c>
      <c r="L516" s="33">
        <v>46176.83269275463</v>
      </c>
      <c r="M516" s="36">
        <f t="shared" ref="M516:M579" si="40">IF(K516="","",(K516-B516)*1440)</f>
        <v>29.000000000232831</v>
      </c>
      <c r="N516" s="37">
        <f t="shared" ref="N516:N579" si="41">IF(L516="","",(L516-B516)*24)</f>
        <v>9.8679594444693066</v>
      </c>
      <c r="O516" s="36">
        <f>VLOOKUP(G516,SLA標準!$A$4:$C$7,2,FALSE)</f>
        <v>60</v>
      </c>
      <c r="P516" s="37">
        <f>VLOOKUP(G516,SLA標準!$A$4:$C$7,3,FALSE)</f>
        <v>8</v>
      </c>
      <c r="Q516" s="35" t="str">
        <f t="shared" ref="Q516:Q579" si="42">IF(J516="已結案",IF(AND(M516&lt;=O516,N516&lt;=P516),"達標","逾期"),IF(OR(M516&gt;O516,V516&gt;P516),"逾期","進行中"))</f>
        <v>逾期</v>
      </c>
      <c r="R516" s="34" t="s">
        <v>41</v>
      </c>
      <c r="S516" s="35" t="str">
        <f t="shared" ref="S516:S579" si="43">IF(T516="","否","是")</f>
        <v>是</v>
      </c>
      <c r="T516" s="36">
        <f>IFERROR(VLOOKUP(A516,滿意度調查!$B$4:$D$570,3,FALSE),"")</f>
        <v>3</v>
      </c>
      <c r="U516" s="35" t="str">
        <f t="shared" ref="U516:U579" si="44">TEXT(B516,"yyyy-mm")</f>
        <v>2026-06</v>
      </c>
      <c r="V516" s="38">
        <f>IF(J516="已結案",0,(使用說明!$B$7-B516)*24)</f>
        <v>0</v>
      </c>
    </row>
    <row r="517" spans="1:22">
      <c r="A517" s="32" t="s">
        <v>1039</v>
      </c>
      <c r="B517" s="33">
        <v>46176.458333333336</v>
      </c>
      <c r="C517" s="34" t="s">
        <v>1040</v>
      </c>
      <c r="D517" s="34" t="s">
        <v>225</v>
      </c>
      <c r="E517" s="34" t="s">
        <v>211</v>
      </c>
      <c r="F517" s="34" t="s">
        <v>212</v>
      </c>
      <c r="G517" s="34" t="s">
        <v>213</v>
      </c>
      <c r="H517" s="34" t="s">
        <v>232</v>
      </c>
      <c r="I517" s="35" t="str">
        <f>VLOOKUP(H517,人員與團隊!$A$4:$D$27,3,FALSE)</f>
        <v>北區服務</v>
      </c>
      <c r="J517" s="34" t="s">
        <v>215</v>
      </c>
      <c r="K517" s="33">
        <v>46176.709027777775</v>
      </c>
      <c r="L517" s="33">
        <v>46176.71641789352</v>
      </c>
      <c r="M517" s="36">
        <f t="shared" si="40"/>
        <v>360.99999999278225</v>
      </c>
      <c r="N517" s="37">
        <f t="shared" si="41"/>
        <v>6.1940294444211759</v>
      </c>
      <c r="O517" s="36">
        <f>VLOOKUP(G517,SLA標準!$A$4:$C$7,2,FALSE)</f>
        <v>480</v>
      </c>
      <c r="P517" s="37">
        <f>VLOOKUP(G517,SLA標準!$A$4:$C$7,3,FALSE)</f>
        <v>48</v>
      </c>
      <c r="Q517" s="35" t="str">
        <f t="shared" si="42"/>
        <v>達標</v>
      </c>
      <c r="R517" s="34" t="s">
        <v>47</v>
      </c>
      <c r="S517" s="35" t="str">
        <f t="shared" si="43"/>
        <v>是</v>
      </c>
      <c r="T517" s="36">
        <f>IFERROR(VLOOKUP(A517,滿意度調查!$B$4:$D$570,3,FALSE),"")</f>
        <v>5</v>
      </c>
      <c r="U517" s="35" t="str">
        <f t="shared" si="44"/>
        <v>2026-06</v>
      </c>
      <c r="V517" s="38">
        <f>IF(J517="已結案",0,(使用說明!$B$7-B517)*24)</f>
        <v>0</v>
      </c>
    </row>
    <row r="518" spans="1:22">
      <c r="A518" s="32" t="s">
        <v>1041</v>
      </c>
      <c r="B518" s="33">
        <v>46176.465277777781</v>
      </c>
      <c r="C518" s="34" t="s">
        <v>445</v>
      </c>
      <c r="D518" s="34" t="s">
        <v>225</v>
      </c>
      <c r="E518" s="34" t="s">
        <v>211</v>
      </c>
      <c r="F518" s="34" t="s">
        <v>212</v>
      </c>
      <c r="G518" s="34" t="s">
        <v>242</v>
      </c>
      <c r="H518" s="34" t="s">
        <v>237</v>
      </c>
      <c r="I518" s="35" t="str">
        <f>VLOOKUP(H518,人員與團隊!$A$4:$D$27,3,FALSE)</f>
        <v>北區服務</v>
      </c>
      <c r="J518" s="34" t="s">
        <v>215</v>
      </c>
      <c r="K518" s="33">
        <v>46176.574305555558</v>
      </c>
      <c r="L518" s="33">
        <v>46176.849635636572</v>
      </c>
      <c r="M518" s="36">
        <f t="shared" si="40"/>
        <v>156.99999999837019</v>
      </c>
      <c r="N518" s="37">
        <f t="shared" si="41"/>
        <v>9.224588610988576</v>
      </c>
      <c r="O518" s="36">
        <f>VLOOKUP(G518,SLA標準!$A$4:$C$7,2,FALSE)</f>
        <v>240</v>
      </c>
      <c r="P518" s="37">
        <f>VLOOKUP(G518,SLA標準!$A$4:$C$7,3,FALSE)</f>
        <v>24</v>
      </c>
      <c r="Q518" s="35" t="str">
        <f t="shared" si="42"/>
        <v>達標</v>
      </c>
      <c r="R518" s="34" t="s">
        <v>47</v>
      </c>
      <c r="S518" s="35" t="str">
        <f t="shared" si="43"/>
        <v>是</v>
      </c>
      <c r="T518" s="36">
        <f>IFERROR(VLOOKUP(A518,滿意度調查!$B$4:$D$570,3,FALSE),"")</f>
        <v>5</v>
      </c>
      <c r="U518" s="35" t="str">
        <f t="shared" si="44"/>
        <v>2026-06</v>
      </c>
      <c r="V518" s="38">
        <f>IF(J518="已結案",0,(使用說明!$B$7-B518)*24)</f>
        <v>0</v>
      </c>
    </row>
    <row r="519" spans="1:22">
      <c r="A519" s="32" t="s">
        <v>1042</v>
      </c>
      <c r="B519" s="33">
        <v>46176.479166666664</v>
      </c>
      <c r="C519" s="34" t="s">
        <v>495</v>
      </c>
      <c r="D519" s="34" t="s">
        <v>218</v>
      </c>
      <c r="E519" s="34" t="s">
        <v>235</v>
      </c>
      <c r="F519" s="34" t="s">
        <v>241</v>
      </c>
      <c r="G519" s="34" t="s">
        <v>221</v>
      </c>
      <c r="H519" s="34" t="s">
        <v>381</v>
      </c>
      <c r="I519" s="35" t="str">
        <f>VLOOKUP(H519,人員與團隊!$A$4:$D$27,3,FALSE)</f>
        <v>線上服務</v>
      </c>
      <c r="J519" s="34" t="s">
        <v>215</v>
      </c>
      <c r="K519" s="33">
        <v>46176.543055555558</v>
      </c>
      <c r="L519" s="33">
        <v>46176.710244953705</v>
      </c>
      <c r="M519" s="36">
        <f t="shared" si="40"/>
        <v>92.000000006519258</v>
      </c>
      <c r="N519" s="37">
        <f t="shared" si="41"/>
        <v>5.5458788889809512</v>
      </c>
      <c r="O519" s="36">
        <f>VLOOKUP(G519,SLA標準!$A$4:$C$7,2,FALSE)</f>
        <v>60</v>
      </c>
      <c r="P519" s="37">
        <f>VLOOKUP(G519,SLA標準!$A$4:$C$7,3,FALSE)</f>
        <v>8</v>
      </c>
      <c r="Q519" s="35" t="str">
        <f t="shared" si="42"/>
        <v>逾期</v>
      </c>
      <c r="R519" s="34" t="s">
        <v>47</v>
      </c>
      <c r="S519" s="35" t="str">
        <f t="shared" si="43"/>
        <v>否</v>
      </c>
      <c r="T519" s="36" t="str">
        <f>IFERROR(VLOOKUP(A519,滿意度調查!$B$4:$D$570,3,FALSE),"")</f>
        <v/>
      </c>
      <c r="U519" s="35" t="str">
        <f t="shared" si="44"/>
        <v>2026-06</v>
      </c>
      <c r="V519" s="38">
        <f>IF(J519="已結案",0,(使用說明!$B$7-B519)*24)</f>
        <v>0</v>
      </c>
    </row>
    <row r="520" spans="1:22">
      <c r="A520" s="32" t="s">
        <v>1043</v>
      </c>
      <c r="B520" s="33">
        <v>46176.524305555555</v>
      </c>
      <c r="C520" s="34" t="s">
        <v>691</v>
      </c>
      <c r="D520" s="34" t="s">
        <v>225</v>
      </c>
      <c r="E520" s="34" t="s">
        <v>211</v>
      </c>
      <c r="F520" s="34" t="s">
        <v>331</v>
      </c>
      <c r="G520" s="34" t="s">
        <v>242</v>
      </c>
      <c r="H520" s="34" t="s">
        <v>340</v>
      </c>
      <c r="I520" s="35" t="str">
        <f>VLOOKUP(H520,人員與團隊!$A$4:$D$27,3,FALSE)</f>
        <v>北區服務</v>
      </c>
      <c r="J520" s="34" t="s">
        <v>774</v>
      </c>
      <c r="K520" s="33">
        <v>46176.582638888889</v>
      </c>
      <c r="L520" s="33"/>
      <c r="M520" s="36">
        <f t="shared" si="40"/>
        <v>84.000000001396984</v>
      </c>
      <c r="N520" s="37" t="str">
        <f t="shared" si="41"/>
        <v/>
      </c>
      <c r="O520" s="36">
        <f>VLOOKUP(G520,SLA標準!$A$4:$C$7,2,FALSE)</f>
        <v>240</v>
      </c>
      <c r="P520" s="37">
        <f>VLOOKUP(G520,SLA標準!$A$4:$C$7,3,FALSE)</f>
        <v>24</v>
      </c>
      <c r="Q520" s="35" t="str">
        <f t="shared" si="42"/>
        <v>逾期</v>
      </c>
      <c r="R520" s="34" t="s">
        <v>47</v>
      </c>
      <c r="S520" s="35" t="str">
        <f t="shared" si="43"/>
        <v>否</v>
      </c>
      <c r="T520" s="36" t="str">
        <f>IFERROR(VLOOKUP(A520,滿意度調查!$B$4:$D$570,3,FALSE),"")</f>
        <v/>
      </c>
      <c r="U520" s="35" t="str">
        <f t="shared" si="44"/>
        <v>2026-06</v>
      </c>
      <c r="V520" s="38">
        <f>IF(J520="已結案",0,(使用說明!$B$7-B520)*24)</f>
        <v>668.41666666668607</v>
      </c>
    </row>
    <row r="521" spans="1:22">
      <c r="A521" s="32" t="s">
        <v>1044</v>
      </c>
      <c r="B521" s="33">
        <v>46176.54583333333</v>
      </c>
      <c r="C521" s="34" t="s">
        <v>324</v>
      </c>
      <c r="D521" s="34" t="s">
        <v>218</v>
      </c>
      <c r="E521" s="34" t="s">
        <v>211</v>
      </c>
      <c r="F521" s="34" t="s">
        <v>212</v>
      </c>
      <c r="G521" s="34" t="s">
        <v>242</v>
      </c>
      <c r="H521" s="34" t="s">
        <v>237</v>
      </c>
      <c r="I521" s="35" t="str">
        <f>VLOOKUP(H521,人員與團隊!$A$4:$D$27,3,FALSE)</f>
        <v>北區服務</v>
      </c>
      <c r="J521" s="34" t="s">
        <v>356</v>
      </c>
      <c r="K521" s="33">
        <v>46176.744444444441</v>
      </c>
      <c r="L521" s="33"/>
      <c r="M521" s="36">
        <f t="shared" si="40"/>
        <v>285.99999999976717</v>
      </c>
      <c r="N521" s="37" t="str">
        <f t="shared" si="41"/>
        <v/>
      </c>
      <c r="O521" s="36">
        <f>VLOOKUP(G521,SLA標準!$A$4:$C$7,2,FALSE)</f>
        <v>240</v>
      </c>
      <c r="P521" s="37">
        <f>VLOOKUP(G521,SLA標準!$A$4:$C$7,3,FALSE)</f>
        <v>24</v>
      </c>
      <c r="Q521" s="35" t="str">
        <f t="shared" si="42"/>
        <v>逾期</v>
      </c>
      <c r="R521" s="34" t="s">
        <v>47</v>
      </c>
      <c r="S521" s="35" t="str">
        <f t="shared" si="43"/>
        <v>否</v>
      </c>
      <c r="T521" s="36" t="str">
        <f>IFERROR(VLOOKUP(A521,滿意度調查!$B$4:$D$570,3,FALSE),"")</f>
        <v/>
      </c>
      <c r="U521" s="35" t="str">
        <f t="shared" si="44"/>
        <v>2026-06</v>
      </c>
      <c r="V521" s="38">
        <f>IF(J521="已結案",0,(使用說明!$B$7-B521)*24)</f>
        <v>667.90000000008149</v>
      </c>
    </row>
    <row r="522" spans="1:22">
      <c r="A522" s="32" t="s">
        <v>1045</v>
      </c>
      <c r="B522" s="33">
        <v>46176.586111111108</v>
      </c>
      <c r="C522" s="34" t="s">
        <v>234</v>
      </c>
      <c r="D522" s="34" t="s">
        <v>210</v>
      </c>
      <c r="E522" s="34" t="s">
        <v>211</v>
      </c>
      <c r="F522" s="34" t="s">
        <v>334</v>
      </c>
      <c r="G522" s="34" t="s">
        <v>242</v>
      </c>
      <c r="H522" s="34" t="s">
        <v>237</v>
      </c>
      <c r="I522" s="35" t="str">
        <f>VLOOKUP(H522,人員與團隊!$A$4:$D$27,3,FALSE)</f>
        <v>北區服務</v>
      </c>
      <c r="J522" s="34" t="s">
        <v>215</v>
      </c>
      <c r="K522" s="33">
        <v>46176.612500000003</v>
      </c>
      <c r="L522" s="33">
        <v>46176.752631296295</v>
      </c>
      <c r="M522" s="36">
        <f t="shared" si="40"/>
        <v>38.000000008614734</v>
      </c>
      <c r="N522" s="37">
        <f t="shared" si="41"/>
        <v>3.9964844444766641</v>
      </c>
      <c r="O522" s="36">
        <f>VLOOKUP(G522,SLA標準!$A$4:$C$7,2,FALSE)</f>
        <v>240</v>
      </c>
      <c r="P522" s="37">
        <f>VLOOKUP(G522,SLA標準!$A$4:$C$7,3,FALSE)</f>
        <v>24</v>
      </c>
      <c r="Q522" s="35" t="str">
        <f t="shared" si="42"/>
        <v>達標</v>
      </c>
      <c r="R522" s="34" t="s">
        <v>41</v>
      </c>
      <c r="S522" s="35" t="str">
        <f t="shared" si="43"/>
        <v>否</v>
      </c>
      <c r="T522" s="36" t="str">
        <f>IFERROR(VLOOKUP(A522,滿意度調查!$B$4:$D$570,3,FALSE),"")</f>
        <v/>
      </c>
      <c r="U522" s="35" t="str">
        <f t="shared" si="44"/>
        <v>2026-06</v>
      </c>
      <c r="V522" s="38">
        <f>IF(J522="已結案",0,(使用說明!$B$7-B522)*24)</f>
        <v>0</v>
      </c>
    </row>
    <row r="523" spans="1:22">
      <c r="A523" s="32" t="s">
        <v>1046</v>
      </c>
      <c r="B523" s="33">
        <v>46176.61041666667</v>
      </c>
      <c r="C523" s="34" t="s">
        <v>396</v>
      </c>
      <c r="D523" s="34" t="s">
        <v>210</v>
      </c>
      <c r="E523" s="34" t="s">
        <v>211</v>
      </c>
      <c r="F523" s="34" t="s">
        <v>331</v>
      </c>
      <c r="G523" s="34" t="s">
        <v>242</v>
      </c>
      <c r="H523" s="34" t="s">
        <v>285</v>
      </c>
      <c r="I523" s="35" t="str">
        <f>VLOOKUP(H523,人員與團隊!$A$4:$D$27,3,FALSE)</f>
        <v>線上服務</v>
      </c>
      <c r="J523" s="34" t="s">
        <v>215</v>
      </c>
      <c r="K523" s="33">
        <v>46176.679861111108</v>
      </c>
      <c r="L523" s="33">
        <v>46176.710135150461</v>
      </c>
      <c r="M523" s="36">
        <f t="shared" si="40"/>
        <v>99.999999990686774</v>
      </c>
      <c r="N523" s="37">
        <f t="shared" si="41"/>
        <v>2.3932436109753326</v>
      </c>
      <c r="O523" s="36">
        <f>VLOOKUP(G523,SLA標準!$A$4:$C$7,2,FALSE)</f>
        <v>240</v>
      </c>
      <c r="P523" s="37">
        <f>VLOOKUP(G523,SLA標準!$A$4:$C$7,3,FALSE)</f>
        <v>24</v>
      </c>
      <c r="Q523" s="35" t="str">
        <f t="shared" si="42"/>
        <v>達標</v>
      </c>
      <c r="R523" s="34" t="s">
        <v>47</v>
      </c>
      <c r="S523" s="35" t="str">
        <f t="shared" si="43"/>
        <v>是</v>
      </c>
      <c r="T523" s="36">
        <f>IFERROR(VLOOKUP(A523,滿意度調查!$B$4:$D$570,3,FALSE),"")</f>
        <v>4</v>
      </c>
      <c r="U523" s="35" t="str">
        <f t="shared" si="44"/>
        <v>2026-06</v>
      </c>
      <c r="V523" s="38">
        <f>IF(J523="已結案",0,(使用說明!$B$7-B523)*24)</f>
        <v>0</v>
      </c>
    </row>
    <row r="524" spans="1:22">
      <c r="A524" s="32" t="s">
        <v>1047</v>
      </c>
      <c r="B524" s="33">
        <v>46176.645833333336</v>
      </c>
      <c r="C524" s="34" t="s">
        <v>740</v>
      </c>
      <c r="D524" s="34" t="s">
        <v>210</v>
      </c>
      <c r="E524" s="34" t="s">
        <v>211</v>
      </c>
      <c r="F524" s="34" t="s">
        <v>334</v>
      </c>
      <c r="G524" s="34" t="s">
        <v>242</v>
      </c>
      <c r="H524" s="34" t="s">
        <v>305</v>
      </c>
      <c r="I524" s="35" t="str">
        <f>VLOOKUP(H524,人員與團隊!$A$4:$D$27,3,FALSE)</f>
        <v>線上服務</v>
      </c>
      <c r="J524" s="34" t="s">
        <v>215</v>
      </c>
      <c r="K524" s="33">
        <v>46176.743750000001</v>
      </c>
      <c r="L524" s="33">
        <v>46176.798923634262</v>
      </c>
      <c r="M524" s="36">
        <f t="shared" si="40"/>
        <v>140.99999999860302</v>
      </c>
      <c r="N524" s="37">
        <f t="shared" si="41"/>
        <v>3.6741672222269699</v>
      </c>
      <c r="O524" s="36">
        <f>VLOOKUP(G524,SLA標準!$A$4:$C$7,2,FALSE)</f>
        <v>240</v>
      </c>
      <c r="P524" s="37">
        <f>VLOOKUP(G524,SLA標準!$A$4:$C$7,3,FALSE)</f>
        <v>24</v>
      </c>
      <c r="Q524" s="35" t="str">
        <f t="shared" si="42"/>
        <v>達標</v>
      </c>
      <c r="R524" s="34" t="s">
        <v>41</v>
      </c>
      <c r="S524" s="35" t="str">
        <f t="shared" si="43"/>
        <v>是</v>
      </c>
      <c r="T524" s="36">
        <f>IFERROR(VLOOKUP(A524,滿意度調查!$B$4:$D$570,3,FALSE),"")</f>
        <v>4</v>
      </c>
      <c r="U524" s="35" t="str">
        <f t="shared" si="44"/>
        <v>2026-06</v>
      </c>
      <c r="V524" s="38">
        <f>IF(J524="已結案",0,(使用說明!$B$7-B524)*24)</f>
        <v>0</v>
      </c>
    </row>
    <row r="525" spans="1:22">
      <c r="A525" s="32" t="s">
        <v>1048</v>
      </c>
      <c r="B525" s="33">
        <v>46176.676388888889</v>
      </c>
      <c r="C525" s="34" t="s">
        <v>1049</v>
      </c>
      <c r="D525" s="34" t="s">
        <v>225</v>
      </c>
      <c r="E525" s="34" t="s">
        <v>265</v>
      </c>
      <c r="F525" s="34" t="s">
        <v>479</v>
      </c>
      <c r="G525" s="34" t="s">
        <v>242</v>
      </c>
      <c r="H525" s="34" t="s">
        <v>274</v>
      </c>
      <c r="I525" s="35" t="str">
        <f>VLOOKUP(H525,人員與團隊!$A$4:$D$27,3,FALSE)</f>
        <v>南區服務</v>
      </c>
      <c r="J525" s="34" t="s">
        <v>215</v>
      </c>
      <c r="K525" s="33">
        <v>46176.819444444445</v>
      </c>
      <c r="L525" s="33">
        <v>46177.630118055553</v>
      </c>
      <c r="M525" s="36">
        <f t="shared" si="40"/>
        <v>206.00000000093132</v>
      </c>
      <c r="N525" s="37">
        <f t="shared" si="41"/>
        <v>22.889499999932013</v>
      </c>
      <c r="O525" s="36">
        <f>VLOOKUP(G525,SLA標準!$A$4:$C$7,2,FALSE)</f>
        <v>240</v>
      </c>
      <c r="P525" s="37">
        <f>VLOOKUP(G525,SLA標準!$A$4:$C$7,3,FALSE)</f>
        <v>24</v>
      </c>
      <c r="Q525" s="35" t="str">
        <f t="shared" si="42"/>
        <v>達標</v>
      </c>
      <c r="R525" s="34" t="s">
        <v>47</v>
      </c>
      <c r="S525" s="35" t="str">
        <f t="shared" si="43"/>
        <v>是</v>
      </c>
      <c r="T525" s="36">
        <f>IFERROR(VLOOKUP(A525,滿意度調查!$B$4:$D$570,3,FALSE),"")</f>
        <v>5</v>
      </c>
      <c r="U525" s="35" t="str">
        <f t="shared" si="44"/>
        <v>2026-06</v>
      </c>
      <c r="V525" s="38">
        <f>IF(J525="已結案",0,(使用說明!$B$7-B525)*24)</f>
        <v>0</v>
      </c>
    </row>
    <row r="526" spans="1:22">
      <c r="A526" s="32" t="s">
        <v>1050</v>
      </c>
      <c r="B526" s="33">
        <v>46176.754861111112</v>
      </c>
      <c r="C526" s="34" t="s">
        <v>429</v>
      </c>
      <c r="D526" s="34" t="s">
        <v>218</v>
      </c>
      <c r="E526" s="34" t="s">
        <v>211</v>
      </c>
      <c r="F526" s="34" t="s">
        <v>334</v>
      </c>
      <c r="G526" s="34" t="s">
        <v>213</v>
      </c>
      <c r="H526" s="34" t="s">
        <v>328</v>
      </c>
      <c r="I526" s="35" t="str">
        <f>VLOOKUP(H526,人員與團隊!$A$4:$D$27,3,FALSE)</f>
        <v>北區服務</v>
      </c>
      <c r="J526" s="34" t="s">
        <v>215</v>
      </c>
      <c r="K526" s="33">
        <v>46177.352777777778</v>
      </c>
      <c r="L526" s="33">
        <v>46176.931106921293</v>
      </c>
      <c r="M526" s="36">
        <f t="shared" si="40"/>
        <v>860.99999999860302</v>
      </c>
      <c r="N526" s="37">
        <f t="shared" si="41"/>
        <v>4.2298994443262927</v>
      </c>
      <c r="O526" s="36">
        <f>VLOOKUP(G526,SLA標準!$A$4:$C$7,2,FALSE)</f>
        <v>480</v>
      </c>
      <c r="P526" s="37">
        <f>VLOOKUP(G526,SLA標準!$A$4:$C$7,3,FALSE)</f>
        <v>48</v>
      </c>
      <c r="Q526" s="35" t="str">
        <f t="shared" si="42"/>
        <v>逾期</v>
      </c>
      <c r="R526" s="34" t="s">
        <v>47</v>
      </c>
      <c r="S526" s="35" t="str">
        <f t="shared" si="43"/>
        <v>是</v>
      </c>
      <c r="T526" s="36">
        <f>IFERROR(VLOOKUP(A526,滿意度調查!$B$4:$D$570,3,FALSE),"")</f>
        <v>4</v>
      </c>
      <c r="U526" s="35" t="str">
        <f t="shared" si="44"/>
        <v>2026-06</v>
      </c>
      <c r="V526" s="38">
        <f>IF(J526="已結案",0,(使用說明!$B$7-B526)*24)</f>
        <v>0</v>
      </c>
    </row>
    <row r="527" spans="1:22">
      <c r="A527" s="32" t="s">
        <v>1051</v>
      </c>
      <c r="B527" s="33">
        <v>46176.768750000003</v>
      </c>
      <c r="C527" s="34" t="s">
        <v>403</v>
      </c>
      <c r="D527" s="34" t="s">
        <v>210</v>
      </c>
      <c r="E527" s="34" t="s">
        <v>265</v>
      </c>
      <c r="F527" s="34" t="s">
        <v>301</v>
      </c>
      <c r="G527" s="34" t="s">
        <v>221</v>
      </c>
      <c r="H527" s="34" t="s">
        <v>310</v>
      </c>
      <c r="I527" s="35" t="str">
        <f>VLOOKUP(H527,人員與團隊!$A$4:$D$27,3,FALSE)</f>
        <v>線上服務</v>
      </c>
      <c r="J527" s="34" t="s">
        <v>215</v>
      </c>
      <c r="K527" s="33">
        <v>46176.777777777781</v>
      </c>
      <c r="L527" s="33">
        <v>46177.511328831017</v>
      </c>
      <c r="M527" s="36">
        <f t="shared" si="40"/>
        <v>13.000000000465661</v>
      </c>
      <c r="N527" s="37">
        <f t="shared" si="41"/>
        <v>17.821891944331583</v>
      </c>
      <c r="O527" s="36">
        <f>VLOOKUP(G527,SLA標準!$A$4:$C$7,2,FALSE)</f>
        <v>60</v>
      </c>
      <c r="P527" s="37">
        <f>VLOOKUP(G527,SLA標準!$A$4:$C$7,3,FALSE)</f>
        <v>8</v>
      </c>
      <c r="Q527" s="35" t="str">
        <f t="shared" si="42"/>
        <v>逾期</v>
      </c>
      <c r="R527" s="34" t="s">
        <v>47</v>
      </c>
      <c r="S527" s="35" t="str">
        <f t="shared" si="43"/>
        <v>否</v>
      </c>
      <c r="T527" s="36" t="str">
        <f>IFERROR(VLOOKUP(A527,滿意度調查!$B$4:$D$570,3,FALSE),"")</f>
        <v/>
      </c>
      <c r="U527" s="35" t="str">
        <f t="shared" si="44"/>
        <v>2026-06</v>
      </c>
      <c r="V527" s="38">
        <f>IF(J527="已結案",0,(使用說明!$B$7-B527)*24)</f>
        <v>0</v>
      </c>
    </row>
    <row r="528" spans="1:22">
      <c r="A528" s="32" t="s">
        <v>1052</v>
      </c>
      <c r="B528" s="33">
        <v>46176.786805555559</v>
      </c>
      <c r="C528" s="34" t="s">
        <v>289</v>
      </c>
      <c r="D528" s="34" t="s">
        <v>225</v>
      </c>
      <c r="E528" s="34" t="s">
        <v>230</v>
      </c>
      <c r="F528" s="34" t="s">
        <v>339</v>
      </c>
      <c r="G528" s="34" t="s">
        <v>242</v>
      </c>
      <c r="H528" s="34" t="s">
        <v>267</v>
      </c>
      <c r="I528" s="35" t="str">
        <f>VLOOKUP(H528,人員與團隊!$A$4:$D$27,3,FALSE)</f>
        <v>南區服務</v>
      </c>
      <c r="J528" s="34" t="s">
        <v>215</v>
      </c>
      <c r="K528" s="33">
        <v>46176.902083333334</v>
      </c>
      <c r="L528" s="33">
        <v>46177.622586238424</v>
      </c>
      <c r="M528" s="36">
        <f t="shared" si="40"/>
        <v>165.99999999627471</v>
      </c>
      <c r="N528" s="37">
        <f t="shared" si="41"/>
        <v>20.058736388746183</v>
      </c>
      <c r="O528" s="36">
        <f>VLOOKUP(G528,SLA標準!$A$4:$C$7,2,FALSE)</f>
        <v>240</v>
      </c>
      <c r="P528" s="37">
        <f>VLOOKUP(G528,SLA標準!$A$4:$C$7,3,FALSE)</f>
        <v>24</v>
      </c>
      <c r="Q528" s="35" t="str">
        <f t="shared" si="42"/>
        <v>達標</v>
      </c>
      <c r="R528" s="34" t="s">
        <v>47</v>
      </c>
      <c r="S528" s="35" t="str">
        <f t="shared" si="43"/>
        <v>是</v>
      </c>
      <c r="T528" s="36">
        <f>IFERROR(VLOOKUP(A528,滿意度調查!$B$4:$D$570,3,FALSE),"")</f>
        <v>5</v>
      </c>
      <c r="U528" s="35" t="str">
        <f t="shared" si="44"/>
        <v>2026-06</v>
      </c>
      <c r="V528" s="38">
        <f>IF(J528="已結案",0,(使用說明!$B$7-B528)*24)</f>
        <v>0</v>
      </c>
    </row>
    <row r="529" spans="1:22">
      <c r="A529" s="32" t="s">
        <v>1053</v>
      </c>
      <c r="B529" s="33">
        <v>46176.806250000001</v>
      </c>
      <c r="C529" s="34" t="s">
        <v>380</v>
      </c>
      <c r="D529" s="34" t="s">
        <v>210</v>
      </c>
      <c r="E529" s="34" t="s">
        <v>245</v>
      </c>
      <c r="F529" s="34" t="s">
        <v>282</v>
      </c>
      <c r="G529" s="34" t="s">
        <v>242</v>
      </c>
      <c r="H529" s="34" t="s">
        <v>315</v>
      </c>
      <c r="I529" s="35" t="str">
        <f>VLOOKUP(H529,人員與團隊!$A$4:$D$27,3,FALSE)</f>
        <v>北區服務</v>
      </c>
      <c r="J529" s="34" t="s">
        <v>215</v>
      </c>
      <c r="K529" s="33">
        <v>46176.837500000001</v>
      </c>
      <c r="L529" s="33">
        <v>46178.848139259258</v>
      </c>
      <c r="M529" s="36">
        <f t="shared" si="40"/>
        <v>45</v>
      </c>
      <c r="N529" s="37">
        <f t="shared" si="41"/>
        <v>49.00534222216811</v>
      </c>
      <c r="O529" s="36">
        <f>VLOOKUP(G529,SLA標準!$A$4:$C$7,2,FALSE)</f>
        <v>240</v>
      </c>
      <c r="P529" s="37">
        <f>VLOOKUP(G529,SLA標準!$A$4:$C$7,3,FALSE)</f>
        <v>24</v>
      </c>
      <c r="Q529" s="35" t="str">
        <f t="shared" si="42"/>
        <v>逾期</v>
      </c>
      <c r="R529" s="34" t="s">
        <v>47</v>
      </c>
      <c r="S529" s="35" t="str">
        <f t="shared" si="43"/>
        <v>是</v>
      </c>
      <c r="T529" s="36">
        <f>IFERROR(VLOOKUP(A529,滿意度調查!$B$4:$D$570,3,FALSE),"")</f>
        <v>3</v>
      </c>
      <c r="U529" s="35" t="str">
        <f t="shared" si="44"/>
        <v>2026-06</v>
      </c>
      <c r="V529" s="38">
        <f>IF(J529="已結案",0,(使用說明!$B$7-B529)*24)</f>
        <v>0</v>
      </c>
    </row>
    <row r="530" spans="1:22">
      <c r="A530" s="32" t="s">
        <v>1054</v>
      </c>
      <c r="B530" s="33">
        <v>46177.377083333333</v>
      </c>
      <c r="C530" s="34" t="s">
        <v>600</v>
      </c>
      <c r="D530" s="34" t="s">
        <v>210</v>
      </c>
      <c r="E530" s="34" t="s">
        <v>211</v>
      </c>
      <c r="F530" s="34" t="s">
        <v>212</v>
      </c>
      <c r="G530" s="34" t="s">
        <v>242</v>
      </c>
      <c r="H530" s="34" t="s">
        <v>315</v>
      </c>
      <c r="I530" s="35" t="str">
        <f>VLOOKUP(H530,人員與團隊!$A$4:$D$27,3,FALSE)</f>
        <v>北區服務</v>
      </c>
      <c r="J530" s="34" t="s">
        <v>275</v>
      </c>
      <c r="K530" s="33">
        <v>46177.461805555555</v>
      </c>
      <c r="L530" s="33"/>
      <c r="M530" s="36">
        <f t="shared" si="40"/>
        <v>121.99999999953434</v>
      </c>
      <c r="N530" s="37" t="str">
        <f t="shared" si="41"/>
        <v/>
      </c>
      <c r="O530" s="36">
        <f>VLOOKUP(G530,SLA標準!$A$4:$C$7,2,FALSE)</f>
        <v>240</v>
      </c>
      <c r="P530" s="37">
        <f>VLOOKUP(G530,SLA標準!$A$4:$C$7,3,FALSE)</f>
        <v>24</v>
      </c>
      <c r="Q530" s="35" t="str">
        <f t="shared" si="42"/>
        <v>逾期</v>
      </c>
      <c r="R530" s="34" t="s">
        <v>41</v>
      </c>
      <c r="S530" s="35" t="str">
        <f t="shared" si="43"/>
        <v>否</v>
      </c>
      <c r="T530" s="36" t="str">
        <f>IFERROR(VLOOKUP(A530,滿意度調查!$B$4:$D$570,3,FALSE),"")</f>
        <v/>
      </c>
      <c r="U530" s="35" t="str">
        <f t="shared" si="44"/>
        <v>2026-06</v>
      </c>
      <c r="V530" s="38">
        <f>IF(J530="已結案",0,(使用說明!$B$7-B530)*24)</f>
        <v>647.95000000001164</v>
      </c>
    </row>
    <row r="531" spans="1:22">
      <c r="A531" s="32" t="s">
        <v>1055</v>
      </c>
      <c r="B531" s="33">
        <v>46177.445833333331</v>
      </c>
      <c r="C531" s="34" t="s">
        <v>539</v>
      </c>
      <c r="D531" s="34" t="s">
        <v>210</v>
      </c>
      <c r="E531" s="34" t="s">
        <v>211</v>
      </c>
      <c r="F531" s="34" t="s">
        <v>212</v>
      </c>
      <c r="G531" s="34" t="s">
        <v>242</v>
      </c>
      <c r="H531" s="34" t="s">
        <v>254</v>
      </c>
      <c r="I531" s="35" t="str">
        <f>VLOOKUP(H531,人員與團隊!$A$4:$D$27,3,FALSE)</f>
        <v>線上服務</v>
      </c>
      <c r="J531" s="34" t="s">
        <v>215</v>
      </c>
      <c r="K531" s="33">
        <v>46177.501388888886</v>
      </c>
      <c r="L531" s="33">
        <v>46177.74281048611</v>
      </c>
      <c r="M531" s="36">
        <f t="shared" si="40"/>
        <v>79.999999998835847</v>
      </c>
      <c r="N531" s="37">
        <f t="shared" si="41"/>
        <v>7.1274516666890122</v>
      </c>
      <c r="O531" s="36">
        <f>VLOOKUP(G531,SLA標準!$A$4:$C$7,2,FALSE)</f>
        <v>240</v>
      </c>
      <c r="P531" s="37">
        <f>VLOOKUP(G531,SLA標準!$A$4:$C$7,3,FALSE)</f>
        <v>24</v>
      </c>
      <c r="Q531" s="35" t="str">
        <f t="shared" si="42"/>
        <v>達標</v>
      </c>
      <c r="R531" s="34" t="s">
        <v>41</v>
      </c>
      <c r="S531" s="35" t="str">
        <f t="shared" si="43"/>
        <v>是</v>
      </c>
      <c r="T531" s="36">
        <f>IFERROR(VLOOKUP(A531,滿意度調查!$B$4:$D$570,3,FALSE),"")</f>
        <v>4</v>
      </c>
      <c r="U531" s="35" t="str">
        <f t="shared" si="44"/>
        <v>2026-06</v>
      </c>
      <c r="V531" s="38">
        <f>IF(J531="已結案",0,(使用說明!$B$7-B531)*24)</f>
        <v>0</v>
      </c>
    </row>
    <row r="532" spans="1:22">
      <c r="A532" s="32" t="s">
        <v>1056</v>
      </c>
      <c r="B532" s="33">
        <v>46177.499305555553</v>
      </c>
      <c r="C532" s="34" t="s">
        <v>664</v>
      </c>
      <c r="D532" s="34" t="s">
        <v>240</v>
      </c>
      <c r="E532" s="34" t="s">
        <v>245</v>
      </c>
      <c r="F532" s="34" t="s">
        <v>358</v>
      </c>
      <c r="G532" s="34" t="s">
        <v>213</v>
      </c>
      <c r="H532" s="34" t="s">
        <v>237</v>
      </c>
      <c r="I532" s="35" t="str">
        <f>VLOOKUP(H532,人員與團隊!$A$4:$D$27,3,FALSE)</f>
        <v>北區服務</v>
      </c>
      <c r="J532" s="34" t="s">
        <v>356</v>
      </c>
      <c r="K532" s="33">
        <v>46178.111111111109</v>
      </c>
      <c r="L532" s="33"/>
      <c r="M532" s="36">
        <f t="shared" si="40"/>
        <v>881.00000000093132</v>
      </c>
      <c r="N532" s="37" t="str">
        <f t="shared" si="41"/>
        <v/>
      </c>
      <c r="O532" s="36">
        <f>VLOOKUP(G532,SLA標準!$A$4:$C$7,2,FALSE)</f>
        <v>480</v>
      </c>
      <c r="P532" s="37">
        <f>VLOOKUP(G532,SLA標準!$A$4:$C$7,3,FALSE)</f>
        <v>48</v>
      </c>
      <c r="Q532" s="35" t="str">
        <f t="shared" si="42"/>
        <v>逾期</v>
      </c>
      <c r="R532" s="34" t="s">
        <v>47</v>
      </c>
      <c r="S532" s="35" t="str">
        <f t="shared" si="43"/>
        <v>否</v>
      </c>
      <c r="T532" s="36" t="str">
        <f>IFERROR(VLOOKUP(A532,滿意度調查!$B$4:$D$570,3,FALSE),"")</f>
        <v/>
      </c>
      <c r="U532" s="35" t="str">
        <f t="shared" si="44"/>
        <v>2026-06</v>
      </c>
      <c r="V532" s="38">
        <f>IF(J532="已結案",0,(使用說明!$B$7-B532)*24)</f>
        <v>645.01666666672099</v>
      </c>
    </row>
    <row r="533" spans="1:22">
      <c r="A533" s="32" t="s">
        <v>1057</v>
      </c>
      <c r="B533" s="33">
        <v>46177.512499999997</v>
      </c>
      <c r="C533" s="34" t="s">
        <v>618</v>
      </c>
      <c r="D533" s="34" t="s">
        <v>210</v>
      </c>
      <c r="E533" s="34" t="s">
        <v>219</v>
      </c>
      <c r="F533" s="34" t="s">
        <v>371</v>
      </c>
      <c r="G533" s="34" t="s">
        <v>242</v>
      </c>
      <c r="H533" s="34" t="s">
        <v>285</v>
      </c>
      <c r="I533" s="35" t="str">
        <f>VLOOKUP(H533,人員與團隊!$A$4:$D$27,3,FALSE)</f>
        <v>線上服務</v>
      </c>
      <c r="J533" s="34" t="s">
        <v>215</v>
      </c>
      <c r="K533" s="33">
        <v>46177.574305555558</v>
      </c>
      <c r="L533" s="33">
        <v>46178.226840081021</v>
      </c>
      <c r="M533" s="36">
        <f t="shared" si="40"/>
        <v>89.00000000721775</v>
      </c>
      <c r="N533" s="37">
        <f t="shared" si="41"/>
        <v>17.144161944568623</v>
      </c>
      <c r="O533" s="36">
        <f>VLOOKUP(G533,SLA標準!$A$4:$C$7,2,FALSE)</f>
        <v>240</v>
      </c>
      <c r="P533" s="37">
        <f>VLOOKUP(G533,SLA標準!$A$4:$C$7,3,FALSE)</f>
        <v>24</v>
      </c>
      <c r="Q533" s="35" t="str">
        <f t="shared" si="42"/>
        <v>達標</v>
      </c>
      <c r="R533" s="34" t="s">
        <v>47</v>
      </c>
      <c r="S533" s="35" t="str">
        <f t="shared" si="43"/>
        <v>是</v>
      </c>
      <c r="T533" s="36">
        <f>IFERROR(VLOOKUP(A533,滿意度調查!$B$4:$D$570,3,FALSE),"")</f>
        <v>5</v>
      </c>
      <c r="U533" s="35" t="str">
        <f t="shared" si="44"/>
        <v>2026-06</v>
      </c>
      <c r="V533" s="38">
        <f>IF(J533="已結案",0,(使用說明!$B$7-B533)*24)</f>
        <v>0</v>
      </c>
    </row>
    <row r="534" spans="1:22">
      <c r="A534" s="32" t="s">
        <v>1058</v>
      </c>
      <c r="B534" s="33">
        <v>46177.520833333336</v>
      </c>
      <c r="C534" s="34" t="s">
        <v>327</v>
      </c>
      <c r="D534" s="34" t="s">
        <v>218</v>
      </c>
      <c r="E534" s="34" t="s">
        <v>265</v>
      </c>
      <c r="F534" s="34" t="s">
        <v>266</v>
      </c>
      <c r="G534" s="34" t="s">
        <v>213</v>
      </c>
      <c r="H534" s="34" t="s">
        <v>279</v>
      </c>
      <c r="I534" s="35" t="str">
        <f>VLOOKUP(H534,人員與團隊!$A$4:$D$27,3,FALSE)</f>
        <v>南區服務</v>
      </c>
      <c r="J534" s="34" t="s">
        <v>215</v>
      </c>
      <c r="K534" s="33">
        <v>46177.956250000003</v>
      </c>
      <c r="L534" s="33">
        <v>46178.127539201392</v>
      </c>
      <c r="M534" s="36">
        <f t="shared" si="40"/>
        <v>627.00000000069849</v>
      </c>
      <c r="N534" s="37">
        <f t="shared" si="41"/>
        <v>14.560940833354834</v>
      </c>
      <c r="O534" s="36">
        <f>VLOOKUP(G534,SLA標準!$A$4:$C$7,2,FALSE)</f>
        <v>480</v>
      </c>
      <c r="P534" s="37">
        <f>VLOOKUP(G534,SLA標準!$A$4:$C$7,3,FALSE)</f>
        <v>48</v>
      </c>
      <c r="Q534" s="35" t="str">
        <f t="shared" si="42"/>
        <v>逾期</v>
      </c>
      <c r="R534" s="34" t="s">
        <v>41</v>
      </c>
      <c r="S534" s="35" t="str">
        <f t="shared" si="43"/>
        <v>是</v>
      </c>
      <c r="T534" s="36">
        <f>IFERROR(VLOOKUP(A534,滿意度調查!$B$4:$D$570,3,FALSE),"")</f>
        <v>3</v>
      </c>
      <c r="U534" s="35" t="str">
        <f t="shared" si="44"/>
        <v>2026-06</v>
      </c>
      <c r="V534" s="38">
        <f>IF(J534="已結案",0,(使用說明!$B$7-B534)*24)</f>
        <v>0</v>
      </c>
    </row>
    <row r="535" spans="1:22">
      <c r="A535" s="32" t="s">
        <v>1059</v>
      </c>
      <c r="B535" s="33">
        <v>46177.544444444444</v>
      </c>
      <c r="C535" s="34" t="s">
        <v>1060</v>
      </c>
      <c r="D535" s="34" t="s">
        <v>240</v>
      </c>
      <c r="E535" s="34" t="s">
        <v>211</v>
      </c>
      <c r="F535" s="34" t="s">
        <v>226</v>
      </c>
      <c r="G535" s="34" t="s">
        <v>221</v>
      </c>
      <c r="H535" s="34" t="s">
        <v>267</v>
      </c>
      <c r="I535" s="35" t="str">
        <f>VLOOKUP(H535,人員與團隊!$A$4:$D$27,3,FALSE)</f>
        <v>南區服務</v>
      </c>
      <c r="J535" s="34" t="s">
        <v>215</v>
      </c>
      <c r="K535" s="33">
        <v>46177.580555555556</v>
      </c>
      <c r="L535" s="33">
        <v>46177.761332638889</v>
      </c>
      <c r="M535" s="36">
        <f t="shared" si="40"/>
        <v>52.000000001862645</v>
      </c>
      <c r="N535" s="37">
        <f t="shared" si="41"/>
        <v>5.2053166666883044</v>
      </c>
      <c r="O535" s="36">
        <f>VLOOKUP(G535,SLA標準!$A$4:$C$7,2,FALSE)</f>
        <v>60</v>
      </c>
      <c r="P535" s="37">
        <f>VLOOKUP(G535,SLA標準!$A$4:$C$7,3,FALSE)</f>
        <v>8</v>
      </c>
      <c r="Q535" s="35" t="str">
        <f t="shared" si="42"/>
        <v>達標</v>
      </c>
      <c r="R535" s="34" t="s">
        <v>47</v>
      </c>
      <c r="S535" s="35" t="str">
        <f t="shared" si="43"/>
        <v>是</v>
      </c>
      <c r="T535" s="36">
        <f>IFERROR(VLOOKUP(A535,滿意度調查!$B$4:$D$570,3,FALSE),"")</f>
        <v>5</v>
      </c>
      <c r="U535" s="35" t="str">
        <f t="shared" si="44"/>
        <v>2026-06</v>
      </c>
      <c r="V535" s="38">
        <f>IF(J535="已結案",0,(使用說明!$B$7-B535)*24)</f>
        <v>0</v>
      </c>
    </row>
    <row r="536" spans="1:22">
      <c r="A536" s="32" t="s">
        <v>1061</v>
      </c>
      <c r="B536" s="33">
        <v>46177.597222222219</v>
      </c>
      <c r="C536" s="34" t="s">
        <v>1062</v>
      </c>
      <c r="D536" s="34" t="s">
        <v>218</v>
      </c>
      <c r="E536" s="34" t="s">
        <v>211</v>
      </c>
      <c r="F536" s="34" t="s">
        <v>331</v>
      </c>
      <c r="G536" s="34" t="s">
        <v>350</v>
      </c>
      <c r="H536" s="34" t="s">
        <v>340</v>
      </c>
      <c r="I536" s="35" t="str">
        <f>VLOOKUP(H536,人員與團隊!$A$4:$D$27,3,FALSE)</f>
        <v>北區服務</v>
      </c>
      <c r="J536" s="34" t="s">
        <v>215</v>
      </c>
      <c r="K536" s="33">
        <v>46177.635416666664</v>
      </c>
      <c r="L536" s="33">
        <v>46177.715249155095</v>
      </c>
      <c r="M536" s="36">
        <f t="shared" si="40"/>
        <v>55.000000001164153</v>
      </c>
      <c r="N536" s="37">
        <f t="shared" si="41"/>
        <v>2.8326463890261948</v>
      </c>
      <c r="O536" s="36">
        <f>VLOOKUP(G536,SLA標準!$A$4:$C$7,2,FALSE)</f>
        <v>30</v>
      </c>
      <c r="P536" s="37">
        <f>VLOOKUP(G536,SLA標準!$A$4:$C$7,3,FALSE)</f>
        <v>4</v>
      </c>
      <c r="Q536" s="35" t="str">
        <f t="shared" si="42"/>
        <v>逾期</v>
      </c>
      <c r="R536" s="34" t="s">
        <v>47</v>
      </c>
      <c r="S536" s="35" t="str">
        <f t="shared" si="43"/>
        <v>是</v>
      </c>
      <c r="T536" s="36">
        <f>IFERROR(VLOOKUP(A536,滿意度調查!$B$4:$D$570,3,FALSE),"")</f>
        <v>4</v>
      </c>
      <c r="U536" s="35" t="str">
        <f t="shared" si="44"/>
        <v>2026-06</v>
      </c>
      <c r="V536" s="38">
        <f>IF(J536="已結案",0,(使用說明!$B$7-B536)*24)</f>
        <v>0</v>
      </c>
    </row>
    <row r="537" spans="1:22">
      <c r="A537" s="32" t="s">
        <v>1063</v>
      </c>
      <c r="B537" s="33">
        <v>46177.684027777781</v>
      </c>
      <c r="C537" s="34" t="s">
        <v>632</v>
      </c>
      <c r="D537" s="34" t="s">
        <v>240</v>
      </c>
      <c r="E537" s="34" t="s">
        <v>230</v>
      </c>
      <c r="F537" s="34" t="s">
        <v>231</v>
      </c>
      <c r="G537" s="34" t="s">
        <v>242</v>
      </c>
      <c r="H537" s="34" t="s">
        <v>254</v>
      </c>
      <c r="I537" s="35" t="str">
        <f>VLOOKUP(H537,人員與團隊!$A$4:$D$27,3,FALSE)</f>
        <v>線上服務</v>
      </c>
      <c r="J537" s="34" t="s">
        <v>215</v>
      </c>
      <c r="K537" s="33">
        <v>46177.92291666667</v>
      </c>
      <c r="L537" s="33">
        <v>46178.707998229169</v>
      </c>
      <c r="M537" s="36">
        <f t="shared" si="40"/>
        <v>344.00000000023283</v>
      </c>
      <c r="N537" s="37">
        <f t="shared" si="41"/>
        <v>24.575290833308827</v>
      </c>
      <c r="O537" s="36">
        <f>VLOOKUP(G537,SLA標準!$A$4:$C$7,2,FALSE)</f>
        <v>240</v>
      </c>
      <c r="P537" s="37">
        <f>VLOOKUP(G537,SLA標準!$A$4:$C$7,3,FALSE)</f>
        <v>24</v>
      </c>
      <c r="Q537" s="35" t="str">
        <f t="shared" si="42"/>
        <v>逾期</v>
      </c>
      <c r="R537" s="34" t="s">
        <v>47</v>
      </c>
      <c r="S537" s="35" t="str">
        <f t="shared" si="43"/>
        <v>否</v>
      </c>
      <c r="T537" s="36" t="str">
        <f>IFERROR(VLOOKUP(A537,滿意度調查!$B$4:$D$570,3,FALSE),"")</f>
        <v/>
      </c>
      <c r="U537" s="35" t="str">
        <f t="shared" si="44"/>
        <v>2026-06</v>
      </c>
      <c r="V537" s="38">
        <f>IF(J537="已結案",0,(使用說明!$B$7-B537)*24)</f>
        <v>0</v>
      </c>
    </row>
    <row r="538" spans="1:22">
      <c r="A538" s="32" t="s">
        <v>1064</v>
      </c>
      <c r="B538" s="33">
        <v>46177.695138888892</v>
      </c>
      <c r="C538" s="34" t="s">
        <v>224</v>
      </c>
      <c r="D538" s="34" t="s">
        <v>218</v>
      </c>
      <c r="E538" s="34" t="s">
        <v>211</v>
      </c>
      <c r="F538" s="34" t="s">
        <v>212</v>
      </c>
      <c r="G538" s="34" t="s">
        <v>242</v>
      </c>
      <c r="H538" s="34" t="s">
        <v>325</v>
      </c>
      <c r="I538" s="35" t="str">
        <f>VLOOKUP(H538,人員與團隊!$A$4:$D$27,3,FALSE)</f>
        <v>線上服務</v>
      </c>
      <c r="J538" s="34" t="s">
        <v>215</v>
      </c>
      <c r="K538" s="33">
        <v>46177.945138888892</v>
      </c>
      <c r="L538" s="33">
        <v>46177.791006030093</v>
      </c>
      <c r="M538" s="36">
        <f t="shared" si="40"/>
        <v>360</v>
      </c>
      <c r="N538" s="37">
        <f t="shared" si="41"/>
        <v>2.3008113888208754</v>
      </c>
      <c r="O538" s="36">
        <f>VLOOKUP(G538,SLA標準!$A$4:$C$7,2,FALSE)</f>
        <v>240</v>
      </c>
      <c r="P538" s="37">
        <f>VLOOKUP(G538,SLA標準!$A$4:$C$7,3,FALSE)</f>
        <v>24</v>
      </c>
      <c r="Q538" s="35" t="str">
        <f t="shared" si="42"/>
        <v>逾期</v>
      </c>
      <c r="R538" s="34" t="s">
        <v>47</v>
      </c>
      <c r="S538" s="35" t="str">
        <f t="shared" si="43"/>
        <v>是</v>
      </c>
      <c r="T538" s="36">
        <f>IFERROR(VLOOKUP(A538,滿意度調查!$B$4:$D$570,3,FALSE),"")</f>
        <v>4</v>
      </c>
      <c r="U538" s="35" t="str">
        <f t="shared" si="44"/>
        <v>2026-06</v>
      </c>
      <c r="V538" s="38">
        <f>IF(J538="已結案",0,(使用說明!$B$7-B538)*24)</f>
        <v>0</v>
      </c>
    </row>
    <row r="539" spans="1:22">
      <c r="A539" s="32" t="s">
        <v>1065</v>
      </c>
      <c r="B539" s="33">
        <v>46177.736805555556</v>
      </c>
      <c r="C539" s="34" t="s">
        <v>638</v>
      </c>
      <c r="D539" s="34" t="s">
        <v>225</v>
      </c>
      <c r="E539" s="34" t="s">
        <v>265</v>
      </c>
      <c r="F539" s="34" t="s">
        <v>301</v>
      </c>
      <c r="G539" s="34" t="s">
        <v>242</v>
      </c>
      <c r="H539" s="34" t="s">
        <v>250</v>
      </c>
      <c r="I539" s="35" t="str">
        <f>VLOOKUP(H539,人員與團隊!$A$4:$D$27,3,FALSE)</f>
        <v>南區服務</v>
      </c>
      <c r="J539" s="34" t="s">
        <v>215</v>
      </c>
      <c r="K539" s="33">
        <v>46177.884722222225</v>
      </c>
      <c r="L539" s="33">
        <v>46178.139632256942</v>
      </c>
      <c r="M539" s="36">
        <f t="shared" si="40"/>
        <v>213.00000000279397</v>
      </c>
      <c r="N539" s="37">
        <f t="shared" si="41"/>
        <v>9.6678408332518302</v>
      </c>
      <c r="O539" s="36">
        <f>VLOOKUP(G539,SLA標準!$A$4:$C$7,2,FALSE)</f>
        <v>240</v>
      </c>
      <c r="P539" s="37">
        <f>VLOOKUP(G539,SLA標準!$A$4:$C$7,3,FALSE)</f>
        <v>24</v>
      </c>
      <c r="Q539" s="35" t="str">
        <f t="shared" si="42"/>
        <v>達標</v>
      </c>
      <c r="R539" s="34" t="s">
        <v>47</v>
      </c>
      <c r="S539" s="35" t="str">
        <f t="shared" si="43"/>
        <v>否</v>
      </c>
      <c r="T539" s="36" t="str">
        <f>IFERROR(VLOOKUP(A539,滿意度調查!$B$4:$D$570,3,FALSE),"")</f>
        <v/>
      </c>
      <c r="U539" s="35" t="str">
        <f t="shared" si="44"/>
        <v>2026-06</v>
      </c>
      <c r="V539" s="38">
        <f>IF(J539="已結案",0,(使用說明!$B$7-B539)*24)</f>
        <v>0</v>
      </c>
    </row>
    <row r="540" spans="1:22">
      <c r="A540" s="32" t="s">
        <v>1066</v>
      </c>
      <c r="B540" s="33">
        <v>46177.828472222223</v>
      </c>
      <c r="C540" s="34" t="s">
        <v>893</v>
      </c>
      <c r="D540" s="34" t="s">
        <v>225</v>
      </c>
      <c r="E540" s="34" t="s">
        <v>230</v>
      </c>
      <c r="F540" s="34" t="s">
        <v>320</v>
      </c>
      <c r="G540" s="34" t="s">
        <v>242</v>
      </c>
      <c r="H540" s="34" t="s">
        <v>274</v>
      </c>
      <c r="I540" s="35" t="str">
        <f>VLOOKUP(H540,人員與團隊!$A$4:$D$27,3,FALSE)</f>
        <v>南區服務</v>
      </c>
      <c r="J540" s="34" t="s">
        <v>215</v>
      </c>
      <c r="K540" s="33">
        <v>46177.881249999999</v>
      </c>
      <c r="L540" s="33">
        <v>46178.289287870371</v>
      </c>
      <c r="M540" s="36">
        <f t="shared" si="40"/>
        <v>75.99999999627471</v>
      </c>
      <c r="N540" s="37">
        <f t="shared" si="41"/>
        <v>11.059575555555057</v>
      </c>
      <c r="O540" s="36">
        <f>VLOOKUP(G540,SLA標準!$A$4:$C$7,2,FALSE)</f>
        <v>240</v>
      </c>
      <c r="P540" s="37">
        <f>VLOOKUP(G540,SLA標準!$A$4:$C$7,3,FALSE)</f>
        <v>24</v>
      </c>
      <c r="Q540" s="35" t="str">
        <f t="shared" si="42"/>
        <v>達標</v>
      </c>
      <c r="R540" s="34" t="s">
        <v>47</v>
      </c>
      <c r="S540" s="35" t="str">
        <f t="shared" si="43"/>
        <v>是</v>
      </c>
      <c r="T540" s="36">
        <f>IFERROR(VLOOKUP(A540,滿意度調查!$B$4:$D$570,3,FALSE),"")</f>
        <v>5</v>
      </c>
      <c r="U540" s="35" t="str">
        <f t="shared" si="44"/>
        <v>2026-06</v>
      </c>
      <c r="V540" s="38">
        <f>IF(J540="已結案",0,(使用說明!$B$7-B540)*24)</f>
        <v>0</v>
      </c>
    </row>
    <row r="541" spans="1:22">
      <c r="A541" s="32" t="s">
        <v>1067</v>
      </c>
      <c r="B541" s="33">
        <v>46177.847916666666</v>
      </c>
      <c r="C541" s="34" t="s">
        <v>303</v>
      </c>
      <c r="D541" s="34" t="s">
        <v>240</v>
      </c>
      <c r="E541" s="34" t="s">
        <v>230</v>
      </c>
      <c r="F541" s="34" t="s">
        <v>320</v>
      </c>
      <c r="G541" s="34" t="s">
        <v>242</v>
      </c>
      <c r="H541" s="34" t="s">
        <v>274</v>
      </c>
      <c r="I541" s="35" t="str">
        <f>VLOOKUP(H541,人員與團隊!$A$4:$D$27,3,FALSE)</f>
        <v>南區服務</v>
      </c>
      <c r="J541" s="34" t="s">
        <v>215</v>
      </c>
      <c r="K541" s="33">
        <v>46178.080555555556</v>
      </c>
      <c r="L541" s="33">
        <v>46178.684461249999</v>
      </c>
      <c r="M541" s="36">
        <f t="shared" si="40"/>
        <v>335.00000000232831</v>
      </c>
      <c r="N541" s="37">
        <f t="shared" si="41"/>
        <v>20.077069999999367</v>
      </c>
      <c r="O541" s="36">
        <f>VLOOKUP(G541,SLA標準!$A$4:$C$7,2,FALSE)</f>
        <v>240</v>
      </c>
      <c r="P541" s="37">
        <f>VLOOKUP(G541,SLA標準!$A$4:$C$7,3,FALSE)</f>
        <v>24</v>
      </c>
      <c r="Q541" s="35" t="str">
        <f t="shared" si="42"/>
        <v>逾期</v>
      </c>
      <c r="R541" s="34" t="s">
        <v>47</v>
      </c>
      <c r="S541" s="35" t="str">
        <f t="shared" si="43"/>
        <v>是</v>
      </c>
      <c r="T541" s="36">
        <f>IFERROR(VLOOKUP(A541,滿意度調查!$B$4:$D$570,3,FALSE),"")</f>
        <v>3</v>
      </c>
      <c r="U541" s="35" t="str">
        <f t="shared" si="44"/>
        <v>2026-06</v>
      </c>
      <c r="V541" s="38">
        <f>IF(J541="已結案",0,(使用說明!$B$7-B541)*24)</f>
        <v>0</v>
      </c>
    </row>
    <row r="542" spans="1:22">
      <c r="A542" s="32" t="s">
        <v>1068</v>
      </c>
      <c r="B542" s="33">
        <v>46177.865972222222</v>
      </c>
      <c r="C542" s="34" t="s">
        <v>346</v>
      </c>
      <c r="D542" s="34" t="s">
        <v>225</v>
      </c>
      <c r="E542" s="34" t="s">
        <v>235</v>
      </c>
      <c r="F542" s="34" t="s">
        <v>236</v>
      </c>
      <c r="G542" s="34" t="s">
        <v>221</v>
      </c>
      <c r="H542" s="34" t="s">
        <v>340</v>
      </c>
      <c r="I542" s="35" t="str">
        <f>VLOOKUP(H542,人員與團隊!$A$4:$D$27,3,FALSE)</f>
        <v>北區服務</v>
      </c>
      <c r="J542" s="34" t="s">
        <v>215</v>
      </c>
      <c r="K542" s="33">
        <v>46177.880555555559</v>
      </c>
      <c r="L542" s="33">
        <v>46178.357219849539</v>
      </c>
      <c r="M542" s="36">
        <f t="shared" si="40"/>
        <v>21.000000005587935</v>
      </c>
      <c r="N542" s="37">
        <f t="shared" si="41"/>
        <v>11.789943055598997</v>
      </c>
      <c r="O542" s="36">
        <f>VLOOKUP(G542,SLA標準!$A$4:$C$7,2,FALSE)</f>
        <v>60</v>
      </c>
      <c r="P542" s="37">
        <f>VLOOKUP(G542,SLA標準!$A$4:$C$7,3,FALSE)</f>
        <v>8</v>
      </c>
      <c r="Q542" s="35" t="str">
        <f t="shared" si="42"/>
        <v>逾期</v>
      </c>
      <c r="R542" s="34" t="s">
        <v>47</v>
      </c>
      <c r="S542" s="35" t="str">
        <f t="shared" si="43"/>
        <v>是</v>
      </c>
      <c r="T542" s="36">
        <f>IFERROR(VLOOKUP(A542,滿意度調查!$B$4:$D$570,3,FALSE),"")</f>
        <v>3</v>
      </c>
      <c r="U542" s="35" t="str">
        <f t="shared" si="44"/>
        <v>2026-06</v>
      </c>
      <c r="V542" s="38">
        <f>IF(J542="已結案",0,(使用說明!$B$7-B542)*24)</f>
        <v>0</v>
      </c>
    </row>
    <row r="543" spans="1:22">
      <c r="A543" s="32" t="s">
        <v>1069</v>
      </c>
      <c r="B543" s="33">
        <v>46178.386805555558</v>
      </c>
      <c r="C543" s="34" t="s">
        <v>423</v>
      </c>
      <c r="D543" s="34" t="s">
        <v>225</v>
      </c>
      <c r="E543" s="34" t="s">
        <v>211</v>
      </c>
      <c r="F543" s="34" t="s">
        <v>334</v>
      </c>
      <c r="G543" s="34" t="s">
        <v>213</v>
      </c>
      <c r="H543" s="34" t="s">
        <v>274</v>
      </c>
      <c r="I543" s="35" t="str">
        <f>VLOOKUP(H543,人員與團隊!$A$4:$D$27,3,FALSE)</f>
        <v>南區服務</v>
      </c>
      <c r="J543" s="34" t="s">
        <v>215</v>
      </c>
      <c r="K543" s="33">
        <v>46178.614583333336</v>
      </c>
      <c r="L543" s="33">
        <v>46178.741071701392</v>
      </c>
      <c r="M543" s="36">
        <f t="shared" si="40"/>
        <v>328.00000000046566</v>
      </c>
      <c r="N543" s="37">
        <f t="shared" si="41"/>
        <v>8.5023875000188127</v>
      </c>
      <c r="O543" s="36">
        <f>VLOOKUP(G543,SLA標準!$A$4:$C$7,2,FALSE)</f>
        <v>480</v>
      </c>
      <c r="P543" s="37">
        <f>VLOOKUP(G543,SLA標準!$A$4:$C$7,3,FALSE)</f>
        <v>48</v>
      </c>
      <c r="Q543" s="35" t="str">
        <f t="shared" si="42"/>
        <v>達標</v>
      </c>
      <c r="R543" s="34" t="s">
        <v>47</v>
      </c>
      <c r="S543" s="35" t="str">
        <f t="shared" si="43"/>
        <v>是</v>
      </c>
      <c r="T543" s="36">
        <f>IFERROR(VLOOKUP(A543,滿意度調查!$B$4:$D$570,3,FALSE),"")</f>
        <v>5</v>
      </c>
      <c r="U543" s="35" t="str">
        <f t="shared" si="44"/>
        <v>2026-06</v>
      </c>
      <c r="V543" s="38">
        <f>IF(J543="已結案",0,(使用說明!$B$7-B543)*24)</f>
        <v>0</v>
      </c>
    </row>
    <row r="544" spans="1:22">
      <c r="A544" s="32" t="s">
        <v>1070</v>
      </c>
      <c r="B544" s="33">
        <v>46178.425000000003</v>
      </c>
      <c r="C544" s="34" t="s">
        <v>417</v>
      </c>
      <c r="D544" s="34" t="s">
        <v>210</v>
      </c>
      <c r="E544" s="34" t="s">
        <v>235</v>
      </c>
      <c r="F544" s="34" t="s">
        <v>236</v>
      </c>
      <c r="G544" s="34" t="s">
        <v>242</v>
      </c>
      <c r="H544" s="34" t="s">
        <v>254</v>
      </c>
      <c r="I544" s="35" t="str">
        <f>VLOOKUP(H544,人員與團隊!$A$4:$D$27,3,FALSE)</f>
        <v>線上服務</v>
      </c>
      <c r="J544" s="34" t="s">
        <v>215</v>
      </c>
      <c r="K544" s="33">
        <v>46178.520833333336</v>
      </c>
      <c r="L544" s="33">
        <v>46179.066456261571</v>
      </c>
      <c r="M544" s="36">
        <f t="shared" si="40"/>
        <v>137.99999999930151</v>
      </c>
      <c r="N544" s="37">
        <f t="shared" si="41"/>
        <v>15.39495027763769</v>
      </c>
      <c r="O544" s="36">
        <f>VLOOKUP(G544,SLA標準!$A$4:$C$7,2,FALSE)</f>
        <v>240</v>
      </c>
      <c r="P544" s="37">
        <f>VLOOKUP(G544,SLA標準!$A$4:$C$7,3,FALSE)</f>
        <v>24</v>
      </c>
      <c r="Q544" s="35" t="str">
        <f t="shared" si="42"/>
        <v>達標</v>
      </c>
      <c r="R544" s="34" t="s">
        <v>41</v>
      </c>
      <c r="S544" s="35" t="str">
        <f t="shared" si="43"/>
        <v>是</v>
      </c>
      <c r="T544" s="36">
        <f>IFERROR(VLOOKUP(A544,滿意度調查!$B$4:$D$570,3,FALSE),"")</f>
        <v>4</v>
      </c>
      <c r="U544" s="35" t="str">
        <f t="shared" si="44"/>
        <v>2026-06</v>
      </c>
      <c r="V544" s="38">
        <f>IF(J544="已結案",0,(使用說明!$B$7-B544)*24)</f>
        <v>0</v>
      </c>
    </row>
    <row r="545" spans="1:22">
      <c r="A545" s="32" t="s">
        <v>1071</v>
      </c>
      <c r="B545" s="33">
        <v>46178.470833333333</v>
      </c>
      <c r="C545" s="34" t="s">
        <v>966</v>
      </c>
      <c r="D545" s="34" t="s">
        <v>225</v>
      </c>
      <c r="E545" s="34" t="s">
        <v>265</v>
      </c>
      <c r="F545" s="34" t="s">
        <v>304</v>
      </c>
      <c r="G545" s="34" t="s">
        <v>350</v>
      </c>
      <c r="H545" s="34" t="s">
        <v>262</v>
      </c>
      <c r="I545" s="35" t="str">
        <f>VLOOKUP(H545,人員與團隊!$A$4:$D$27,3,FALSE)</f>
        <v>南區服務</v>
      </c>
      <c r="J545" s="34" t="s">
        <v>215</v>
      </c>
      <c r="K545" s="33">
        <v>46178.487500000003</v>
      </c>
      <c r="L545" s="33">
        <v>46178.762389502313</v>
      </c>
      <c r="M545" s="36">
        <f t="shared" si="40"/>
        <v>24.000000004889444</v>
      </c>
      <c r="N545" s="37">
        <f t="shared" si="41"/>
        <v>6.9973480555345304</v>
      </c>
      <c r="O545" s="36">
        <f>VLOOKUP(G545,SLA標準!$A$4:$C$7,2,FALSE)</f>
        <v>30</v>
      </c>
      <c r="P545" s="37">
        <f>VLOOKUP(G545,SLA標準!$A$4:$C$7,3,FALSE)</f>
        <v>4</v>
      </c>
      <c r="Q545" s="35" t="str">
        <f t="shared" si="42"/>
        <v>逾期</v>
      </c>
      <c r="R545" s="34" t="s">
        <v>47</v>
      </c>
      <c r="S545" s="35" t="str">
        <f t="shared" si="43"/>
        <v>是</v>
      </c>
      <c r="T545" s="36">
        <f>IFERROR(VLOOKUP(A545,滿意度調查!$B$4:$D$570,3,FALSE),"")</f>
        <v>4</v>
      </c>
      <c r="U545" s="35" t="str">
        <f t="shared" si="44"/>
        <v>2026-06</v>
      </c>
      <c r="V545" s="38">
        <f>IF(J545="已結案",0,(使用說明!$B$7-B545)*24)</f>
        <v>0</v>
      </c>
    </row>
    <row r="546" spans="1:22">
      <c r="A546" s="32" t="s">
        <v>1072</v>
      </c>
      <c r="B546" s="33">
        <v>46178.495138888888</v>
      </c>
      <c r="C546" s="34" t="s">
        <v>259</v>
      </c>
      <c r="D546" s="34" t="s">
        <v>210</v>
      </c>
      <c r="E546" s="34" t="s">
        <v>245</v>
      </c>
      <c r="F546" s="34" t="s">
        <v>278</v>
      </c>
      <c r="G546" s="34" t="s">
        <v>242</v>
      </c>
      <c r="H546" s="34" t="s">
        <v>250</v>
      </c>
      <c r="I546" s="35" t="str">
        <f>VLOOKUP(H546,人員與團隊!$A$4:$D$27,3,FALSE)</f>
        <v>南區服務</v>
      </c>
      <c r="J546" s="34" t="s">
        <v>215</v>
      </c>
      <c r="K546" s="33">
        <v>46178.556250000001</v>
      </c>
      <c r="L546" s="33">
        <v>46180.390032314812</v>
      </c>
      <c r="M546" s="36">
        <f t="shared" si="40"/>
        <v>88.000000003958121</v>
      </c>
      <c r="N546" s="37">
        <f t="shared" si="41"/>
        <v>45.477442222181708</v>
      </c>
      <c r="O546" s="36">
        <f>VLOOKUP(G546,SLA標準!$A$4:$C$7,2,FALSE)</f>
        <v>240</v>
      </c>
      <c r="P546" s="37">
        <f>VLOOKUP(G546,SLA標準!$A$4:$C$7,3,FALSE)</f>
        <v>24</v>
      </c>
      <c r="Q546" s="35" t="str">
        <f t="shared" si="42"/>
        <v>逾期</v>
      </c>
      <c r="R546" s="34" t="s">
        <v>47</v>
      </c>
      <c r="S546" s="35" t="str">
        <f t="shared" si="43"/>
        <v>是</v>
      </c>
      <c r="T546" s="36">
        <f>IFERROR(VLOOKUP(A546,滿意度調查!$B$4:$D$570,3,FALSE),"")</f>
        <v>3</v>
      </c>
      <c r="U546" s="35" t="str">
        <f t="shared" si="44"/>
        <v>2026-06</v>
      </c>
      <c r="V546" s="38">
        <f>IF(J546="已結案",0,(使用說明!$B$7-B546)*24)</f>
        <v>0</v>
      </c>
    </row>
    <row r="547" spans="1:22">
      <c r="A547" s="32" t="s">
        <v>1073</v>
      </c>
      <c r="B547" s="33">
        <v>46178.502083333333</v>
      </c>
      <c r="C547" s="34" t="s">
        <v>389</v>
      </c>
      <c r="D547" s="34" t="s">
        <v>210</v>
      </c>
      <c r="E547" s="34" t="s">
        <v>245</v>
      </c>
      <c r="F547" s="34" t="s">
        <v>278</v>
      </c>
      <c r="G547" s="34" t="s">
        <v>221</v>
      </c>
      <c r="H547" s="34" t="s">
        <v>243</v>
      </c>
      <c r="I547" s="35" t="str">
        <f>VLOOKUP(H547,人員與團隊!$A$4:$D$27,3,FALSE)</f>
        <v>南區服務</v>
      </c>
      <c r="J547" s="34" t="s">
        <v>215</v>
      </c>
      <c r="K547" s="33">
        <v>46178.526388888888</v>
      </c>
      <c r="L547" s="33">
        <v>46179.417255289351</v>
      </c>
      <c r="M547" s="36">
        <f t="shared" si="40"/>
        <v>34.999999998835847</v>
      </c>
      <c r="N547" s="37">
        <f t="shared" si="41"/>
        <v>21.964126944425516</v>
      </c>
      <c r="O547" s="36">
        <f>VLOOKUP(G547,SLA標準!$A$4:$C$7,2,FALSE)</f>
        <v>60</v>
      </c>
      <c r="P547" s="37">
        <f>VLOOKUP(G547,SLA標準!$A$4:$C$7,3,FALSE)</f>
        <v>8</v>
      </c>
      <c r="Q547" s="35" t="str">
        <f t="shared" si="42"/>
        <v>逾期</v>
      </c>
      <c r="R547" s="34" t="s">
        <v>47</v>
      </c>
      <c r="S547" s="35" t="str">
        <f t="shared" si="43"/>
        <v>否</v>
      </c>
      <c r="T547" s="36" t="str">
        <f>IFERROR(VLOOKUP(A547,滿意度調查!$B$4:$D$570,3,FALSE),"")</f>
        <v/>
      </c>
      <c r="U547" s="35" t="str">
        <f t="shared" si="44"/>
        <v>2026-06</v>
      </c>
      <c r="V547" s="38">
        <f>IF(J547="已結案",0,(使用說明!$B$7-B547)*24)</f>
        <v>0</v>
      </c>
    </row>
    <row r="548" spans="1:22">
      <c r="A548" s="32" t="s">
        <v>1074</v>
      </c>
      <c r="B548" s="33">
        <v>46178.529166666667</v>
      </c>
      <c r="C548" s="34" t="s">
        <v>413</v>
      </c>
      <c r="D548" s="34" t="s">
        <v>218</v>
      </c>
      <c r="E548" s="34" t="s">
        <v>211</v>
      </c>
      <c r="F548" s="34" t="s">
        <v>226</v>
      </c>
      <c r="G548" s="34" t="s">
        <v>213</v>
      </c>
      <c r="H548" s="34" t="s">
        <v>328</v>
      </c>
      <c r="I548" s="35" t="str">
        <f>VLOOKUP(H548,人員與團隊!$A$4:$D$27,3,FALSE)</f>
        <v>北區服務</v>
      </c>
      <c r="J548" s="34" t="s">
        <v>774</v>
      </c>
      <c r="K548" s="33">
        <v>46178.859722222223</v>
      </c>
      <c r="L548" s="33"/>
      <c r="M548" s="36">
        <f t="shared" si="40"/>
        <v>476.00000000093132</v>
      </c>
      <c r="N548" s="37" t="str">
        <f t="shared" si="41"/>
        <v/>
      </c>
      <c r="O548" s="36">
        <f>VLOOKUP(G548,SLA標準!$A$4:$C$7,2,FALSE)</f>
        <v>480</v>
      </c>
      <c r="P548" s="37">
        <f>VLOOKUP(G548,SLA標準!$A$4:$C$7,3,FALSE)</f>
        <v>48</v>
      </c>
      <c r="Q548" s="35" t="str">
        <f t="shared" si="42"/>
        <v>逾期</v>
      </c>
      <c r="R548" s="34" t="s">
        <v>47</v>
      </c>
      <c r="S548" s="35" t="str">
        <f t="shared" si="43"/>
        <v>否</v>
      </c>
      <c r="T548" s="36" t="str">
        <f>IFERROR(VLOOKUP(A548,滿意度調查!$B$4:$D$570,3,FALSE),"")</f>
        <v/>
      </c>
      <c r="U548" s="35" t="str">
        <f t="shared" si="44"/>
        <v>2026-06</v>
      </c>
      <c r="V548" s="38">
        <f>IF(J548="已結案",0,(使用說明!$B$7-B548)*24)</f>
        <v>620.29999999998836</v>
      </c>
    </row>
    <row r="549" spans="1:22">
      <c r="A549" s="32" t="s">
        <v>1075</v>
      </c>
      <c r="B549" s="33">
        <v>46178.647222222222</v>
      </c>
      <c r="C549" s="34" t="s">
        <v>307</v>
      </c>
      <c r="D549" s="34" t="s">
        <v>225</v>
      </c>
      <c r="E549" s="34" t="s">
        <v>265</v>
      </c>
      <c r="F549" s="34" t="s">
        <v>304</v>
      </c>
      <c r="G549" s="34" t="s">
        <v>242</v>
      </c>
      <c r="H549" s="34" t="s">
        <v>214</v>
      </c>
      <c r="I549" s="35" t="str">
        <f>VLOOKUP(H549,人員與團隊!$A$4:$D$27,3,FALSE)</f>
        <v>北區服務</v>
      </c>
      <c r="J549" s="34" t="s">
        <v>215</v>
      </c>
      <c r="K549" s="33">
        <v>46178.810416666667</v>
      </c>
      <c r="L549" s="33">
        <v>46179.560315752315</v>
      </c>
      <c r="M549" s="36">
        <f t="shared" si="40"/>
        <v>235.00000000116415</v>
      </c>
      <c r="N549" s="37">
        <f t="shared" si="41"/>
        <v>21.914244722225703</v>
      </c>
      <c r="O549" s="36">
        <f>VLOOKUP(G549,SLA標準!$A$4:$C$7,2,FALSE)</f>
        <v>240</v>
      </c>
      <c r="P549" s="37">
        <f>VLOOKUP(G549,SLA標準!$A$4:$C$7,3,FALSE)</f>
        <v>24</v>
      </c>
      <c r="Q549" s="35" t="str">
        <f t="shared" si="42"/>
        <v>達標</v>
      </c>
      <c r="R549" s="34" t="s">
        <v>47</v>
      </c>
      <c r="S549" s="35" t="str">
        <f t="shared" si="43"/>
        <v>是</v>
      </c>
      <c r="T549" s="36">
        <f>IFERROR(VLOOKUP(A549,滿意度調查!$B$4:$D$570,3,FALSE),"")</f>
        <v>4</v>
      </c>
      <c r="U549" s="35" t="str">
        <f t="shared" si="44"/>
        <v>2026-06</v>
      </c>
      <c r="V549" s="38">
        <f>IF(J549="已結案",0,(使用說明!$B$7-B549)*24)</f>
        <v>0</v>
      </c>
    </row>
    <row r="550" spans="1:22">
      <c r="A550" s="32" t="s">
        <v>1076</v>
      </c>
      <c r="B550" s="33">
        <v>46178.647916666669</v>
      </c>
      <c r="C550" s="34" t="s">
        <v>1077</v>
      </c>
      <c r="D550" s="34" t="s">
        <v>210</v>
      </c>
      <c r="E550" s="34" t="s">
        <v>211</v>
      </c>
      <c r="F550" s="34" t="s">
        <v>334</v>
      </c>
      <c r="G550" s="34" t="s">
        <v>242</v>
      </c>
      <c r="H550" s="34" t="s">
        <v>315</v>
      </c>
      <c r="I550" s="35" t="str">
        <f>VLOOKUP(H550,人員與團隊!$A$4:$D$27,3,FALSE)</f>
        <v>北區服務</v>
      </c>
      <c r="J550" s="34" t="s">
        <v>356</v>
      </c>
      <c r="K550" s="33">
        <v>46178.727083333331</v>
      </c>
      <c r="L550" s="33"/>
      <c r="M550" s="36">
        <f t="shared" si="40"/>
        <v>113.99999999441206</v>
      </c>
      <c r="N550" s="37" t="str">
        <f t="shared" si="41"/>
        <v/>
      </c>
      <c r="O550" s="36">
        <f>VLOOKUP(G550,SLA標準!$A$4:$C$7,2,FALSE)</f>
        <v>240</v>
      </c>
      <c r="P550" s="37">
        <f>VLOOKUP(G550,SLA標準!$A$4:$C$7,3,FALSE)</f>
        <v>24</v>
      </c>
      <c r="Q550" s="35" t="str">
        <f t="shared" si="42"/>
        <v>逾期</v>
      </c>
      <c r="R550" s="34" t="s">
        <v>41</v>
      </c>
      <c r="S550" s="35" t="str">
        <f t="shared" si="43"/>
        <v>否</v>
      </c>
      <c r="T550" s="36" t="str">
        <f>IFERROR(VLOOKUP(A550,滿意度調查!$B$4:$D$570,3,FALSE),"")</f>
        <v/>
      </c>
      <c r="U550" s="35" t="str">
        <f t="shared" si="44"/>
        <v>2026-06</v>
      </c>
      <c r="V550" s="38">
        <f>IF(J550="已結案",0,(使用說明!$B$7-B550)*24)</f>
        <v>617.44999999995343</v>
      </c>
    </row>
    <row r="551" spans="1:22">
      <c r="A551" s="32" t="s">
        <v>1078</v>
      </c>
      <c r="B551" s="33">
        <v>46178.663194444445</v>
      </c>
      <c r="C551" s="34" t="s">
        <v>546</v>
      </c>
      <c r="D551" s="34" t="s">
        <v>225</v>
      </c>
      <c r="E551" s="34" t="s">
        <v>230</v>
      </c>
      <c r="F551" s="34" t="s">
        <v>320</v>
      </c>
      <c r="G551" s="34" t="s">
        <v>213</v>
      </c>
      <c r="H551" s="34" t="s">
        <v>262</v>
      </c>
      <c r="I551" s="35" t="str">
        <f>VLOOKUP(H551,人員與團隊!$A$4:$D$27,3,FALSE)</f>
        <v>南區服務</v>
      </c>
      <c r="J551" s="34" t="s">
        <v>215</v>
      </c>
      <c r="K551" s="33">
        <v>46178.801388888889</v>
      </c>
      <c r="L551" s="33">
        <v>46179.733617118058</v>
      </c>
      <c r="M551" s="36">
        <f t="shared" si="40"/>
        <v>198.99999999906868</v>
      </c>
      <c r="N551" s="37">
        <f t="shared" si="41"/>
        <v>25.690144166699611</v>
      </c>
      <c r="O551" s="36">
        <f>VLOOKUP(G551,SLA標準!$A$4:$C$7,2,FALSE)</f>
        <v>480</v>
      </c>
      <c r="P551" s="37">
        <f>VLOOKUP(G551,SLA標準!$A$4:$C$7,3,FALSE)</f>
        <v>48</v>
      </c>
      <c r="Q551" s="35" t="str">
        <f t="shared" si="42"/>
        <v>達標</v>
      </c>
      <c r="R551" s="34" t="s">
        <v>47</v>
      </c>
      <c r="S551" s="35" t="str">
        <f t="shared" si="43"/>
        <v>否</v>
      </c>
      <c r="T551" s="36" t="str">
        <f>IFERROR(VLOOKUP(A551,滿意度調查!$B$4:$D$570,3,FALSE),"")</f>
        <v/>
      </c>
      <c r="U551" s="35" t="str">
        <f t="shared" si="44"/>
        <v>2026-06</v>
      </c>
      <c r="V551" s="38">
        <f>IF(J551="已結案",0,(使用說明!$B$7-B551)*24)</f>
        <v>0</v>
      </c>
    </row>
    <row r="552" spans="1:22">
      <c r="A552" s="32" t="s">
        <v>1079</v>
      </c>
      <c r="B552" s="33">
        <v>46178.664583333331</v>
      </c>
      <c r="C552" s="34" t="s">
        <v>327</v>
      </c>
      <c r="D552" s="34" t="s">
        <v>218</v>
      </c>
      <c r="E552" s="34" t="s">
        <v>245</v>
      </c>
      <c r="F552" s="34" t="s">
        <v>282</v>
      </c>
      <c r="G552" s="34" t="s">
        <v>242</v>
      </c>
      <c r="H552" s="34" t="s">
        <v>279</v>
      </c>
      <c r="I552" s="35" t="str">
        <f>VLOOKUP(H552,人員與團隊!$A$4:$D$27,3,FALSE)</f>
        <v>南區服務</v>
      </c>
      <c r="J552" s="34" t="s">
        <v>215</v>
      </c>
      <c r="K552" s="33">
        <v>46178.943055555559</v>
      </c>
      <c r="L552" s="33">
        <v>46180.273248622689</v>
      </c>
      <c r="M552" s="36">
        <f t="shared" si="40"/>
        <v>401.00000000791624</v>
      </c>
      <c r="N552" s="37">
        <f t="shared" si="41"/>
        <v>38.60796694457531</v>
      </c>
      <c r="O552" s="36">
        <f>VLOOKUP(G552,SLA標準!$A$4:$C$7,2,FALSE)</f>
        <v>240</v>
      </c>
      <c r="P552" s="37">
        <f>VLOOKUP(G552,SLA標準!$A$4:$C$7,3,FALSE)</f>
        <v>24</v>
      </c>
      <c r="Q552" s="35" t="str">
        <f t="shared" si="42"/>
        <v>逾期</v>
      </c>
      <c r="R552" s="34" t="s">
        <v>47</v>
      </c>
      <c r="S552" s="35" t="str">
        <f t="shared" si="43"/>
        <v>是</v>
      </c>
      <c r="T552" s="36">
        <f>IFERROR(VLOOKUP(A552,滿意度調查!$B$4:$D$570,3,FALSE),"")</f>
        <v>4</v>
      </c>
      <c r="U552" s="35" t="str">
        <f t="shared" si="44"/>
        <v>2026-06</v>
      </c>
      <c r="V552" s="38">
        <f>IF(J552="已結案",0,(使用說明!$B$7-B552)*24)</f>
        <v>0</v>
      </c>
    </row>
    <row r="553" spans="1:22">
      <c r="A553" s="32" t="s">
        <v>1080</v>
      </c>
      <c r="B553" s="33">
        <v>46178.68472222222</v>
      </c>
      <c r="C553" s="34" t="s">
        <v>686</v>
      </c>
      <c r="D553" s="34" t="s">
        <v>225</v>
      </c>
      <c r="E553" s="34" t="s">
        <v>230</v>
      </c>
      <c r="F553" s="34" t="s">
        <v>272</v>
      </c>
      <c r="G553" s="34" t="s">
        <v>242</v>
      </c>
      <c r="H553" s="34" t="s">
        <v>328</v>
      </c>
      <c r="I553" s="35" t="str">
        <f>VLOOKUP(H553,人員與團隊!$A$4:$D$27,3,FALSE)</f>
        <v>北區服務</v>
      </c>
      <c r="J553" s="34" t="s">
        <v>215</v>
      </c>
      <c r="K553" s="33">
        <v>46178.84375</v>
      </c>
      <c r="L553" s="33">
        <v>46180.495964374997</v>
      </c>
      <c r="M553" s="36">
        <f t="shared" si="40"/>
        <v>229.00000000256114</v>
      </c>
      <c r="N553" s="37">
        <f t="shared" si="41"/>
        <v>43.469811666640453</v>
      </c>
      <c r="O553" s="36">
        <f>VLOOKUP(G553,SLA標準!$A$4:$C$7,2,FALSE)</f>
        <v>240</v>
      </c>
      <c r="P553" s="37">
        <f>VLOOKUP(G553,SLA標準!$A$4:$C$7,3,FALSE)</f>
        <v>24</v>
      </c>
      <c r="Q553" s="35" t="str">
        <f t="shared" si="42"/>
        <v>逾期</v>
      </c>
      <c r="R553" s="34" t="s">
        <v>47</v>
      </c>
      <c r="S553" s="35" t="str">
        <f t="shared" si="43"/>
        <v>是</v>
      </c>
      <c r="T553" s="36">
        <f>IFERROR(VLOOKUP(A553,滿意度調查!$B$4:$D$570,3,FALSE),"")</f>
        <v>3</v>
      </c>
      <c r="U553" s="35" t="str">
        <f t="shared" si="44"/>
        <v>2026-06</v>
      </c>
      <c r="V553" s="38">
        <f>IF(J553="已結案",0,(使用說明!$B$7-B553)*24)</f>
        <v>0</v>
      </c>
    </row>
    <row r="554" spans="1:22">
      <c r="A554" s="32" t="s">
        <v>1081</v>
      </c>
      <c r="B554" s="33">
        <v>46178.729166666664</v>
      </c>
      <c r="C554" s="34" t="s">
        <v>1082</v>
      </c>
      <c r="D554" s="34" t="s">
        <v>210</v>
      </c>
      <c r="E554" s="34" t="s">
        <v>230</v>
      </c>
      <c r="F554" s="34" t="s">
        <v>320</v>
      </c>
      <c r="G554" s="34" t="s">
        <v>213</v>
      </c>
      <c r="H554" s="34" t="s">
        <v>325</v>
      </c>
      <c r="I554" s="35" t="str">
        <f>VLOOKUP(H554,人員與團隊!$A$4:$D$27,3,FALSE)</f>
        <v>線上服務</v>
      </c>
      <c r="J554" s="34" t="s">
        <v>215</v>
      </c>
      <c r="K554" s="33">
        <v>46178.848611111112</v>
      </c>
      <c r="L554" s="33">
        <v>46179.882335011571</v>
      </c>
      <c r="M554" s="36">
        <f t="shared" si="40"/>
        <v>172.0000000053551</v>
      </c>
      <c r="N554" s="37">
        <f t="shared" si="41"/>
        <v>27.676040277758148</v>
      </c>
      <c r="O554" s="36">
        <f>VLOOKUP(G554,SLA標準!$A$4:$C$7,2,FALSE)</f>
        <v>480</v>
      </c>
      <c r="P554" s="37">
        <f>VLOOKUP(G554,SLA標準!$A$4:$C$7,3,FALSE)</f>
        <v>48</v>
      </c>
      <c r="Q554" s="35" t="str">
        <f t="shared" si="42"/>
        <v>達標</v>
      </c>
      <c r="R554" s="34" t="s">
        <v>47</v>
      </c>
      <c r="S554" s="35" t="str">
        <f t="shared" si="43"/>
        <v>是</v>
      </c>
      <c r="T554" s="36">
        <f>IFERROR(VLOOKUP(A554,滿意度調查!$B$4:$D$570,3,FALSE),"")</f>
        <v>4</v>
      </c>
      <c r="U554" s="35" t="str">
        <f t="shared" si="44"/>
        <v>2026-06</v>
      </c>
      <c r="V554" s="38">
        <f>IF(J554="已結案",0,(使用說明!$B$7-B554)*24)</f>
        <v>0</v>
      </c>
    </row>
    <row r="555" spans="1:22">
      <c r="A555" s="32" t="s">
        <v>1083</v>
      </c>
      <c r="B555" s="33">
        <v>46178.818749999999</v>
      </c>
      <c r="C555" s="34" t="s">
        <v>1084</v>
      </c>
      <c r="D555" s="34" t="s">
        <v>210</v>
      </c>
      <c r="E555" s="34" t="s">
        <v>265</v>
      </c>
      <c r="F555" s="34" t="s">
        <v>479</v>
      </c>
      <c r="G555" s="34" t="s">
        <v>242</v>
      </c>
      <c r="H555" s="34" t="s">
        <v>232</v>
      </c>
      <c r="I555" s="35" t="str">
        <f>VLOOKUP(H555,人員與團隊!$A$4:$D$27,3,FALSE)</f>
        <v>北區服務</v>
      </c>
      <c r="J555" s="34" t="s">
        <v>215</v>
      </c>
      <c r="K555" s="33">
        <v>46178.875</v>
      </c>
      <c r="L555" s="33">
        <v>46180.55211326389</v>
      </c>
      <c r="M555" s="36">
        <f t="shared" si="40"/>
        <v>81.000000002095476</v>
      </c>
      <c r="N555" s="37">
        <f t="shared" si="41"/>
        <v>41.600718333385885</v>
      </c>
      <c r="O555" s="36">
        <f>VLOOKUP(G555,SLA標準!$A$4:$C$7,2,FALSE)</f>
        <v>240</v>
      </c>
      <c r="P555" s="37">
        <f>VLOOKUP(G555,SLA標準!$A$4:$C$7,3,FALSE)</f>
        <v>24</v>
      </c>
      <c r="Q555" s="35" t="str">
        <f t="shared" si="42"/>
        <v>逾期</v>
      </c>
      <c r="R555" s="34" t="s">
        <v>47</v>
      </c>
      <c r="S555" s="35" t="str">
        <f t="shared" si="43"/>
        <v>否</v>
      </c>
      <c r="T555" s="36" t="str">
        <f>IFERROR(VLOOKUP(A555,滿意度調查!$B$4:$D$570,3,FALSE),"")</f>
        <v/>
      </c>
      <c r="U555" s="35" t="str">
        <f t="shared" si="44"/>
        <v>2026-06</v>
      </c>
      <c r="V555" s="38">
        <f>IF(J555="已結案",0,(使用說明!$B$7-B555)*24)</f>
        <v>0</v>
      </c>
    </row>
    <row r="556" spans="1:22">
      <c r="A556" s="32" t="s">
        <v>1085</v>
      </c>
      <c r="B556" s="33">
        <v>46178.868055555555</v>
      </c>
      <c r="C556" s="34" t="s">
        <v>510</v>
      </c>
      <c r="D556" s="34" t="s">
        <v>225</v>
      </c>
      <c r="E556" s="34" t="s">
        <v>211</v>
      </c>
      <c r="F556" s="34" t="s">
        <v>331</v>
      </c>
      <c r="G556" s="34" t="s">
        <v>213</v>
      </c>
      <c r="H556" s="34" t="s">
        <v>340</v>
      </c>
      <c r="I556" s="35" t="str">
        <f>VLOOKUP(H556,人員與團隊!$A$4:$D$27,3,FALSE)</f>
        <v>北區服務</v>
      </c>
      <c r="J556" s="34" t="s">
        <v>215</v>
      </c>
      <c r="K556" s="33">
        <v>46179.115972222222</v>
      </c>
      <c r="L556" s="33">
        <v>46179.364038761574</v>
      </c>
      <c r="M556" s="36">
        <f t="shared" si="40"/>
        <v>357.00000000069849</v>
      </c>
      <c r="N556" s="37">
        <f t="shared" si="41"/>
        <v>11.903596944466699</v>
      </c>
      <c r="O556" s="36">
        <f>VLOOKUP(G556,SLA標準!$A$4:$C$7,2,FALSE)</f>
        <v>480</v>
      </c>
      <c r="P556" s="37">
        <f>VLOOKUP(G556,SLA標準!$A$4:$C$7,3,FALSE)</f>
        <v>48</v>
      </c>
      <c r="Q556" s="35" t="str">
        <f t="shared" si="42"/>
        <v>達標</v>
      </c>
      <c r="R556" s="34" t="s">
        <v>47</v>
      </c>
      <c r="S556" s="35" t="str">
        <f t="shared" si="43"/>
        <v>否</v>
      </c>
      <c r="T556" s="36" t="str">
        <f>IFERROR(VLOOKUP(A556,滿意度調查!$B$4:$D$570,3,FALSE),"")</f>
        <v/>
      </c>
      <c r="U556" s="35" t="str">
        <f t="shared" si="44"/>
        <v>2026-06</v>
      </c>
      <c r="V556" s="38">
        <f>IF(J556="已結案",0,(使用說明!$B$7-B556)*24)</f>
        <v>0</v>
      </c>
    </row>
    <row r="557" spans="1:22">
      <c r="A557" s="32" t="s">
        <v>1086</v>
      </c>
      <c r="B557" s="33">
        <v>46179.354861111111</v>
      </c>
      <c r="C557" s="34" t="s">
        <v>352</v>
      </c>
      <c r="D557" s="34" t="s">
        <v>210</v>
      </c>
      <c r="E557" s="34" t="s">
        <v>211</v>
      </c>
      <c r="F557" s="34" t="s">
        <v>334</v>
      </c>
      <c r="G557" s="34" t="s">
        <v>221</v>
      </c>
      <c r="H557" s="34" t="s">
        <v>325</v>
      </c>
      <c r="I557" s="35" t="str">
        <f>VLOOKUP(H557,人員與團隊!$A$4:$D$27,3,FALSE)</f>
        <v>線上服務</v>
      </c>
      <c r="J557" s="34" t="s">
        <v>215</v>
      </c>
      <c r="K557" s="33">
        <v>46179.370833333334</v>
      </c>
      <c r="L557" s="33">
        <v>46179.431957905093</v>
      </c>
      <c r="M557" s="36">
        <f t="shared" si="40"/>
        <v>23.000000001629815</v>
      </c>
      <c r="N557" s="37">
        <f t="shared" si="41"/>
        <v>1.8503230555797927</v>
      </c>
      <c r="O557" s="36">
        <f>VLOOKUP(G557,SLA標準!$A$4:$C$7,2,FALSE)</f>
        <v>60</v>
      </c>
      <c r="P557" s="37">
        <f>VLOOKUP(G557,SLA標準!$A$4:$C$7,3,FALSE)</f>
        <v>8</v>
      </c>
      <c r="Q557" s="35" t="str">
        <f t="shared" si="42"/>
        <v>達標</v>
      </c>
      <c r="R557" s="34" t="s">
        <v>41</v>
      </c>
      <c r="S557" s="35" t="str">
        <f t="shared" si="43"/>
        <v>否</v>
      </c>
      <c r="T557" s="36" t="str">
        <f>IFERROR(VLOOKUP(A557,滿意度調查!$B$4:$D$570,3,FALSE),"")</f>
        <v/>
      </c>
      <c r="U557" s="35" t="str">
        <f t="shared" si="44"/>
        <v>2026-06</v>
      </c>
      <c r="V557" s="38">
        <f>IF(J557="已結案",0,(使用說明!$B$7-B557)*24)</f>
        <v>0</v>
      </c>
    </row>
    <row r="558" spans="1:22">
      <c r="A558" s="32" t="s">
        <v>1087</v>
      </c>
      <c r="B558" s="33">
        <v>46179.438194444447</v>
      </c>
      <c r="C558" s="34" t="s">
        <v>303</v>
      </c>
      <c r="D558" s="34" t="s">
        <v>240</v>
      </c>
      <c r="E558" s="34" t="s">
        <v>245</v>
      </c>
      <c r="F558" s="34" t="s">
        <v>278</v>
      </c>
      <c r="G558" s="34" t="s">
        <v>213</v>
      </c>
      <c r="H558" s="34" t="s">
        <v>214</v>
      </c>
      <c r="I558" s="35" t="str">
        <f>VLOOKUP(H558,人員與團隊!$A$4:$D$27,3,FALSE)</f>
        <v>北區服務</v>
      </c>
      <c r="J558" s="34" t="s">
        <v>215</v>
      </c>
      <c r="K558" s="33">
        <v>46180.081944444442</v>
      </c>
      <c r="L558" s="33">
        <v>46181.007488449075</v>
      </c>
      <c r="M558" s="36">
        <f t="shared" si="40"/>
        <v>926.99999999371357</v>
      </c>
      <c r="N558" s="37">
        <f t="shared" si="41"/>
        <v>37.663056111079641</v>
      </c>
      <c r="O558" s="36">
        <f>VLOOKUP(G558,SLA標準!$A$4:$C$7,2,FALSE)</f>
        <v>480</v>
      </c>
      <c r="P558" s="37">
        <f>VLOOKUP(G558,SLA標準!$A$4:$C$7,3,FALSE)</f>
        <v>48</v>
      </c>
      <c r="Q558" s="35" t="str">
        <f t="shared" si="42"/>
        <v>逾期</v>
      </c>
      <c r="R558" s="34" t="s">
        <v>47</v>
      </c>
      <c r="S558" s="35" t="str">
        <f t="shared" si="43"/>
        <v>是</v>
      </c>
      <c r="T558" s="36">
        <f>IFERROR(VLOOKUP(A558,滿意度調查!$B$4:$D$570,3,FALSE),"")</f>
        <v>3</v>
      </c>
      <c r="U558" s="35" t="str">
        <f t="shared" si="44"/>
        <v>2026-06</v>
      </c>
      <c r="V558" s="38">
        <f>IF(J558="已結案",0,(使用說明!$B$7-B558)*24)</f>
        <v>0</v>
      </c>
    </row>
    <row r="559" spans="1:22">
      <c r="A559" s="32" t="s">
        <v>1088</v>
      </c>
      <c r="B559" s="33">
        <v>46179.458333333336</v>
      </c>
      <c r="C559" s="34" t="s">
        <v>725</v>
      </c>
      <c r="D559" s="34" t="s">
        <v>225</v>
      </c>
      <c r="E559" s="34" t="s">
        <v>219</v>
      </c>
      <c r="F559" s="34" t="s">
        <v>249</v>
      </c>
      <c r="G559" s="34" t="s">
        <v>213</v>
      </c>
      <c r="H559" s="34" t="s">
        <v>315</v>
      </c>
      <c r="I559" s="35" t="str">
        <f>VLOOKUP(H559,人員與團隊!$A$4:$D$27,3,FALSE)</f>
        <v>北區服務</v>
      </c>
      <c r="J559" s="34" t="s">
        <v>215</v>
      </c>
      <c r="K559" s="33">
        <v>46179.750694444447</v>
      </c>
      <c r="L559" s="33">
        <v>46180.156515312498</v>
      </c>
      <c r="M559" s="36">
        <f t="shared" si="40"/>
        <v>420.99999999976717</v>
      </c>
      <c r="N559" s="37">
        <f t="shared" si="41"/>
        <v>16.75636749988189</v>
      </c>
      <c r="O559" s="36">
        <f>VLOOKUP(G559,SLA標準!$A$4:$C$7,2,FALSE)</f>
        <v>480</v>
      </c>
      <c r="P559" s="37">
        <f>VLOOKUP(G559,SLA標準!$A$4:$C$7,3,FALSE)</f>
        <v>48</v>
      </c>
      <c r="Q559" s="35" t="str">
        <f t="shared" si="42"/>
        <v>達標</v>
      </c>
      <c r="R559" s="34" t="s">
        <v>47</v>
      </c>
      <c r="S559" s="35" t="str">
        <f t="shared" si="43"/>
        <v>是</v>
      </c>
      <c r="T559" s="36">
        <f>IFERROR(VLOOKUP(A559,滿意度調查!$B$4:$D$570,3,FALSE),"")</f>
        <v>5</v>
      </c>
      <c r="U559" s="35" t="str">
        <f t="shared" si="44"/>
        <v>2026-06</v>
      </c>
      <c r="V559" s="38">
        <f>IF(J559="已結案",0,(使用說明!$B$7-B559)*24)</f>
        <v>0</v>
      </c>
    </row>
    <row r="560" spans="1:22">
      <c r="A560" s="32" t="s">
        <v>1089</v>
      </c>
      <c r="B560" s="33">
        <v>46179.490277777775</v>
      </c>
      <c r="C560" s="34" t="s">
        <v>993</v>
      </c>
      <c r="D560" s="34" t="s">
        <v>218</v>
      </c>
      <c r="E560" s="34" t="s">
        <v>245</v>
      </c>
      <c r="F560" s="34" t="s">
        <v>358</v>
      </c>
      <c r="G560" s="34" t="s">
        <v>242</v>
      </c>
      <c r="H560" s="34" t="s">
        <v>267</v>
      </c>
      <c r="I560" s="35" t="str">
        <f>VLOOKUP(H560,人員與團隊!$A$4:$D$27,3,FALSE)</f>
        <v>南區服務</v>
      </c>
      <c r="J560" s="34" t="s">
        <v>215</v>
      </c>
      <c r="K560" s="33">
        <v>46179.636111111111</v>
      </c>
      <c r="L560" s="33">
        <v>46180.863529513888</v>
      </c>
      <c r="M560" s="36">
        <f t="shared" si="40"/>
        <v>210.00000000349246</v>
      </c>
      <c r="N560" s="37">
        <f t="shared" si="41"/>
        <v>32.958041666715872</v>
      </c>
      <c r="O560" s="36">
        <f>VLOOKUP(G560,SLA標準!$A$4:$C$7,2,FALSE)</f>
        <v>240</v>
      </c>
      <c r="P560" s="37">
        <f>VLOOKUP(G560,SLA標準!$A$4:$C$7,3,FALSE)</f>
        <v>24</v>
      </c>
      <c r="Q560" s="35" t="str">
        <f t="shared" si="42"/>
        <v>逾期</v>
      </c>
      <c r="R560" s="34" t="s">
        <v>41</v>
      </c>
      <c r="S560" s="35" t="str">
        <f t="shared" si="43"/>
        <v>是</v>
      </c>
      <c r="T560" s="36">
        <f>IFERROR(VLOOKUP(A560,滿意度調查!$B$4:$D$570,3,FALSE),"")</f>
        <v>3</v>
      </c>
      <c r="U560" s="35" t="str">
        <f t="shared" si="44"/>
        <v>2026-06</v>
      </c>
      <c r="V560" s="38">
        <f>IF(J560="已結案",0,(使用說明!$B$7-B560)*24)</f>
        <v>0</v>
      </c>
    </row>
    <row r="561" spans="1:22">
      <c r="A561" s="32" t="s">
        <v>1090</v>
      </c>
      <c r="B561" s="33">
        <v>46179.503472222219</v>
      </c>
      <c r="C561" s="34" t="s">
        <v>1091</v>
      </c>
      <c r="D561" s="34" t="s">
        <v>240</v>
      </c>
      <c r="E561" s="34" t="s">
        <v>211</v>
      </c>
      <c r="F561" s="34" t="s">
        <v>212</v>
      </c>
      <c r="G561" s="34" t="s">
        <v>221</v>
      </c>
      <c r="H561" s="34" t="s">
        <v>315</v>
      </c>
      <c r="I561" s="35" t="str">
        <f>VLOOKUP(H561,人員與團隊!$A$4:$D$27,3,FALSE)</f>
        <v>北區服務</v>
      </c>
      <c r="J561" s="34" t="s">
        <v>215</v>
      </c>
      <c r="K561" s="33">
        <v>46179.571527777778</v>
      </c>
      <c r="L561" s="33">
        <v>46179.875940347221</v>
      </c>
      <c r="M561" s="36">
        <f t="shared" si="40"/>
        <v>98.000000005122274</v>
      </c>
      <c r="N561" s="37">
        <f t="shared" si="41"/>
        <v>8.9392350000562146</v>
      </c>
      <c r="O561" s="36">
        <f>VLOOKUP(G561,SLA標準!$A$4:$C$7,2,FALSE)</f>
        <v>60</v>
      </c>
      <c r="P561" s="37">
        <f>VLOOKUP(G561,SLA標準!$A$4:$C$7,3,FALSE)</f>
        <v>8</v>
      </c>
      <c r="Q561" s="35" t="str">
        <f t="shared" si="42"/>
        <v>逾期</v>
      </c>
      <c r="R561" s="34" t="s">
        <v>47</v>
      </c>
      <c r="S561" s="35" t="str">
        <f t="shared" si="43"/>
        <v>是</v>
      </c>
      <c r="T561" s="36">
        <f>IFERROR(VLOOKUP(A561,滿意度調查!$B$4:$D$570,3,FALSE),"")</f>
        <v>3</v>
      </c>
      <c r="U561" s="35" t="str">
        <f t="shared" si="44"/>
        <v>2026-06</v>
      </c>
      <c r="V561" s="38">
        <f>IF(J561="已結案",0,(使用說明!$B$7-B561)*24)</f>
        <v>0</v>
      </c>
    </row>
    <row r="562" spans="1:22">
      <c r="A562" s="32" t="s">
        <v>1092</v>
      </c>
      <c r="B562" s="33">
        <v>46179.524305555555</v>
      </c>
      <c r="C562" s="34" t="s">
        <v>748</v>
      </c>
      <c r="D562" s="34" t="s">
        <v>210</v>
      </c>
      <c r="E562" s="34" t="s">
        <v>219</v>
      </c>
      <c r="F562" s="34" t="s">
        <v>257</v>
      </c>
      <c r="G562" s="34" t="s">
        <v>350</v>
      </c>
      <c r="H562" s="34" t="s">
        <v>305</v>
      </c>
      <c r="I562" s="35" t="str">
        <f>VLOOKUP(H562,人員與團隊!$A$4:$D$27,3,FALSE)</f>
        <v>線上服務</v>
      </c>
      <c r="J562" s="34" t="s">
        <v>215</v>
      </c>
      <c r="K562" s="33">
        <v>46179.535416666666</v>
      </c>
      <c r="L562" s="33">
        <v>46179.926646516207</v>
      </c>
      <c r="M562" s="36">
        <f t="shared" si="40"/>
        <v>15.999999999767169</v>
      </c>
      <c r="N562" s="37">
        <f t="shared" si="41"/>
        <v>9.6561830556602217</v>
      </c>
      <c r="O562" s="36">
        <f>VLOOKUP(G562,SLA標準!$A$4:$C$7,2,FALSE)</f>
        <v>30</v>
      </c>
      <c r="P562" s="37">
        <f>VLOOKUP(G562,SLA標準!$A$4:$C$7,3,FALSE)</f>
        <v>4</v>
      </c>
      <c r="Q562" s="35" t="str">
        <f t="shared" si="42"/>
        <v>逾期</v>
      </c>
      <c r="R562" s="34" t="s">
        <v>41</v>
      </c>
      <c r="S562" s="35" t="str">
        <f t="shared" si="43"/>
        <v>是</v>
      </c>
      <c r="T562" s="36">
        <f>IFERROR(VLOOKUP(A562,滿意度調查!$B$4:$D$570,3,FALSE),"")</f>
        <v>2</v>
      </c>
      <c r="U562" s="35" t="str">
        <f t="shared" si="44"/>
        <v>2026-06</v>
      </c>
      <c r="V562" s="38">
        <f>IF(J562="已結案",0,(使用說明!$B$7-B562)*24)</f>
        <v>0</v>
      </c>
    </row>
    <row r="563" spans="1:22">
      <c r="A563" s="32" t="s">
        <v>1093</v>
      </c>
      <c r="B563" s="33">
        <v>46179.530555555553</v>
      </c>
      <c r="C563" s="34" t="s">
        <v>438</v>
      </c>
      <c r="D563" s="34" t="s">
        <v>225</v>
      </c>
      <c r="E563" s="34" t="s">
        <v>211</v>
      </c>
      <c r="F563" s="34" t="s">
        <v>212</v>
      </c>
      <c r="G563" s="34" t="s">
        <v>213</v>
      </c>
      <c r="H563" s="34" t="s">
        <v>279</v>
      </c>
      <c r="I563" s="35" t="str">
        <f>VLOOKUP(H563,人員與團隊!$A$4:$D$27,3,FALSE)</f>
        <v>南區服務</v>
      </c>
      <c r="J563" s="34" t="s">
        <v>215</v>
      </c>
      <c r="K563" s="33">
        <v>46179.722222222219</v>
      </c>
      <c r="L563" s="33">
        <v>46179.785435694444</v>
      </c>
      <c r="M563" s="36">
        <f t="shared" si="40"/>
        <v>275.99999999860302</v>
      </c>
      <c r="N563" s="37">
        <f t="shared" si="41"/>
        <v>6.1171233333880082</v>
      </c>
      <c r="O563" s="36">
        <f>VLOOKUP(G563,SLA標準!$A$4:$C$7,2,FALSE)</f>
        <v>480</v>
      </c>
      <c r="P563" s="37">
        <f>VLOOKUP(G563,SLA標準!$A$4:$C$7,3,FALSE)</f>
        <v>48</v>
      </c>
      <c r="Q563" s="35" t="str">
        <f t="shared" si="42"/>
        <v>達標</v>
      </c>
      <c r="R563" s="34" t="s">
        <v>47</v>
      </c>
      <c r="S563" s="35" t="str">
        <f t="shared" si="43"/>
        <v>是</v>
      </c>
      <c r="T563" s="36">
        <f>IFERROR(VLOOKUP(A563,滿意度調查!$B$4:$D$570,3,FALSE),"")</f>
        <v>4</v>
      </c>
      <c r="U563" s="35" t="str">
        <f t="shared" si="44"/>
        <v>2026-06</v>
      </c>
      <c r="V563" s="38">
        <f>IF(J563="已結案",0,(使用說明!$B$7-B563)*24)</f>
        <v>0</v>
      </c>
    </row>
    <row r="564" spans="1:22">
      <c r="A564" s="32" t="s">
        <v>1094</v>
      </c>
      <c r="B564" s="33">
        <v>46179.550694444442</v>
      </c>
      <c r="C564" s="34" t="s">
        <v>533</v>
      </c>
      <c r="D564" s="34" t="s">
        <v>218</v>
      </c>
      <c r="E564" s="34" t="s">
        <v>245</v>
      </c>
      <c r="F564" s="34" t="s">
        <v>358</v>
      </c>
      <c r="G564" s="34" t="s">
        <v>213</v>
      </c>
      <c r="H564" s="34" t="s">
        <v>250</v>
      </c>
      <c r="I564" s="35" t="str">
        <f>VLOOKUP(H564,人員與團隊!$A$4:$D$27,3,FALSE)</f>
        <v>南區服務</v>
      </c>
      <c r="J564" s="34" t="s">
        <v>275</v>
      </c>
      <c r="K564" s="33">
        <v>46180.12222222222</v>
      </c>
      <c r="L564" s="33"/>
      <c r="M564" s="36">
        <f t="shared" si="40"/>
        <v>823.00000000046566</v>
      </c>
      <c r="N564" s="37" t="str">
        <f t="shared" si="41"/>
        <v/>
      </c>
      <c r="O564" s="36">
        <f>VLOOKUP(G564,SLA標準!$A$4:$C$7,2,FALSE)</f>
        <v>480</v>
      </c>
      <c r="P564" s="37">
        <f>VLOOKUP(G564,SLA標準!$A$4:$C$7,3,FALSE)</f>
        <v>48</v>
      </c>
      <c r="Q564" s="35" t="str">
        <f t="shared" si="42"/>
        <v>逾期</v>
      </c>
      <c r="R564" s="34" t="s">
        <v>47</v>
      </c>
      <c r="S564" s="35" t="str">
        <f t="shared" si="43"/>
        <v>否</v>
      </c>
      <c r="T564" s="36" t="str">
        <f>IFERROR(VLOOKUP(A564,滿意度調查!$B$4:$D$570,3,FALSE),"")</f>
        <v/>
      </c>
      <c r="U564" s="35" t="str">
        <f t="shared" si="44"/>
        <v>2026-06</v>
      </c>
      <c r="V564" s="38">
        <f>IF(J564="已結案",0,(使用說明!$B$7-B564)*24)</f>
        <v>595.78333333338378</v>
      </c>
    </row>
    <row r="565" spans="1:22">
      <c r="A565" s="32" t="s">
        <v>1095</v>
      </c>
      <c r="B565" s="33">
        <v>46179.575694444444</v>
      </c>
      <c r="C565" s="34" t="s">
        <v>777</v>
      </c>
      <c r="D565" s="34" t="s">
        <v>210</v>
      </c>
      <c r="E565" s="34" t="s">
        <v>211</v>
      </c>
      <c r="F565" s="34" t="s">
        <v>226</v>
      </c>
      <c r="G565" s="34" t="s">
        <v>242</v>
      </c>
      <c r="H565" s="34" t="s">
        <v>214</v>
      </c>
      <c r="I565" s="35" t="str">
        <f>VLOOKUP(H565,人員與團隊!$A$4:$D$27,3,FALSE)</f>
        <v>北區服務</v>
      </c>
      <c r="J565" s="34" t="s">
        <v>215</v>
      </c>
      <c r="K565" s="33">
        <v>46179.615972222222</v>
      </c>
      <c r="L565" s="33">
        <v>46179.916723622686</v>
      </c>
      <c r="M565" s="36">
        <f t="shared" si="40"/>
        <v>58.000000000465661</v>
      </c>
      <c r="N565" s="37">
        <f t="shared" si="41"/>
        <v>8.184700277808588</v>
      </c>
      <c r="O565" s="36">
        <f>VLOOKUP(G565,SLA標準!$A$4:$C$7,2,FALSE)</f>
        <v>240</v>
      </c>
      <c r="P565" s="37">
        <f>VLOOKUP(G565,SLA標準!$A$4:$C$7,3,FALSE)</f>
        <v>24</v>
      </c>
      <c r="Q565" s="35" t="str">
        <f t="shared" si="42"/>
        <v>達標</v>
      </c>
      <c r="R565" s="34" t="s">
        <v>47</v>
      </c>
      <c r="S565" s="35" t="str">
        <f t="shared" si="43"/>
        <v>是</v>
      </c>
      <c r="T565" s="36">
        <f>IFERROR(VLOOKUP(A565,滿意度調查!$B$4:$D$570,3,FALSE),"")</f>
        <v>5</v>
      </c>
      <c r="U565" s="35" t="str">
        <f t="shared" si="44"/>
        <v>2026-06</v>
      </c>
      <c r="V565" s="38">
        <f>IF(J565="已結案",0,(使用說明!$B$7-B565)*24)</f>
        <v>0</v>
      </c>
    </row>
    <row r="566" spans="1:22">
      <c r="A566" s="32" t="s">
        <v>1096</v>
      </c>
      <c r="B566" s="33">
        <v>46179.656944444447</v>
      </c>
      <c r="C566" s="34" t="s">
        <v>610</v>
      </c>
      <c r="D566" s="34" t="s">
        <v>225</v>
      </c>
      <c r="E566" s="34" t="s">
        <v>265</v>
      </c>
      <c r="F566" s="34" t="s">
        <v>301</v>
      </c>
      <c r="G566" s="34" t="s">
        <v>242</v>
      </c>
      <c r="H566" s="34" t="s">
        <v>267</v>
      </c>
      <c r="I566" s="35" t="str">
        <f>VLOOKUP(H566,人員與團隊!$A$4:$D$27,3,FALSE)</f>
        <v>南區服務</v>
      </c>
      <c r="J566" s="34" t="s">
        <v>215</v>
      </c>
      <c r="K566" s="33">
        <v>46179.727777777778</v>
      </c>
      <c r="L566" s="33">
        <v>46180.840269814813</v>
      </c>
      <c r="M566" s="36">
        <f t="shared" si="40"/>
        <v>101.99999999720603</v>
      </c>
      <c r="N566" s="37">
        <f t="shared" si="41"/>
        <v>28.399808888789266</v>
      </c>
      <c r="O566" s="36">
        <f>VLOOKUP(G566,SLA標準!$A$4:$C$7,2,FALSE)</f>
        <v>240</v>
      </c>
      <c r="P566" s="37">
        <f>VLOOKUP(G566,SLA標準!$A$4:$C$7,3,FALSE)</f>
        <v>24</v>
      </c>
      <c r="Q566" s="35" t="str">
        <f t="shared" si="42"/>
        <v>逾期</v>
      </c>
      <c r="R566" s="34" t="s">
        <v>47</v>
      </c>
      <c r="S566" s="35" t="str">
        <f t="shared" si="43"/>
        <v>是</v>
      </c>
      <c r="T566" s="36">
        <f>IFERROR(VLOOKUP(A566,滿意度調查!$B$4:$D$570,3,FALSE),"")</f>
        <v>4</v>
      </c>
      <c r="U566" s="35" t="str">
        <f t="shared" si="44"/>
        <v>2026-06</v>
      </c>
      <c r="V566" s="38">
        <f>IF(J566="已結案",0,(使用說明!$B$7-B566)*24)</f>
        <v>0</v>
      </c>
    </row>
    <row r="567" spans="1:22">
      <c r="A567" s="32" t="s">
        <v>1097</v>
      </c>
      <c r="B567" s="33">
        <v>46179.68472222222</v>
      </c>
      <c r="C567" s="34" t="s">
        <v>824</v>
      </c>
      <c r="D567" s="34" t="s">
        <v>225</v>
      </c>
      <c r="E567" s="34" t="s">
        <v>265</v>
      </c>
      <c r="F567" s="34" t="s">
        <v>266</v>
      </c>
      <c r="G567" s="34" t="s">
        <v>242</v>
      </c>
      <c r="H567" s="34" t="s">
        <v>315</v>
      </c>
      <c r="I567" s="35" t="str">
        <f>VLOOKUP(H567,人員與團隊!$A$4:$D$27,3,FALSE)</f>
        <v>北區服務</v>
      </c>
      <c r="J567" s="34" t="s">
        <v>215</v>
      </c>
      <c r="K567" s="33">
        <v>46179.809027777781</v>
      </c>
      <c r="L567" s="33">
        <v>46180.862105949076</v>
      </c>
      <c r="M567" s="36">
        <f t="shared" si="40"/>
        <v>179.00000000721775</v>
      </c>
      <c r="N567" s="37">
        <f t="shared" si="41"/>
        <v>28.257209444534965</v>
      </c>
      <c r="O567" s="36">
        <f>VLOOKUP(G567,SLA標準!$A$4:$C$7,2,FALSE)</f>
        <v>240</v>
      </c>
      <c r="P567" s="37">
        <f>VLOOKUP(G567,SLA標準!$A$4:$C$7,3,FALSE)</f>
        <v>24</v>
      </c>
      <c r="Q567" s="35" t="str">
        <f t="shared" si="42"/>
        <v>逾期</v>
      </c>
      <c r="R567" s="34" t="s">
        <v>47</v>
      </c>
      <c r="S567" s="35" t="str">
        <f t="shared" si="43"/>
        <v>是</v>
      </c>
      <c r="T567" s="36">
        <f>IFERROR(VLOOKUP(A567,滿意度調查!$B$4:$D$570,3,FALSE),"")</f>
        <v>3</v>
      </c>
      <c r="U567" s="35" t="str">
        <f t="shared" si="44"/>
        <v>2026-06</v>
      </c>
      <c r="V567" s="38">
        <f>IF(J567="已結案",0,(使用說明!$B$7-B567)*24)</f>
        <v>0</v>
      </c>
    </row>
    <row r="568" spans="1:22">
      <c r="A568" s="32" t="s">
        <v>1098</v>
      </c>
      <c r="B568" s="33">
        <v>46179.693055555559</v>
      </c>
      <c r="C568" s="34" t="s">
        <v>662</v>
      </c>
      <c r="D568" s="34" t="s">
        <v>240</v>
      </c>
      <c r="E568" s="34" t="s">
        <v>230</v>
      </c>
      <c r="F568" s="34" t="s">
        <v>320</v>
      </c>
      <c r="G568" s="34" t="s">
        <v>221</v>
      </c>
      <c r="H568" s="34" t="s">
        <v>340</v>
      </c>
      <c r="I568" s="35" t="str">
        <f>VLOOKUP(H568,人員與團隊!$A$4:$D$27,3,FALSE)</f>
        <v>北區服務</v>
      </c>
      <c r="J568" s="34" t="s">
        <v>215</v>
      </c>
      <c r="K568" s="33">
        <v>46179.747916666667</v>
      </c>
      <c r="L568" s="33">
        <v>46180.282909710651</v>
      </c>
      <c r="M568" s="36">
        <f t="shared" si="40"/>
        <v>78.999999995576218</v>
      </c>
      <c r="N568" s="37">
        <f t="shared" si="41"/>
        <v>14.156499722215813</v>
      </c>
      <c r="O568" s="36">
        <f>VLOOKUP(G568,SLA標準!$A$4:$C$7,2,FALSE)</f>
        <v>60</v>
      </c>
      <c r="P568" s="37">
        <f>VLOOKUP(G568,SLA標準!$A$4:$C$7,3,FALSE)</f>
        <v>8</v>
      </c>
      <c r="Q568" s="35" t="str">
        <f t="shared" si="42"/>
        <v>逾期</v>
      </c>
      <c r="R568" s="34" t="s">
        <v>47</v>
      </c>
      <c r="S568" s="35" t="str">
        <f t="shared" si="43"/>
        <v>否</v>
      </c>
      <c r="T568" s="36" t="str">
        <f>IFERROR(VLOOKUP(A568,滿意度調查!$B$4:$D$570,3,FALSE),"")</f>
        <v/>
      </c>
      <c r="U568" s="35" t="str">
        <f t="shared" si="44"/>
        <v>2026-06</v>
      </c>
      <c r="V568" s="38">
        <f>IF(J568="已結案",0,(使用說明!$B$7-B568)*24)</f>
        <v>0</v>
      </c>
    </row>
    <row r="569" spans="1:22">
      <c r="A569" s="32" t="s">
        <v>1099</v>
      </c>
      <c r="B569" s="33">
        <v>46179.707638888889</v>
      </c>
      <c r="C569" s="34" t="s">
        <v>471</v>
      </c>
      <c r="D569" s="34" t="s">
        <v>210</v>
      </c>
      <c r="E569" s="34" t="s">
        <v>219</v>
      </c>
      <c r="F569" s="34" t="s">
        <v>371</v>
      </c>
      <c r="G569" s="34" t="s">
        <v>221</v>
      </c>
      <c r="H569" s="34" t="s">
        <v>285</v>
      </c>
      <c r="I569" s="35" t="str">
        <f>VLOOKUP(H569,人員與團隊!$A$4:$D$27,3,FALSE)</f>
        <v>線上服務</v>
      </c>
      <c r="J569" s="34" t="s">
        <v>215</v>
      </c>
      <c r="K569" s="33">
        <v>46179.730555555558</v>
      </c>
      <c r="L569" s="33">
        <v>46180.158163159722</v>
      </c>
      <c r="M569" s="36">
        <f t="shared" si="40"/>
        <v>33.000000002793968</v>
      </c>
      <c r="N569" s="37">
        <f t="shared" si="41"/>
        <v>10.812582499987911</v>
      </c>
      <c r="O569" s="36">
        <f>VLOOKUP(G569,SLA標準!$A$4:$C$7,2,FALSE)</f>
        <v>60</v>
      </c>
      <c r="P569" s="37">
        <f>VLOOKUP(G569,SLA標準!$A$4:$C$7,3,FALSE)</f>
        <v>8</v>
      </c>
      <c r="Q569" s="35" t="str">
        <f t="shared" si="42"/>
        <v>逾期</v>
      </c>
      <c r="R569" s="34" t="s">
        <v>47</v>
      </c>
      <c r="S569" s="35" t="str">
        <f t="shared" si="43"/>
        <v>是</v>
      </c>
      <c r="T569" s="36">
        <f>IFERROR(VLOOKUP(A569,滿意度調查!$B$4:$D$570,3,FALSE),"")</f>
        <v>3</v>
      </c>
      <c r="U569" s="35" t="str">
        <f t="shared" si="44"/>
        <v>2026-06</v>
      </c>
      <c r="V569" s="38">
        <f>IF(J569="已結案",0,(使用說明!$B$7-B569)*24)</f>
        <v>0</v>
      </c>
    </row>
    <row r="570" spans="1:22">
      <c r="A570" s="32" t="s">
        <v>1100</v>
      </c>
      <c r="B570" s="33">
        <v>46179.824305555558</v>
      </c>
      <c r="C570" s="34" t="s">
        <v>584</v>
      </c>
      <c r="D570" s="34" t="s">
        <v>240</v>
      </c>
      <c r="E570" s="34" t="s">
        <v>230</v>
      </c>
      <c r="F570" s="34" t="s">
        <v>231</v>
      </c>
      <c r="G570" s="34" t="s">
        <v>242</v>
      </c>
      <c r="H570" s="34" t="s">
        <v>250</v>
      </c>
      <c r="I570" s="35" t="str">
        <f>VLOOKUP(H570,人員與團隊!$A$4:$D$27,3,FALSE)</f>
        <v>南區服務</v>
      </c>
      <c r="J570" s="34" t="s">
        <v>215</v>
      </c>
      <c r="K570" s="33">
        <v>46180.060416666667</v>
      </c>
      <c r="L570" s="33">
        <v>46180.655153807871</v>
      </c>
      <c r="M570" s="36">
        <f t="shared" si="40"/>
        <v>339.99999999767169</v>
      </c>
      <c r="N570" s="37">
        <f t="shared" si="41"/>
        <v>19.940358055522665</v>
      </c>
      <c r="O570" s="36">
        <f>VLOOKUP(G570,SLA標準!$A$4:$C$7,2,FALSE)</f>
        <v>240</v>
      </c>
      <c r="P570" s="37">
        <f>VLOOKUP(G570,SLA標準!$A$4:$C$7,3,FALSE)</f>
        <v>24</v>
      </c>
      <c r="Q570" s="35" t="str">
        <f t="shared" si="42"/>
        <v>逾期</v>
      </c>
      <c r="R570" s="34" t="s">
        <v>47</v>
      </c>
      <c r="S570" s="35" t="str">
        <f t="shared" si="43"/>
        <v>是</v>
      </c>
      <c r="T570" s="36">
        <f>IFERROR(VLOOKUP(A570,滿意度調查!$B$4:$D$570,3,FALSE),"")</f>
        <v>4</v>
      </c>
      <c r="U570" s="35" t="str">
        <f t="shared" si="44"/>
        <v>2026-06</v>
      </c>
      <c r="V570" s="38">
        <f>IF(J570="已結案",0,(使用說明!$B$7-B570)*24)</f>
        <v>0</v>
      </c>
    </row>
    <row r="571" spans="1:22">
      <c r="A571" s="32" t="s">
        <v>1101</v>
      </c>
      <c r="B571" s="33">
        <v>46180.341666666667</v>
      </c>
      <c r="C571" s="34" t="s">
        <v>291</v>
      </c>
      <c r="D571" s="34" t="s">
        <v>225</v>
      </c>
      <c r="E571" s="34" t="s">
        <v>211</v>
      </c>
      <c r="F571" s="34" t="s">
        <v>226</v>
      </c>
      <c r="G571" s="34" t="s">
        <v>242</v>
      </c>
      <c r="H571" s="34" t="s">
        <v>361</v>
      </c>
      <c r="I571" s="35" t="str">
        <f>VLOOKUP(H571,人員與團隊!$A$4:$D$27,3,FALSE)</f>
        <v>南區服務</v>
      </c>
      <c r="J571" s="34" t="s">
        <v>215</v>
      </c>
      <c r="K571" s="33">
        <v>46180.385416666664</v>
      </c>
      <c r="L571" s="33">
        <v>46180.661950636575</v>
      </c>
      <c r="M571" s="36">
        <f t="shared" si="40"/>
        <v>62.999999995809048</v>
      </c>
      <c r="N571" s="37">
        <f t="shared" si="41"/>
        <v>7.6868152777897194</v>
      </c>
      <c r="O571" s="36">
        <f>VLOOKUP(G571,SLA標準!$A$4:$C$7,2,FALSE)</f>
        <v>240</v>
      </c>
      <c r="P571" s="37">
        <f>VLOOKUP(G571,SLA標準!$A$4:$C$7,3,FALSE)</f>
        <v>24</v>
      </c>
      <c r="Q571" s="35" t="str">
        <f t="shared" si="42"/>
        <v>達標</v>
      </c>
      <c r="R571" s="34" t="s">
        <v>47</v>
      </c>
      <c r="S571" s="35" t="str">
        <f t="shared" si="43"/>
        <v>是</v>
      </c>
      <c r="T571" s="36">
        <f>IFERROR(VLOOKUP(A571,滿意度調查!$B$4:$D$570,3,FALSE),"")</f>
        <v>4</v>
      </c>
      <c r="U571" s="35" t="str">
        <f t="shared" si="44"/>
        <v>2026-06</v>
      </c>
      <c r="V571" s="38">
        <f>IF(J571="已結案",0,(使用說明!$B$7-B571)*24)</f>
        <v>0</v>
      </c>
    </row>
    <row r="572" spans="1:22">
      <c r="A572" s="32" t="s">
        <v>1102</v>
      </c>
      <c r="B572" s="33">
        <v>46180.368750000001</v>
      </c>
      <c r="C572" s="34" t="s">
        <v>740</v>
      </c>
      <c r="D572" s="34" t="s">
        <v>210</v>
      </c>
      <c r="E572" s="34" t="s">
        <v>265</v>
      </c>
      <c r="F572" s="34" t="s">
        <v>304</v>
      </c>
      <c r="G572" s="34" t="s">
        <v>242</v>
      </c>
      <c r="H572" s="34" t="s">
        <v>274</v>
      </c>
      <c r="I572" s="35" t="str">
        <f>VLOOKUP(H572,人員與團隊!$A$4:$D$27,3,FALSE)</f>
        <v>南區服務</v>
      </c>
      <c r="J572" s="34" t="s">
        <v>215</v>
      </c>
      <c r="K572" s="33">
        <v>46180.447222222225</v>
      </c>
      <c r="L572" s="33">
        <v>46181.217540543985</v>
      </c>
      <c r="M572" s="36">
        <f t="shared" si="40"/>
        <v>113.00000000162981</v>
      </c>
      <c r="N572" s="37">
        <f t="shared" si="41"/>
        <v>20.370973055600189</v>
      </c>
      <c r="O572" s="36">
        <f>VLOOKUP(G572,SLA標準!$A$4:$C$7,2,FALSE)</f>
        <v>240</v>
      </c>
      <c r="P572" s="37">
        <f>VLOOKUP(G572,SLA標準!$A$4:$C$7,3,FALSE)</f>
        <v>24</v>
      </c>
      <c r="Q572" s="35" t="str">
        <f t="shared" si="42"/>
        <v>達標</v>
      </c>
      <c r="R572" s="34" t="s">
        <v>47</v>
      </c>
      <c r="S572" s="35" t="str">
        <f t="shared" si="43"/>
        <v>否</v>
      </c>
      <c r="T572" s="36" t="str">
        <f>IFERROR(VLOOKUP(A572,滿意度調查!$B$4:$D$570,3,FALSE),"")</f>
        <v/>
      </c>
      <c r="U572" s="35" t="str">
        <f t="shared" si="44"/>
        <v>2026-06</v>
      </c>
      <c r="V572" s="38">
        <f>IF(J572="已結案",0,(使用說明!$B$7-B572)*24)</f>
        <v>0</v>
      </c>
    </row>
    <row r="573" spans="1:22">
      <c r="A573" s="32" t="s">
        <v>1103</v>
      </c>
      <c r="B573" s="33">
        <v>46180.387499999997</v>
      </c>
      <c r="C573" s="34" t="s">
        <v>660</v>
      </c>
      <c r="D573" s="34" t="s">
        <v>225</v>
      </c>
      <c r="E573" s="34" t="s">
        <v>235</v>
      </c>
      <c r="F573" s="34" t="s">
        <v>298</v>
      </c>
      <c r="G573" s="34" t="s">
        <v>213</v>
      </c>
      <c r="H573" s="34" t="s">
        <v>372</v>
      </c>
      <c r="I573" s="35" t="str">
        <f>VLOOKUP(H573,人員與團隊!$A$4:$D$27,3,FALSE)</f>
        <v>南區服務</v>
      </c>
      <c r="J573" s="34" t="s">
        <v>356</v>
      </c>
      <c r="K573" s="33">
        <v>46180.497916666667</v>
      </c>
      <c r="L573" s="33"/>
      <c r="M573" s="36">
        <f t="shared" si="40"/>
        <v>159.00000000488944</v>
      </c>
      <c r="N573" s="37" t="str">
        <f t="shared" si="41"/>
        <v/>
      </c>
      <c r="O573" s="36">
        <f>VLOOKUP(G573,SLA標準!$A$4:$C$7,2,FALSE)</f>
        <v>480</v>
      </c>
      <c r="P573" s="37">
        <f>VLOOKUP(G573,SLA標準!$A$4:$C$7,3,FALSE)</f>
        <v>48</v>
      </c>
      <c r="Q573" s="35" t="str">
        <f t="shared" si="42"/>
        <v>逾期</v>
      </c>
      <c r="R573" s="34" t="s">
        <v>47</v>
      </c>
      <c r="S573" s="35" t="str">
        <f t="shared" si="43"/>
        <v>否</v>
      </c>
      <c r="T573" s="36" t="str">
        <f>IFERROR(VLOOKUP(A573,滿意度調查!$B$4:$D$570,3,FALSE),"")</f>
        <v/>
      </c>
      <c r="U573" s="35" t="str">
        <f t="shared" si="44"/>
        <v>2026-06</v>
      </c>
      <c r="V573" s="38">
        <f>IF(J573="已結案",0,(使用說明!$B$7-B573)*24)</f>
        <v>575.70000000006985</v>
      </c>
    </row>
    <row r="574" spans="1:22">
      <c r="A574" s="32" t="s">
        <v>1104</v>
      </c>
      <c r="B574" s="33">
        <v>46180.416666666664</v>
      </c>
      <c r="C574" s="34" t="s">
        <v>1105</v>
      </c>
      <c r="D574" s="34" t="s">
        <v>218</v>
      </c>
      <c r="E574" s="34" t="s">
        <v>265</v>
      </c>
      <c r="F574" s="34" t="s">
        <v>479</v>
      </c>
      <c r="G574" s="34" t="s">
        <v>221</v>
      </c>
      <c r="H574" s="34" t="s">
        <v>274</v>
      </c>
      <c r="I574" s="35" t="str">
        <f>VLOOKUP(H574,人員與團隊!$A$4:$D$27,3,FALSE)</f>
        <v>南區服務</v>
      </c>
      <c r="J574" s="34" t="s">
        <v>215</v>
      </c>
      <c r="K574" s="33">
        <v>46180.461805555555</v>
      </c>
      <c r="L574" s="33">
        <v>46181.255914374997</v>
      </c>
      <c r="M574" s="36">
        <f t="shared" si="40"/>
        <v>65.000000002328306</v>
      </c>
      <c r="N574" s="37">
        <f t="shared" si="41"/>
        <v>20.141944999981206</v>
      </c>
      <c r="O574" s="36">
        <f>VLOOKUP(G574,SLA標準!$A$4:$C$7,2,FALSE)</f>
        <v>60</v>
      </c>
      <c r="P574" s="37">
        <f>VLOOKUP(G574,SLA標準!$A$4:$C$7,3,FALSE)</f>
        <v>8</v>
      </c>
      <c r="Q574" s="35" t="str">
        <f t="shared" si="42"/>
        <v>逾期</v>
      </c>
      <c r="R574" s="34" t="s">
        <v>47</v>
      </c>
      <c r="S574" s="35" t="str">
        <f t="shared" si="43"/>
        <v>是</v>
      </c>
      <c r="T574" s="36">
        <f>IFERROR(VLOOKUP(A574,滿意度調查!$B$4:$D$570,3,FALSE),"")</f>
        <v>3</v>
      </c>
      <c r="U574" s="35" t="str">
        <f t="shared" si="44"/>
        <v>2026-06</v>
      </c>
      <c r="V574" s="38">
        <f>IF(J574="已結案",0,(使用說明!$B$7-B574)*24)</f>
        <v>0</v>
      </c>
    </row>
    <row r="575" spans="1:22">
      <c r="A575" s="32" t="s">
        <v>1106</v>
      </c>
      <c r="B575" s="33">
        <v>46180.506249999999</v>
      </c>
      <c r="C575" s="34" t="s">
        <v>1007</v>
      </c>
      <c r="D575" s="34" t="s">
        <v>218</v>
      </c>
      <c r="E575" s="34" t="s">
        <v>265</v>
      </c>
      <c r="F575" s="34" t="s">
        <v>304</v>
      </c>
      <c r="G575" s="34" t="s">
        <v>213</v>
      </c>
      <c r="H575" s="34" t="s">
        <v>250</v>
      </c>
      <c r="I575" s="35" t="str">
        <f>VLOOKUP(H575,人員與團隊!$A$4:$D$27,3,FALSE)</f>
        <v>南區服務</v>
      </c>
      <c r="J575" s="34" t="s">
        <v>215</v>
      </c>
      <c r="K575" s="33">
        <v>46180.753472222219</v>
      </c>
      <c r="L575" s="33">
        <v>46181.099258831018</v>
      </c>
      <c r="M575" s="36">
        <f t="shared" si="40"/>
        <v>355.99999999743886</v>
      </c>
      <c r="N575" s="37">
        <f t="shared" si="41"/>
        <v>14.23221194447251</v>
      </c>
      <c r="O575" s="36">
        <f>VLOOKUP(G575,SLA標準!$A$4:$C$7,2,FALSE)</f>
        <v>480</v>
      </c>
      <c r="P575" s="37">
        <f>VLOOKUP(G575,SLA標準!$A$4:$C$7,3,FALSE)</f>
        <v>48</v>
      </c>
      <c r="Q575" s="35" t="str">
        <f t="shared" si="42"/>
        <v>達標</v>
      </c>
      <c r="R575" s="34" t="s">
        <v>47</v>
      </c>
      <c r="S575" s="35" t="str">
        <f t="shared" si="43"/>
        <v>是</v>
      </c>
      <c r="T575" s="36">
        <f>IFERROR(VLOOKUP(A575,滿意度調查!$B$4:$D$570,3,FALSE),"")</f>
        <v>5</v>
      </c>
      <c r="U575" s="35" t="str">
        <f t="shared" si="44"/>
        <v>2026-06</v>
      </c>
      <c r="V575" s="38">
        <f>IF(J575="已結案",0,(使用說明!$B$7-B575)*24)</f>
        <v>0</v>
      </c>
    </row>
    <row r="576" spans="1:22">
      <c r="A576" s="32" t="s">
        <v>1107</v>
      </c>
      <c r="B576" s="33">
        <v>46180.54791666667</v>
      </c>
      <c r="C576" s="34" t="s">
        <v>951</v>
      </c>
      <c r="D576" s="34" t="s">
        <v>225</v>
      </c>
      <c r="E576" s="34" t="s">
        <v>211</v>
      </c>
      <c r="F576" s="34" t="s">
        <v>331</v>
      </c>
      <c r="G576" s="34" t="s">
        <v>242</v>
      </c>
      <c r="H576" s="34" t="s">
        <v>214</v>
      </c>
      <c r="I576" s="35" t="str">
        <f>VLOOKUP(H576,人員與團隊!$A$4:$D$27,3,FALSE)</f>
        <v>北區服務</v>
      </c>
      <c r="J576" s="34" t="s">
        <v>215</v>
      </c>
      <c r="K576" s="33">
        <v>46180.726388888892</v>
      </c>
      <c r="L576" s="33">
        <v>46180.947256006948</v>
      </c>
      <c r="M576" s="36">
        <f t="shared" si="40"/>
        <v>256.99999999953434</v>
      </c>
      <c r="N576" s="37">
        <f t="shared" si="41"/>
        <v>9.5841441666707397</v>
      </c>
      <c r="O576" s="36">
        <f>VLOOKUP(G576,SLA標準!$A$4:$C$7,2,FALSE)</f>
        <v>240</v>
      </c>
      <c r="P576" s="37">
        <f>VLOOKUP(G576,SLA標準!$A$4:$C$7,3,FALSE)</f>
        <v>24</v>
      </c>
      <c r="Q576" s="35" t="str">
        <f t="shared" si="42"/>
        <v>逾期</v>
      </c>
      <c r="R576" s="34" t="s">
        <v>47</v>
      </c>
      <c r="S576" s="35" t="str">
        <f t="shared" si="43"/>
        <v>是</v>
      </c>
      <c r="T576" s="36">
        <f>IFERROR(VLOOKUP(A576,滿意度調查!$B$4:$D$570,3,FALSE),"")</f>
        <v>4</v>
      </c>
      <c r="U576" s="35" t="str">
        <f t="shared" si="44"/>
        <v>2026-06</v>
      </c>
      <c r="V576" s="38">
        <f>IF(J576="已結案",0,(使用說明!$B$7-B576)*24)</f>
        <v>0</v>
      </c>
    </row>
    <row r="577" spans="1:22">
      <c r="A577" s="32" t="s">
        <v>1108</v>
      </c>
      <c r="B577" s="33">
        <v>46180.604861111111</v>
      </c>
      <c r="C577" s="34" t="s">
        <v>269</v>
      </c>
      <c r="D577" s="34" t="s">
        <v>218</v>
      </c>
      <c r="E577" s="34" t="s">
        <v>211</v>
      </c>
      <c r="F577" s="34" t="s">
        <v>212</v>
      </c>
      <c r="G577" s="34" t="s">
        <v>242</v>
      </c>
      <c r="H577" s="34" t="s">
        <v>315</v>
      </c>
      <c r="I577" s="35" t="str">
        <f>VLOOKUP(H577,人員與團隊!$A$4:$D$27,3,FALSE)</f>
        <v>北區服務</v>
      </c>
      <c r="J577" s="34" t="s">
        <v>215</v>
      </c>
      <c r="K577" s="33">
        <v>46180.806944444441</v>
      </c>
      <c r="L577" s="33">
        <v>46180.921868067133</v>
      </c>
      <c r="M577" s="36">
        <f t="shared" si="40"/>
        <v>290.99999999511056</v>
      </c>
      <c r="N577" s="37">
        <f t="shared" si="41"/>
        <v>7.6081669445266016</v>
      </c>
      <c r="O577" s="36">
        <f>VLOOKUP(G577,SLA標準!$A$4:$C$7,2,FALSE)</f>
        <v>240</v>
      </c>
      <c r="P577" s="37">
        <f>VLOOKUP(G577,SLA標準!$A$4:$C$7,3,FALSE)</f>
        <v>24</v>
      </c>
      <c r="Q577" s="35" t="str">
        <f t="shared" si="42"/>
        <v>逾期</v>
      </c>
      <c r="R577" s="34" t="s">
        <v>47</v>
      </c>
      <c r="S577" s="35" t="str">
        <f t="shared" si="43"/>
        <v>是</v>
      </c>
      <c r="T577" s="36">
        <f>IFERROR(VLOOKUP(A577,滿意度調查!$B$4:$D$570,3,FALSE),"")</f>
        <v>4</v>
      </c>
      <c r="U577" s="35" t="str">
        <f t="shared" si="44"/>
        <v>2026-06</v>
      </c>
      <c r="V577" s="38">
        <f>IF(J577="已結案",0,(使用說明!$B$7-B577)*24)</f>
        <v>0</v>
      </c>
    </row>
    <row r="578" spans="1:22">
      <c r="A578" s="32" t="s">
        <v>1109</v>
      </c>
      <c r="B578" s="33">
        <v>46180.640277777777</v>
      </c>
      <c r="C578" s="34" t="s">
        <v>427</v>
      </c>
      <c r="D578" s="34" t="s">
        <v>218</v>
      </c>
      <c r="E578" s="34" t="s">
        <v>219</v>
      </c>
      <c r="F578" s="34" t="s">
        <v>257</v>
      </c>
      <c r="G578" s="34" t="s">
        <v>242</v>
      </c>
      <c r="H578" s="34" t="s">
        <v>267</v>
      </c>
      <c r="I578" s="35" t="str">
        <f>VLOOKUP(H578,人員與團隊!$A$4:$D$27,3,FALSE)</f>
        <v>南區服務</v>
      </c>
      <c r="J578" s="34" t="s">
        <v>215</v>
      </c>
      <c r="K578" s="33">
        <v>46180.829861111109</v>
      </c>
      <c r="L578" s="33">
        <v>46181.261380902775</v>
      </c>
      <c r="M578" s="36">
        <f t="shared" si="40"/>
        <v>272.99999999930151</v>
      </c>
      <c r="N578" s="37">
        <f t="shared" si="41"/>
        <v>14.906474999967031</v>
      </c>
      <c r="O578" s="36">
        <f>VLOOKUP(G578,SLA標準!$A$4:$C$7,2,FALSE)</f>
        <v>240</v>
      </c>
      <c r="P578" s="37">
        <f>VLOOKUP(G578,SLA標準!$A$4:$C$7,3,FALSE)</f>
        <v>24</v>
      </c>
      <c r="Q578" s="35" t="str">
        <f t="shared" si="42"/>
        <v>逾期</v>
      </c>
      <c r="R578" s="34" t="s">
        <v>47</v>
      </c>
      <c r="S578" s="35" t="str">
        <f t="shared" si="43"/>
        <v>否</v>
      </c>
      <c r="T578" s="36" t="str">
        <f>IFERROR(VLOOKUP(A578,滿意度調查!$B$4:$D$570,3,FALSE),"")</f>
        <v/>
      </c>
      <c r="U578" s="35" t="str">
        <f t="shared" si="44"/>
        <v>2026-06</v>
      </c>
      <c r="V578" s="38">
        <f>IF(J578="已結案",0,(使用說明!$B$7-B578)*24)</f>
        <v>0</v>
      </c>
    </row>
    <row r="579" spans="1:22">
      <c r="A579" s="32" t="s">
        <v>1110</v>
      </c>
      <c r="B579" s="33">
        <v>46180.756249999999</v>
      </c>
      <c r="C579" s="34" t="s">
        <v>396</v>
      </c>
      <c r="D579" s="34" t="s">
        <v>210</v>
      </c>
      <c r="E579" s="34" t="s">
        <v>219</v>
      </c>
      <c r="F579" s="34" t="s">
        <v>371</v>
      </c>
      <c r="G579" s="34" t="s">
        <v>242</v>
      </c>
      <c r="H579" s="34" t="s">
        <v>310</v>
      </c>
      <c r="I579" s="35" t="str">
        <f>VLOOKUP(H579,人員與團隊!$A$4:$D$27,3,FALSE)</f>
        <v>線上服務</v>
      </c>
      <c r="J579" s="34" t="s">
        <v>356</v>
      </c>
      <c r="K579" s="33">
        <v>46180.786805555559</v>
      </c>
      <c r="L579" s="33"/>
      <c r="M579" s="36">
        <f t="shared" si="40"/>
        <v>44.00000000721775</v>
      </c>
      <c r="N579" s="37" t="str">
        <f t="shared" si="41"/>
        <v/>
      </c>
      <c r="O579" s="36">
        <f>VLOOKUP(G579,SLA標準!$A$4:$C$7,2,FALSE)</f>
        <v>240</v>
      </c>
      <c r="P579" s="37">
        <f>VLOOKUP(G579,SLA標準!$A$4:$C$7,3,FALSE)</f>
        <v>24</v>
      </c>
      <c r="Q579" s="35" t="str">
        <f t="shared" si="42"/>
        <v>逾期</v>
      </c>
      <c r="R579" s="34" t="s">
        <v>47</v>
      </c>
      <c r="S579" s="35" t="str">
        <f t="shared" si="43"/>
        <v>否</v>
      </c>
      <c r="T579" s="36" t="str">
        <f>IFERROR(VLOOKUP(A579,滿意度調查!$B$4:$D$570,3,FALSE),"")</f>
        <v/>
      </c>
      <c r="U579" s="35" t="str">
        <f t="shared" si="44"/>
        <v>2026-06</v>
      </c>
      <c r="V579" s="38">
        <f>IF(J579="已結案",0,(使用說明!$B$7-B579)*24)</f>
        <v>566.85000000003492</v>
      </c>
    </row>
    <row r="580" spans="1:22">
      <c r="A580" s="32" t="s">
        <v>1111</v>
      </c>
      <c r="B580" s="33">
        <v>46180.789583333331</v>
      </c>
      <c r="C580" s="34" t="s">
        <v>281</v>
      </c>
      <c r="D580" s="34" t="s">
        <v>225</v>
      </c>
      <c r="E580" s="34" t="s">
        <v>230</v>
      </c>
      <c r="F580" s="34" t="s">
        <v>272</v>
      </c>
      <c r="G580" s="34" t="s">
        <v>242</v>
      </c>
      <c r="H580" s="34" t="s">
        <v>340</v>
      </c>
      <c r="I580" s="35" t="str">
        <f>VLOOKUP(H580,人員與團隊!$A$4:$D$27,3,FALSE)</f>
        <v>北區服務</v>
      </c>
      <c r="J580" s="34" t="s">
        <v>215</v>
      </c>
      <c r="K580" s="33">
        <v>46180.902777777781</v>
      </c>
      <c r="L580" s="33">
        <v>46181.921627650459</v>
      </c>
      <c r="M580" s="36">
        <f t="shared" ref="M580:M643" si="45">IF(K580="","",(K580-B580)*1440)</f>
        <v>163.00000000745058</v>
      </c>
      <c r="N580" s="37">
        <f t="shared" ref="N580:N643" si="46">IF(L580="","",(L580-B580)*24)</f>
        <v>27.169063611072488</v>
      </c>
      <c r="O580" s="36">
        <f>VLOOKUP(G580,SLA標準!$A$4:$C$7,2,FALSE)</f>
        <v>240</v>
      </c>
      <c r="P580" s="37">
        <f>VLOOKUP(G580,SLA標準!$A$4:$C$7,3,FALSE)</f>
        <v>24</v>
      </c>
      <c r="Q580" s="35" t="str">
        <f t="shared" ref="Q580:Q643" si="47">IF(J580="已結案",IF(AND(M580&lt;=O580,N580&lt;=P580),"達標","逾期"),IF(OR(M580&gt;O580,V580&gt;P580),"逾期","進行中"))</f>
        <v>逾期</v>
      </c>
      <c r="R580" s="34" t="s">
        <v>47</v>
      </c>
      <c r="S580" s="35" t="str">
        <f t="shared" ref="S580:S643" si="48">IF(T580="","否","是")</f>
        <v>是</v>
      </c>
      <c r="T580" s="36">
        <f>IFERROR(VLOOKUP(A580,滿意度調查!$B$4:$D$570,3,FALSE),"")</f>
        <v>4</v>
      </c>
      <c r="U580" s="35" t="str">
        <f t="shared" ref="U580:U643" si="49">TEXT(B580,"yyyy-mm")</f>
        <v>2026-06</v>
      </c>
      <c r="V580" s="38">
        <f>IF(J580="已結案",0,(使用說明!$B$7-B580)*24)</f>
        <v>0</v>
      </c>
    </row>
    <row r="581" spans="1:22">
      <c r="A581" s="32" t="s">
        <v>1112</v>
      </c>
      <c r="B581" s="33">
        <v>46180.839583333334</v>
      </c>
      <c r="C581" s="34" t="s">
        <v>1113</v>
      </c>
      <c r="D581" s="34" t="s">
        <v>218</v>
      </c>
      <c r="E581" s="34" t="s">
        <v>235</v>
      </c>
      <c r="F581" s="34" t="s">
        <v>253</v>
      </c>
      <c r="G581" s="34" t="s">
        <v>221</v>
      </c>
      <c r="H581" s="34" t="s">
        <v>243</v>
      </c>
      <c r="I581" s="35" t="str">
        <f>VLOOKUP(H581,人員與團隊!$A$4:$D$27,3,FALSE)</f>
        <v>南區服務</v>
      </c>
      <c r="J581" s="34" t="s">
        <v>215</v>
      </c>
      <c r="K581" s="33">
        <v>46180.895833333336</v>
      </c>
      <c r="L581" s="33">
        <v>46181.248665196763</v>
      </c>
      <c r="M581" s="36">
        <f t="shared" si="45"/>
        <v>81.000000002095476</v>
      </c>
      <c r="N581" s="37">
        <f t="shared" si="46"/>
        <v>9.8179647222859785</v>
      </c>
      <c r="O581" s="36">
        <f>VLOOKUP(G581,SLA標準!$A$4:$C$7,2,FALSE)</f>
        <v>60</v>
      </c>
      <c r="P581" s="37">
        <f>VLOOKUP(G581,SLA標準!$A$4:$C$7,3,FALSE)</f>
        <v>8</v>
      </c>
      <c r="Q581" s="35" t="str">
        <f t="shared" si="47"/>
        <v>逾期</v>
      </c>
      <c r="R581" s="34" t="s">
        <v>47</v>
      </c>
      <c r="S581" s="35" t="str">
        <f t="shared" si="48"/>
        <v>是</v>
      </c>
      <c r="T581" s="36">
        <f>IFERROR(VLOOKUP(A581,滿意度調查!$B$4:$D$570,3,FALSE),"")</f>
        <v>3</v>
      </c>
      <c r="U581" s="35" t="str">
        <f t="shared" si="49"/>
        <v>2026-06</v>
      </c>
      <c r="V581" s="38">
        <f>IF(J581="已結案",0,(使用說明!$B$7-B581)*24)</f>
        <v>0</v>
      </c>
    </row>
    <row r="582" spans="1:22">
      <c r="A582" s="32" t="s">
        <v>1114</v>
      </c>
      <c r="B582" s="33">
        <v>46180.84375</v>
      </c>
      <c r="C582" s="34" t="s">
        <v>993</v>
      </c>
      <c r="D582" s="34" t="s">
        <v>225</v>
      </c>
      <c r="E582" s="34" t="s">
        <v>211</v>
      </c>
      <c r="F582" s="34" t="s">
        <v>212</v>
      </c>
      <c r="G582" s="34" t="s">
        <v>213</v>
      </c>
      <c r="H582" s="34" t="s">
        <v>384</v>
      </c>
      <c r="I582" s="35" t="str">
        <f>VLOOKUP(H582,人員與團隊!$A$4:$D$27,3,FALSE)</f>
        <v>線上服務</v>
      </c>
      <c r="J582" s="34" t="s">
        <v>215</v>
      </c>
      <c r="K582" s="33">
        <v>46180.929166666669</v>
      </c>
      <c r="L582" s="33">
        <v>46181.099719537036</v>
      </c>
      <c r="M582" s="36">
        <f t="shared" si="45"/>
        <v>123.00000000279397</v>
      </c>
      <c r="N582" s="37">
        <f t="shared" si="46"/>
        <v>6.1432688888744451</v>
      </c>
      <c r="O582" s="36">
        <f>VLOOKUP(G582,SLA標準!$A$4:$C$7,2,FALSE)</f>
        <v>480</v>
      </c>
      <c r="P582" s="37">
        <f>VLOOKUP(G582,SLA標準!$A$4:$C$7,3,FALSE)</f>
        <v>48</v>
      </c>
      <c r="Q582" s="35" t="str">
        <f t="shared" si="47"/>
        <v>達標</v>
      </c>
      <c r="R582" s="34" t="s">
        <v>47</v>
      </c>
      <c r="S582" s="35" t="str">
        <f t="shared" si="48"/>
        <v>否</v>
      </c>
      <c r="T582" s="36" t="str">
        <f>IFERROR(VLOOKUP(A582,滿意度調查!$B$4:$D$570,3,FALSE),"")</f>
        <v/>
      </c>
      <c r="U582" s="35" t="str">
        <f t="shared" si="49"/>
        <v>2026-06</v>
      </c>
      <c r="V582" s="38">
        <f>IF(J582="已結案",0,(使用說明!$B$7-B582)*24)</f>
        <v>0</v>
      </c>
    </row>
    <row r="583" spans="1:22">
      <c r="A583" s="32" t="s">
        <v>1115</v>
      </c>
      <c r="B583" s="33">
        <v>46181.34097222222</v>
      </c>
      <c r="C583" s="34" t="s">
        <v>400</v>
      </c>
      <c r="D583" s="34" t="s">
        <v>225</v>
      </c>
      <c r="E583" s="34" t="s">
        <v>245</v>
      </c>
      <c r="F583" s="34" t="s">
        <v>358</v>
      </c>
      <c r="G583" s="34" t="s">
        <v>242</v>
      </c>
      <c r="H583" s="34" t="s">
        <v>361</v>
      </c>
      <c r="I583" s="35" t="str">
        <f>VLOOKUP(H583,人員與團隊!$A$4:$D$27,3,FALSE)</f>
        <v>南區服務</v>
      </c>
      <c r="J583" s="34" t="s">
        <v>215</v>
      </c>
      <c r="K583" s="33">
        <v>46181.490972222222</v>
      </c>
      <c r="L583" s="33">
        <v>46183.183354513887</v>
      </c>
      <c r="M583" s="36">
        <f t="shared" si="45"/>
        <v>216.00000000209548</v>
      </c>
      <c r="N583" s="37">
        <f t="shared" si="46"/>
        <v>44.217174999997951</v>
      </c>
      <c r="O583" s="36">
        <f>VLOOKUP(G583,SLA標準!$A$4:$C$7,2,FALSE)</f>
        <v>240</v>
      </c>
      <c r="P583" s="37">
        <f>VLOOKUP(G583,SLA標準!$A$4:$C$7,3,FALSE)</f>
        <v>24</v>
      </c>
      <c r="Q583" s="35" t="str">
        <f t="shared" si="47"/>
        <v>逾期</v>
      </c>
      <c r="R583" s="34" t="s">
        <v>47</v>
      </c>
      <c r="S583" s="35" t="str">
        <f t="shared" si="48"/>
        <v>是</v>
      </c>
      <c r="T583" s="36">
        <f>IFERROR(VLOOKUP(A583,滿意度調查!$B$4:$D$570,3,FALSE),"")</f>
        <v>3</v>
      </c>
      <c r="U583" s="35" t="str">
        <f t="shared" si="49"/>
        <v>2026-06</v>
      </c>
      <c r="V583" s="38">
        <f>IF(J583="已結案",0,(使用說明!$B$7-B583)*24)</f>
        <v>0</v>
      </c>
    </row>
    <row r="584" spans="1:22">
      <c r="A584" s="32" t="s">
        <v>1116</v>
      </c>
      <c r="B584" s="33">
        <v>46181.369444444441</v>
      </c>
      <c r="C584" s="34" t="s">
        <v>593</v>
      </c>
      <c r="D584" s="34" t="s">
        <v>240</v>
      </c>
      <c r="E584" s="34" t="s">
        <v>211</v>
      </c>
      <c r="F584" s="34" t="s">
        <v>226</v>
      </c>
      <c r="G584" s="34" t="s">
        <v>221</v>
      </c>
      <c r="H584" s="34" t="s">
        <v>237</v>
      </c>
      <c r="I584" s="35" t="str">
        <f>VLOOKUP(H584,人員與團隊!$A$4:$D$27,3,FALSE)</f>
        <v>北區服務</v>
      </c>
      <c r="J584" s="34" t="s">
        <v>215</v>
      </c>
      <c r="K584" s="33">
        <v>46181.409722222219</v>
      </c>
      <c r="L584" s="33">
        <v>46181.590546539352</v>
      </c>
      <c r="M584" s="36">
        <f t="shared" si="45"/>
        <v>58.000000000465661</v>
      </c>
      <c r="N584" s="37">
        <f t="shared" si="46"/>
        <v>5.3064502778579481</v>
      </c>
      <c r="O584" s="36">
        <f>VLOOKUP(G584,SLA標準!$A$4:$C$7,2,FALSE)</f>
        <v>60</v>
      </c>
      <c r="P584" s="37">
        <f>VLOOKUP(G584,SLA標準!$A$4:$C$7,3,FALSE)</f>
        <v>8</v>
      </c>
      <c r="Q584" s="35" t="str">
        <f t="shared" si="47"/>
        <v>達標</v>
      </c>
      <c r="R584" s="34" t="s">
        <v>47</v>
      </c>
      <c r="S584" s="35" t="str">
        <f t="shared" si="48"/>
        <v>否</v>
      </c>
      <c r="T584" s="36" t="str">
        <f>IFERROR(VLOOKUP(A584,滿意度調查!$B$4:$D$570,3,FALSE),"")</f>
        <v/>
      </c>
      <c r="U584" s="35" t="str">
        <f t="shared" si="49"/>
        <v>2026-06</v>
      </c>
      <c r="V584" s="38">
        <f>IF(J584="已結案",0,(使用說明!$B$7-B584)*24)</f>
        <v>0</v>
      </c>
    </row>
    <row r="585" spans="1:22">
      <c r="A585" s="32" t="s">
        <v>1117</v>
      </c>
      <c r="B585" s="33">
        <v>46181.463194444441</v>
      </c>
      <c r="C585" s="34" t="s">
        <v>515</v>
      </c>
      <c r="D585" s="34" t="s">
        <v>210</v>
      </c>
      <c r="E585" s="34" t="s">
        <v>235</v>
      </c>
      <c r="F585" s="34" t="s">
        <v>253</v>
      </c>
      <c r="G585" s="34" t="s">
        <v>221</v>
      </c>
      <c r="H585" s="34" t="s">
        <v>279</v>
      </c>
      <c r="I585" s="35" t="str">
        <f>VLOOKUP(H585,人員與團隊!$A$4:$D$27,3,FALSE)</f>
        <v>南區服務</v>
      </c>
      <c r="J585" s="34" t="s">
        <v>215</v>
      </c>
      <c r="K585" s="33">
        <v>46181.47152777778</v>
      </c>
      <c r="L585" s="33">
        <v>46182.011197604166</v>
      </c>
      <c r="M585" s="36">
        <f t="shared" si="45"/>
        <v>12.000000007683411</v>
      </c>
      <c r="N585" s="37">
        <f t="shared" si="46"/>
        <v>13.152075833408162</v>
      </c>
      <c r="O585" s="36">
        <f>VLOOKUP(G585,SLA標準!$A$4:$C$7,2,FALSE)</f>
        <v>60</v>
      </c>
      <c r="P585" s="37">
        <f>VLOOKUP(G585,SLA標準!$A$4:$C$7,3,FALSE)</f>
        <v>8</v>
      </c>
      <c r="Q585" s="35" t="str">
        <f t="shared" si="47"/>
        <v>逾期</v>
      </c>
      <c r="R585" s="34" t="s">
        <v>41</v>
      </c>
      <c r="S585" s="35" t="str">
        <f t="shared" si="48"/>
        <v>是</v>
      </c>
      <c r="T585" s="36">
        <f>IFERROR(VLOOKUP(A585,滿意度調查!$B$4:$D$570,3,FALSE),"")</f>
        <v>3</v>
      </c>
      <c r="U585" s="35" t="str">
        <f t="shared" si="49"/>
        <v>2026-06</v>
      </c>
      <c r="V585" s="38">
        <f>IF(J585="已結案",0,(使用說明!$B$7-B585)*24)</f>
        <v>0</v>
      </c>
    </row>
    <row r="586" spans="1:22">
      <c r="A586" s="32" t="s">
        <v>1118</v>
      </c>
      <c r="B586" s="33">
        <v>46181.463888888888</v>
      </c>
      <c r="C586" s="34" t="s">
        <v>720</v>
      </c>
      <c r="D586" s="34" t="s">
        <v>210</v>
      </c>
      <c r="E586" s="34" t="s">
        <v>245</v>
      </c>
      <c r="F586" s="34" t="s">
        <v>246</v>
      </c>
      <c r="G586" s="34" t="s">
        <v>242</v>
      </c>
      <c r="H586" s="34" t="s">
        <v>408</v>
      </c>
      <c r="I586" s="35" t="str">
        <f>VLOOKUP(H586,人員與團隊!$A$4:$D$27,3,FALSE)</f>
        <v>線上服務</v>
      </c>
      <c r="J586" s="34" t="s">
        <v>215</v>
      </c>
      <c r="K586" s="33">
        <v>46181.570138888892</v>
      </c>
      <c r="L586" s="33">
        <v>46182.479891446761</v>
      </c>
      <c r="M586" s="36">
        <f t="shared" si="45"/>
        <v>153.00000000628643</v>
      </c>
      <c r="N586" s="37">
        <f t="shared" si="46"/>
        <v>24.384061388962436</v>
      </c>
      <c r="O586" s="36">
        <f>VLOOKUP(G586,SLA標準!$A$4:$C$7,2,FALSE)</f>
        <v>240</v>
      </c>
      <c r="P586" s="37">
        <f>VLOOKUP(G586,SLA標準!$A$4:$C$7,3,FALSE)</f>
        <v>24</v>
      </c>
      <c r="Q586" s="35" t="str">
        <f t="shared" si="47"/>
        <v>逾期</v>
      </c>
      <c r="R586" s="34" t="s">
        <v>41</v>
      </c>
      <c r="S586" s="35" t="str">
        <f t="shared" si="48"/>
        <v>是</v>
      </c>
      <c r="T586" s="36">
        <f>IFERROR(VLOOKUP(A586,滿意度調查!$B$4:$D$570,3,FALSE),"")</f>
        <v>3</v>
      </c>
      <c r="U586" s="35" t="str">
        <f t="shared" si="49"/>
        <v>2026-06</v>
      </c>
      <c r="V586" s="38">
        <f>IF(J586="已結案",0,(使用說明!$B$7-B586)*24)</f>
        <v>0</v>
      </c>
    </row>
    <row r="587" spans="1:22">
      <c r="A587" s="32" t="s">
        <v>1119</v>
      </c>
      <c r="B587" s="33">
        <v>46181.484722222223</v>
      </c>
      <c r="C587" s="34" t="s">
        <v>872</v>
      </c>
      <c r="D587" s="34" t="s">
        <v>240</v>
      </c>
      <c r="E587" s="34" t="s">
        <v>211</v>
      </c>
      <c r="F587" s="34" t="s">
        <v>334</v>
      </c>
      <c r="G587" s="34" t="s">
        <v>213</v>
      </c>
      <c r="H587" s="34" t="s">
        <v>361</v>
      </c>
      <c r="I587" s="35" t="str">
        <f>VLOOKUP(H587,人員與團隊!$A$4:$D$27,3,FALSE)</f>
        <v>南區服務</v>
      </c>
      <c r="J587" s="34" t="s">
        <v>215</v>
      </c>
      <c r="K587" s="33">
        <v>46181.694444444445</v>
      </c>
      <c r="L587" s="33">
        <v>46181.766649756944</v>
      </c>
      <c r="M587" s="36">
        <f t="shared" si="45"/>
        <v>301.99999999953434</v>
      </c>
      <c r="N587" s="37">
        <f t="shared" si="46"/>
        <v>6.7662608333048411</v>
      </c>
      <c r="O587" s="36">
        <f>VLOOKUP(G587,SLA標準!$A$4:$C$7,2,FALSE)</f>
        <v>480</v>
      </c>
      <c r="P587" s="37">
        <f>VLOOKUP(G587,SLA標準!$A$4:$C$7,3,FALSE)</f>
        <v>48</v>
      </c>
      <c r="Q587" s="35" t="str">
        <f t="shared" si="47"/>
        <v>達標</v>
      </c>
      <c r="R587" s="34" t="s">
        <v>47</v>
      </c>
      <c r="S587" s="35" t="str">
        <f t="shared" si="48"/>
        <v>是</v>
      </c>
      <c r="T587" s="36">
        <f>IFERROR(VLOOKUP(A587,滿意度調查!$B$4:$D$570,3,FALSE),"")</f>
        <v>5</v>
      </c>
      <c r="U587" s="35" t="str">
        <f t="shared" si="49"/>
        <v>2026-06</v>
      </c>
      <c r="V587" s="38">
        <f>IF(J587="已結案",0,(使用說明!$B$7-B587)*24)</f>
        <v>0</v>
      </c>
    </row>
    <row r="588" spans="1:22">
      <c r="A588" s="32" t="s">
        <v>1120</v>
      </c>
      <c r="B588" s="33">
        <v>46181.487500000003</v>
      </c>
      <c r="C588" s="34" t="s">
        <v>500</v>
      </c>
      <c r="D588" s="34" t="s">
        <v>240</v>
      </c>
      <c r="E588" s="34" t="s">
        <v>211</v>
      </c>
      <c r="F588" s="34" t="s">
        <v>212</v>
      </c>
      <c r="G588" s="34" t="s">
        <v>242</v>
      </c>
      <c r="H588" s="34" t="s">
        <v>285</v>
      </c>
      <c r="I588" s="35" t="str">
        <f>VLOOKUP(H588,人員與團隊!$A$4:$D$27,3,FALSE)</f>
        <v>線上服務</v>
      </c>
      <c r="J588" s="34" t="s">
        <v>215</v>
      </c>
      <c r="K588" s="33">
        <v>46181.623611111114</v>
      </c>
      <c r="L588" s="33">
        <v>46181.64372015046</v>
      </c>
      <c r="M588" s="36">
        <f t="shared" si="45"/>
        <v>195.99999999976717</v>
      </c>
      <c r="N588" s="37">
        <f t="shared" si="46"/>
        <v>3.7492836109595373</v>
      </c>
      <c r="O588" s="36">
        <f>VLOOKUP(G588,SLA標準!$A$4:$C$7,2,FALSE)</f>
        <v>240</v>
      </c>
      <c r="P588" s="37">
        <f>VLOOKUP(G588,SLA標準!$A$4:$C$7,3,FALSE)</f>
        <v>24</v>
      </c>
      <c r="Q588" s="35" t="str">
        <f t="shared" si="47"/>
        <v>達標</v>
      </c>
      <c r="R588" s="34" t="s">
        <v>47</v>
      </c>
      <c r="S588" s="35" t="str">
        <f t="shared" si="48"/>
        <v>否</v>
      </c>
      <c r="T588" s="36" t="str">
        <f>IFERROR(VLOOKUP(A588,滿意度調查!$B$4:$D$570,3,FALSE),"")</f>
        <v/>
      </c>
      <c r="U588" s="35" t="str">
        <f t="shared" si="49"/>
        <v>2026-06</v>
      </c>
      <c r="V588" s="38">
        <f>IF(J588="已結案",0,(使用說明!$B$7-B588)*24)</f>
        <v>0</v>
      </c>
    </row>
    <row r="589" spans="1:22">
      <c r="A589" s="32" t="s">
        <v>1121</v>
      </c>
      <c r="B589" s="33">
        <v>46181.488888888889</v>
      </c>
      <c r="C589" s="34" t="s">
        <v>1122</v>
      </c>
      <c r="D589" s="34" t="s">
        <v>225</v>
      </c>
      <c r="E589" s="34" t="s">
        <v>245</v>
      </c>
      <c r="F589" s="34" t="s">
        <v>246</v>
      </c>
      <c r="G589" s="34" t="s">
        <v>221</v>
      </c>
      <c r="H589" s="34" t="s">
        <v>214</v>
      </c>
      <c r="I589" s="35" t="str">
        <f>VLOOKUP(H589,人員與團隊!$A$4:$D$27,3,FALSE)</f>
        <v>北區服務</v>
      </c>
      <c r="J589" s="34" t="s">
        <v>215</v>
      </c>
      <c r="K589" s="33">
        <v>46181.53125</v>
      </c>
      <c r="L589" s="33">
        <v>46183.571603182871</v>
      </c>
      <c r="M589" s="36">
        <f t="shared" si="45"/>
        <v>60.999999999767169</v>
      </c>
      <c r="N589" s="37">
        <f t="shared" si="46"/>
        <v>49.985143055557273</v>
      </c>
      <c r="O589" s="36">
        <f>VLOOKUP(G589,SLA標準!$A$4:$C$7,2,FALSE)</f>
        <v>60</v>
      </c>
      <c r="P589" s="37">
        <f>VLOOKUP(G589,SLA標準!$A$4:$C$7,3,FALSE)</f>
        <v>8</v>
      </c>
      <c r="Q589" s="35" t="str">
        <f t="shared" si="47"/>
        <v>逾期</v>
      </c>
      <c r="R589" s="34" t="s">
        <v>47</v>
      </c>
      <c r="S589" s="35" t="str">
        <f t="shared" si="48"/>
        <v>是</v>
      </c>
      <c r="T589" s="36">
        <f>IFERROR(VLOOKUP(A589,滿意度調查!$B$4:$D$570,3,FALSE),"")</f>
        <v>2</v>
      </c>
      <c r="U589" s="35" t="str">
        <f t="shared" si="49"/>
        <v>2026-06</v>
      </c>
      <c r="V589" s="38">
        <f>IF(J589="已結案",0,(使用說明!$B$7-B589)*24)</f>
        <v>0</v>
      </c>
    </row>
    <row r="590" spans="1:22">
      <c r="A590" s="32" t="s">
        <v>1123</v>
      </c>
      <c r="B590" s="33">
        <v>46181.502083333333</v>
      </c>
      <c r="C590" s="34" t="s">
        <v>903</v>
      </c>
      <c r="D590" s="34" t="s">
        <v>218</v>
      </c>
      <c r="E590" s="34" t="s">
        <v>211</v>
      </c>
      <c r="F590" s="34" t="s">
        <v>226</v>
      </c>
      <c r="G590" s="34" t="s">
        <v>242</v>
      </c>
      <c r="H590" s="34" t="s">
        <v>361</v>
      </c>
      <c r="I590" s="35" t="str">
        <f>VLOOKUP(H590,人員與團隊!$A$4:$D$27,3,FALSE)</f>
        <v>南區服務</v>
      </c>
      <c r="J590" s="34" t="s">
        <v>215</v>
      </c>
      <c r="K590" s="33">
        <v>46181.696527777778</v>
      </c>
      <c r="L590" s="33">
        <v>46181.716390567133</v>
      </c>
      <c r="M590" s="36">
        <f t="shared" si="45"/>
        <v>280.00000000116415</v>
      </c>
      <c r="N590" s="37">
        <f t="shared" si="46"/>
        <v>5.1433736112085171</v>
      </c>
      <c r="O590" s="36">
        <f>VLOOKUP(G590,SLA標準!$A$4:$C$7,2,FALSE)</f>
        <v>240</v>
      </c>
      <c r="P590" s="37">
        <f>VLOOKUP(G590,SLA標準!$A$4:$C$7,3,FALSE)</f>
        <v>24</v>
      </c>
      <c r="Q590" s="35" t="str">
        <f t="shared" si="47"/>
        <v>逾期</v>
      </c>
      <c r="R590" s="34" t="s">
        <v>47</v>
      </c>
      <c r="S590" s="35" t="str">
        <f t="shared" si="48"/>
        <v>否</v>
      </c>
      <c r="T590" s="36" t="str">
        <f>IFERROR(VLOOKUP(A590,滿意度調查!$B$4:$D$570,3,FALSE),"")</f>
        <v/>
      </c>
      <c r="U590" s="35" t="str">
        <f t="shared" si="49"/>
        <v>2026-06</v>
      </c>
      <c r="V590" s="38">
        <f>IF(J590="已結案",0,(使用說明!$B$7-B590)*24)</f>
        <v>0</v>
      </c>
    </row>
    <row r="591" spans="1:22">
      <c r="A591" s="32" t="s">
        <v>1124</v>
      </c>
      <c r="B591" s="33">
        <v>46181.506944444445</v>
      </c>
      <c r="C591" s="34" t="s">
        <v>239</v>
      </c>
      <c r="D591" s="34" t="s">
        <v>218</v>
      </c>
      <c r="E591" s="34" t="s">
        <v>211</v>
      </c>
      <c r="F591" s="34" t="s">
        <v>212</v>
      </c>
      <c r="G591" s="34" t="s">
        <v>242</v>
      </c>
      <c r="H591" s="34" t="s">
        <v>232</v>
      </c>
      <c r="I591" s="35" t="str">
        <f>VLOOKUP(H591,人員與團隊!$A$4:$D$27,3,FALSE)</f>
        <v>北區服務</v>
      </c>
      <c r="J591" s="34" t="s">
        <v>215</v>
      </c>
      <c r="K591" s="33">
        <v>46181.783333333333</v>
      </c>
      <c r="L591" s="33">
        <v>46181.838103981485</v>
      </c>
      <c r="M591" s="36">
        <f t="shared" si="45"/>
        <v>397.99999999813735</v>
      </c>
      <c r="N591" s="37">
        <f t="shared" si="46"/>
        <v>7.9478288889513351</v>
      </c>
      <c r="O591" s="36">
        <f>VLOOKUP(G591,SLA標準!$A$4:$C$7,2,FALSE)</f>
        <v>240</v>
      </c>
      <c r="P591" s="37">
        <f>VLOOKUP(G591,SLA標準!$A$4:$C$7,3,FALSE)</f>
        <v>24</v>
      </c>
      <c r="Q591" s="35" t="str">
        <f t="shared" si="47"/>
        <v>逾期</v>
      </c>
      <c r="R591" s="34" t="s">
        <v>47</v>
      </c>
      <c r="S591" s="35" t="str">
        <f t="shared" si="48"/>
        <v>是</v>
      </c>
      <c r="T591" s="36">
        <f>IFERROR(VLOOKUP(A591,滿意度調查!$B$4:$D$570,3,FALSE),"")</f>
        <v>4</v>
      </c>
      <c r="U591" s="35" t="str">
        <f t="shared" si="49"/>
        <v>2026-06</v>
      </c>
      <c r="V591" s="38">
        <f>IF(J591="已結案",0,(使用說明!$B$7-B591)*24)</f>
        <v>0</v>
      </c>
    </row>
    <row r="592" spans="1:22">
      <c r="A592" s="32" t="s">
        <v>1125</v>
      </c>
      <c r="B592" s="33">
        <v>46181.599999999999</v>
      </c>
      <c r="C592" s="34" t="s">
        <v>1126</v>
      </c>
      <c r="D592" s="34" t="s">
        <v>210</v>
      </c>
      <c r="E592" s="34" t="s">
        <v>211</v>
      </c>
      <c r="F592" s="34" t="s">
        <v>226</v>
      </c>
      <c r="G592" s="34" t="s">
        <v>242</v>
      </c>
      <c r="H592" s="34" t="s">
        <v>262</v>
      </c>
      <c r="I592" s="35" t="str">
        <f>VLOOKUP(H592,人員與團隊!$A$4:$D$27,3,FALSE)</f>
        <v>南區服務</v>
      </c>
      <c r="J592" s="34" t="s">
        <v>215</v>
      </c>
      <c r="K592" s="33">
        <v>46181.700694444444</v>
      </c>
      <c r="L592" s="33">
        <v>46181.829059479169</v>
      </c>
      <c r="M592" s="36">
        <f t="shared" si="45"/>
        <v>145.00000000116415</v>
      </c>
      <c r="N592" s="37">
        <f t="shared" si="46"/>
        <v>5.4974275000859052</v>
      </c>
      <c r="O592" s="36">
        <f>VLOOKUP(G592,SLA標準!$A$4:$C$7,2,FALSE)</f>
        <v>240</v>
      </c>
      <c r="P592" s="37">
        <f>VLOOKUP(G592,SLA標準!$A$4:$C$7,3,FALSE)</f>
        <v>24</v>
      </c>
      <c r="Q592" s="35" t="str">
        <f t="shared" si="47"/>
        <v>達標</v>
      </c>
      <c r="R592" s="34" t="s">
        <v>47</v>
      </c>
      <c r="S592" s="35" t="str">
        <f t="shared" si="48"/>
        <v>是</v>
      </c>
      <c r="T592" s="36">
        <f>IFERROR(VLOOKUP(A592,滿意度調查!$B$4:$D$570,3,FALSE),"")</f>
        <v>4</v>
      </c>
      <c r="U592" s="35" t="str">
        <f t="shared" si="49"/>
        <v>2026-06</v>
      </c>
      <c r="V592" s="38">
        <f>IF(J592="已結案",0,(使用說明!$B$7-B592)*24)</f>
        <v>0</v>
      </c>
    </row>
    <row r="593" spans="1:22">
      <c r="A593" s="32" t="s">
        <v>1127</v>
      </c>
      <c r="B593" s="33">
        <v>46181.609722222223</v>
      </c>
      <c r="C593" s="34" t="s">
        <v>314</v>
      </c>
      <c r="D593" s="34" t="s">
        <v>225</v>
      </c>
      <c r="E593" s="34" t="s">
        <v>219</v>
      </c>
      <c r="F593" s="34" t="s">
        <v>249</v>
      </c>
      <c r="G593" s="34" t="s">
        <v>213</v>
      </c>
      <c r="H593" s="34" t="s">
        <v>237</v>
      </c>
      <c r="I593" s="35" t="str">
        <f>VLOOKUP(H593,人員與團隊!$A$4:$D$27,3,FALSE)</f>
        <v>北區服務</v>
      </c>
      <c r="J593" s="34" t="s">
        <v>356</v>
      </c>
      <c r="K593" s="33">
        <v>46181.968055555553</v>
      </c>
      <c r="L593" s="33"/>
      <c r="M593" s="36">
        <f t="shared" si="45"/>
        <v>515.99999999511056</v>
      </c>
      <c r="N593" s="37" t="str">
        <f t="shared" si="46"/>
        <v/>
      </c>
      <c r="O593" s="36">
        <f>VLOOKUP(G593,SLA標準!$A$4:$C$7,2,FALSE)</f>
        <v>480</v>
      </c>
      <c r="P593" s="37">
        <f>VLOOKUP(G593,SLA標準!$A$4:$C$7,3,FALSE)</f>
        <v>48</v>
      </c>
      <c r="Q593" s="35" t="str">
        <f t="shared" si="47"/>
        <v>逾期</v>
      </c>
      <c r="R593" s="34" t="s">
        <v>47</v>
      </c>
      <c r="S593" s="35" t="str">
        <f t="shared" si="48"/>
        <v>否</v>
      </c>
      <c r="T593" s="36" t="str">
        <f>IFERROR(VLOOKUP(A593,滿意度調查!$B$4:$D$570,3,FALSE),"")</f>
        <v/>
      </c>
      <c r="U593" s="35" t="str">
        <f t="shared" si="49"/>
        <v>2026-06</v>
      </c>
      <c r="V593" s="38">
        <f>IF(J593="已結案",0,(使用說明!$B$7-B593)*24)</f>
        <v>546.3666666666395</v>
      </c>
    </row>
    <row r="594" spans="1:22">
      <c r="A594" s="32" t="s">
        <v>1128</v>
      </c>
      <c r="B594" s="33">
        <v>46181.611805555556</v>
      </c>
      <c r="C594" s="34" t="s">
        <v>1129</v>
      </c>
      <c r="D594" s="34" t="s">
        <v>210</v>
      </c>
      <c r="E594" s="34" t="s">
        <v>211</v>
      </c>
      <c r="F594" s="34" t="s">
        <v>331</v>
      </c>
      <c r="G594" s="34" t="s">
        <v>213</v>
      </c>
      <c r="H594" s="34" t="s">
        <v>305</v>
      </c>
      <c r="I594" s="35" t="str">
        <f>VLOOKUP(H594,人員與團隊!$A$4:$D$27,3,FALSE)</f>
        <v>線上服務</v>
      </c>
      <c r="J594" s="34" t="s">
        <v>215</v>
      </c>
      <c r="K594" s="33">
        <v>46181.805555555555</v>
      </c>
      <c r="L594" s="33">
        <v>46181.719008692133</v>
      </c>
      <c r="M594" s="36">
        <f t="shared" si="45"/>
        <v>278.99999999790452</v>
      </c>
      <c r="N594" s="37">
        <f t="shared" si="46"/>
        <v>2.5728752778377384</v>
      </c>
      <c r="O594" s="36">
        <f>VLOOKUP(G594,SLA標準!$A$4:$C$7,2,FALSE)</f>
        <v>480</v>
      </c>
      <c r="P594" s="37">
        <f>VLOOKUP(G594,SLA標準!$A$4:$C$7,3,FALSE)</f>
        <v>48</v>
      </c>
      <c r="Q594" s="35" t="str">
        <f t="shared" si="47"/>
        <v>達標</v>
      </c>
      <c r="R594" s="34" t="s">
        <v>41</v>
      </c>
      <c r="S594" s="35" t="str">
        <f t="shared" si="48"/>
        <v>否</v>
      </c>
      <c r="T594" s="36" t="str">
        <f>IFERROR(VLOOKUP(A594,滿意度調查!$B$4:$D$570,3,FALSE),"")</f>
        <v/>
      </c>
      <c r="U594" s="35" t="str">
        <f t="shared" si="49"/>
        <v>2026-06</v>
      </c>
      <c r="V594" s="38">
        <f>IF(J594="已結案",0,(使用說明!$B$7-B594)*24)</f>
        <v>0</v>
      </c>
    </row>
    <row r="595" spans="1:22">
      <c r="A595" s="32" t="s">
        <v>1130</v>
      </c>
      <c r="B595" s="33">
        <v>46181.620138888888</v>
      </c>
      <c r="C595" s="34" t="s">
        <v>438</v>
      </c>
      <c r="D595" s="34" t="s">
        <v>240</v>
      </c>
      <c r="E595" s="34" t="s">
        <v>211</v>
      </c>
      <c r="F595" s="34" t="s">
        <v>331</v>
      </c>
      <c r="G595" s="34" t="s">
        <v>213</v>
      </c>
      <c r="H595" s="34" t="s">
        <v>315</v>
      </c>
      <c r="I595" s="35" t="str">
        <f>VLOOKUP(H595,人員與團隊!$A$4:$D$27,3,FALSE)</f>
        <v>北區服務</v>
      </c>
      <c r="J595" s="34" t="s">
        <v>215</v>
      </c>
      <c r="K595" s="33">
        <v>46182.099305555559</v>
      </c>
      <c r="L595" s="33">
        <v>46181.861528935187</v>
      </c>
      <c r="M595" s="36">
        <f t="shared" si="45"/>
        <v>690.00000000698492</v>
      </c>
      <c r="N595" s="37">
        <f t="shared" si="46"/>
        <v>5.7933611111948267</v>
      </c>
      <c r="O595" s="36">
        <f>VLOOKUP(G595,SLA標準!$A$4:$C$7,2,FALSE)</f>
        <v>480</v>
      </c>
      <c r="P595" s="37">
        <f>VLOOKUP(G595,SLA標準!$A$4:$C$7,3,FALSE)</f>
        <v>48</v>
      </c>
      <c r="Q595" s="35" t="str">
        <f t="shared" si="47"/>
        <v>逾期</v>
      </c>
      <c r="R595" s="34" t="s">
        <v>47</v>
      </c>
      <c r="S595" s="35" t="str">
        <f t="shared" si="48"/>
        <v>否</v>
      </c>
      <c r="T595" s="36" t="str">
        <f>IFERROR(VLOOKUP(A595,滿意度調查!$B$4:$D$570,3,FALSE),"")</f>
        <v/>
      </c>
      <c r="U595" s="35" t="str">
        <f t="shared" si="49"/>
        <v>2026-06</v>
      </c>
      <c r="V595" s="38">
        <f>IF(J595="已結案",0,(使用說明!$B$7-B595)*24)</f>
        <v>0</v>
      </c>
    </row>
    <row r="596" spans="1:22">
      <c r="A596" s="32" t="s">
        <v>1131</v>
      </c>
      <c r="B596" s="33">
        <v>46181.652777777781</v>
      </c>
      <c r="C596" s="34" t="s">
        <v>629</v>
      </c>
      <c r="D596" s="34" t="s">
        <v>225</v>
      </c>
      <c r="E596" s="34" t="s">
        <v>211</v>
      </c>
      <c r="F596" s="34" t="s">
        <v>212</v>
      </c>
      <c r="G596" s="34" t="s">
        <v>221</v>
      </c>
      <c r="H596" s="34" t="s">
        <v>361</v>
      </c>
      <c r="I596" s="35" t="str">
        <f>VLOOKUP(H596,人員與團隊!$A$4:$D$27,3,FALSE)</f>
        <v>南區服務</v>
      </c>
      <c r="J596" s="34" t="s">
        <v>215</v>
      </c>
      <c r="K596" s="33">
        <v>46181.681250000001</v>
      </c>
      <c r="L596" s="33">
        <v>46181.771416724536</v>
      </c>
      <c r="M596" s="36">
        <f t="shared" si="45"/>
        <v>40.999999997438863</v>
      </c>
      <c r="N596" s="37">
        <f t="shared" si="46"/>
        <v>2.8473347221151926</v>
      </c>
      <c r="O596" s="36">
        <f>VLOOKUP(G596,SLA標準!$A$4:$C$7,2,FALSE)</f>
        <v>60</v>
      </c>
      <c r="P596" s="37">
        <f>VLOOKUP(G596,SLA標準!$A$4:$C$7,3,FALSE)</f>
        <v>8</v>
      </c>
      <c r="Q596" s="35" t="str">
        <f t="shared" si="47"/>
        <v>達標</v>
      </c>
      <c r="R596" s="34" t="s">
        <v>47</v>
      </c>
      <c r="S596" s="35" t="str">
        <f t="shared" si="48"/>
        <v>否</v>
      </c>
      <c r="T596" s="36" t="str">
        <f>IFERROR(VLOOKUP(A596,滿意度調查!$B$4:$D$570,3,FALSE),"")</f>
        <v/>
      </c>
      <c r="U596" s="35" t="str">
        <f t="shared" si="49"/>
        <v>2026-06</v>
      </c>
      <c r="V596" s="38">
        <f>IF(J596="已結案",0,(使用說明!$B$7-B596)*24)</f>
        <v>0</v>
      </c>
    </row>
    <row r="597" spans="1:22">
      <c r="A597" s="32" t="s">
        <v>1132</v>
      </c>
      <c r="B597" s="33">
        <v>46181.658333333333</v>
      </c>
      <c r="C597" s="34" t="s">
        <v>432</v>
      </c>
      <c r="D597" s="34" t="s">
        <v>240</v>
      </c>
      <c r="E597" s="34" t="s">
        <v>230</v>
      </c>
      <c r="F597" s="34" t="s">
        <v>272</v>
      </c>
      <c r="G597" s="34" t="s">
        <v>242</v>
      </c>
      <c r="H597" s="34" t="s">
        <v>361</v>
      </c>
      <c r="I597" s="35" t="str">
        <f>VLOOKUP(H597,人員與團隊!$A$4:$D$27,3,FALSE)</f>
        <v>南區服務</v>
      </c>
      <c r="J597" s="34" t="s">
        <v>215</v>
      </c>
      <c r="K597" s="33">
        <v>46181.896527777775</v>
      </c>
      <c r="L597" s="33">
        <v>46182.908112962963</v>
      </c>
      <c r="M597" s="36">
        <f t="shared" si="45"/>
        <v>342.9999999969732</v>
      </c>
      <c r="N597" s="37">
        <f t="shared" si="46"/>
        <v>29.994711111125071</v>
      </c>
      <c r="O597" s="36">
        <f>VLOOKUP(G597,SLA標準!$A$4:$C$7,2,FALSE)</f>
        <v>240</v>
      </c>
      <c r="P597" s="37">
        <f>VLOOKUP(G597,SLA標準!$A$4:$C$7,3,FALSE)</f>
        <v>24</v>
      </c>
      <c r="Q597" s="35" t="str">
        <f t="shared" si="47"/>
        <v>逾期</v>
      </c>
      <c r="R597" s="34" t="s">
        <v>41</v>
      </c>
      <c r="S597" s="35" t="str">
        <f t="shared" si="48"/>
        <v>是</v>
      </c>
      <c r="T597" s="36">
        <f>IFERROR(VLOOKUP(A597,滿意度調查!$B$4:$D$570,3,FALSE),"")</f>
        <v>2</v>
      </c>
      <c r="U597" s="35" t="str">
        <f t="shared" si="49"/>
        <v>2026-06</v>
      </c>
      <c r="V597" s="38">
        <f>IF(J597="已結案",0,(使用說明!$B$7-B597)*24)</f>
        <v>0</v>
      </c>
    </row>
    <row r="598" spans="1:22">
      <c r="A598" s="32" t="s">
        <v>1133</v>
      </c>
      <c r="B598" s="33">
        <v>46181.762499999997</v>
      </c>
      <c r="C598" s="34" t="s">
        <v>293</v>
      </c>
      <c r="D598" s="34" t="s">
        <v>210</v>
      </c>
      <c r="E598" s="34" t="s">
        <v>265</v>
      </c>
      <c r="F598" s="34" t="s">
        <v>304</v>
      </c>
      <c r="G598" s="34" t="s">
        <v>350</v>
      </c>
      <c r="H598" s="34" t="s">
        <v>214</v>
      </c>
      <c r="I598" s="35" t="str">
        <f>VLOOKUP(H598,人員與團隊!$A$4:$D$27,3,FALSE)</f>
        <v>北區服務</v>
      </c>
      <c r="J598" s="34" t="s">
        <v>215</v>
      </c>
      <c r="K598" s="33">
        <v>46181.768750000003</v>
      </c>
      <c r="L598" s="33">
        <v>46182.538442754631</v>
      </c>
      <c r="M598" s="36">
        <f t="shared" si="45"/>
        <v>9.0000000083819032</v>
      </c>
      <c r="N598" s="37">
        <f t="shared" si="46"/>
        <v>18.622626111202408</v>
      </c>
      <c r="O598" s="36">
        <f>VLOOKUP(G598,SLA標準!$A$4:$C$7,2,FALSE)</f>
        <v>30</v>
      </c>
      <c r="P598" s="37">
        <f>VLOOKUP(G598,SLA標準!$A$4:$C$7,3,FALSE)</f>
        <v>4</v>
      </c>
      <c r="Q598" s="35" t="str">
        <f t="shared" si="47"/>
        <v>逾期</v>
      </c>
      <c r="R598" s="34" t="s">
        <v>47</v>
      </c>
      <c r="S598" s="35" t="str">
        <f t="shared" si="48"/>
        <v>是</v>
      </c>
      <c r="T598" s="36">
        <f>IFERROR(VLOOKUP(A598,滿意度調查!$B$4:$D$570,3,FALSE),"")</f>
        <v>3</v>
      </c>
      <c r="U598" s="35" t="str">
        <f t="shared" si="49"/>
        <v>2026-06</v>
      </c>
      <c r="V598" s="38">
        <f>IF(J598="已結案",0,(使用說明!$B$7-B598)*24)</f>
        <v>0</v>
      </c>
    </row>
    <row r="599" spans="1:22">
      <c r="A599" s="32" t="s">
        <v>1134</v>
      </c>
      <c r="B599" s="33">
        <v>46181.817361111112</v>
      </c>
      <c r="C599" s="34" t="s">
        <v>400</v>
      </c>
      <c r="D599" s="34" t="s">
        <v>218</v>
      </c>
      <c r="E599" s="34" t="s">
        <v>211</v>
      </c>
      <c r="F599" s="34" t="s">
        <v>212</v>
      </c>
      <c r="G599" s="34" t="s">
        <v>242</v>
      </c>
      <c r="H599" s="34" t="s">
        <v>243</v>
      </c>
      <c r="I599" s="35" t="str">
        <f>VLOOKUP(H599,人員與團隊!$A$4:$D$27,3,FALSE)</f>
        <v>南區服務</v>
      </c>
      <c r="J599" s="34" t="s">
        <v>215</v>
      </c>
      <c r="K599" s="33">
        <v>46182.020833333336</v>
      </c>
      <c r="L599" s="33">
        <v>46182.146499849536</v>
      </c>
      <c r="M599" s="36">
        <f t="shared" si="45"/>
        <v>293.00000000162981</v>
      </c>
      <c r="N599" s="37">
        <f t="shared" si="46"/>
        <v>7.8993297221604735</v>
      </c>
      <c r="O599" s="36">
        <f>VLOOKUP(G599,SLA標準!$A$4:$C$7,2,FALSE)</f>
        <v>240</v>
      </c>
      <c r="P599" s="37">
        <f>VLOOKUP(G599,SLA標準!$A$4:$C$7,3,FALSE)</f>
        <v>24</v>
      </c>
      <c r="Q599" s="35" t="str">
        <f t="shared" si="47"/>
        <v>逾期</v>
      </c>
      <c r="R599" s="34" t="s">
        <v>47</v>
      </c>
      <c r="S599" s="35" t="str">
        <f t="shared" si="48"/>
        <v>是</v>
      </c>
      <c r="T599" s="36">
        <f>IFERROR(VLOOKUP(A599,滿意度調查!$B$4:$D$570,3,FALSE),"")</f>
        <v>3</v>
      </c>
      <c r="U599" s="35" t="str">
        <f t="shared" si="49"/>
        <v>2026-06</v>
      </c>
      <c r="V599" s="38">
        <f>IF(J599="已結案",0,(使用說明!$B$7-B599)*24)</f>
        <v>0</v>
      </c>
    </row>
    <row r="600" spans="1:22">
      <c r="A600" s="32" t="s">
        <v>1135</v>
      </c>
      <c r="B600" s="33">
        <v>46181.85</v>
      </c>
      <c r="C600" s="34" t="s">
        <v>618</v>
      </c>
      <c r="D600" s="34" t="s">
        <v>210</v>
      </c>
      <c r="E600" s="34" t="s">
        <v>211</v>
      </c>
      <c r="F600" s="34" t="s">
        <v>212</v>
      </c>
      <c r="G600" s="34" t="s">
        <v>221</v>
      </c>
      <c r="H600" s="34" t="s">
        <v>274</v>
      </c>
      <c r="I600" s="35" t="str">
        <f>VLOOKUP(H600,人員與團隊!$A$4:$D$27,3,FALSE)</f>
        <v>南區服務</v>
      </c>
      <c r="J600" s="34" t="s">
        <v>215</v>
      </c>
      <c r="K600" s="33">
        <v>46181.859722222223</v>
      </c>
      <c r="L600" s="33">
        <v>46182.018334872686</v>
      </c>
      <c r="M600" s="36">
        <f t="shared" si="45"/>
        <v>14.00000000372529</v>
      </c>
      <c r="N600" s="37">
        <f t="shared" si="46"/>
        <v>4.0400369444978423</v>
      </c>
      <c r="O600" s="36">
        <f>VLOOKUP(G600,SLA標準!$A$4:$C$7,2,FALSE)</f>
        <v>60</v>
      </c>
      <c r="P600" s="37">
        <f>VLOOKUP(G600,SLA標準!$A$4:$C$7,3,FALSE)</f>
        <v>8</v>
      </c>
      <c r="Q600" s="35" t="str">
        <f t="shared" si="47"/>
        <v>達標</v>
      </c>
      <c r="R600" s="34" t="s">
        <v>47</v>
      </c>
      <c r="S600" s="35" t="str">
        <f t="shared" si="48"/>
        <v>是</v>
      </c>
      <c r="T600" s="36">
        <f>IFERROR(VLOOKUP(A600,滿意度調查!$B$4:$D$570,3,FALSE),"")</f>
        <v>4</v>
      </c>
      <c r="U600" s="35" t="str">
        <f t="shared" si="49"/>
        <v>2026-06</v>
      </c>
      <c r="V600" s="38">
        <f>IF(J600="已結案",0,(使用說明!$B$7-B600)*24)</f>
        <v>0</v>
      </c>
    </row>
    <row r="601" spans="1:22">
      <c r="A601" s="32" t="s">
        <v>1136</v>
      </c>
      <c r="B601" s="33">
        <v>46181.868750000001</v>
      </c>
      <c r="C601" s="34" t="s">
        <v>546</v>
      </c>
      <c r="D601" s="34" t="s">
        <v>218</v>
      </c>
      <c r="E601" s="34" t="s">
        <v>265</v>
      </c>
      <c r="F601" s="34" t="s">
        <v>479</v>
      </c>
      <c r="G601" s="34" t="s">
        <v>242</v>
      </c>
      <c r="H601" s="34" t="s">
        <v>361</v>
      </c>
      <c r="I601" s="35" t="str">
        <f>VLOOKUP(H601,人員與團隊!$A$4:$D$27,3,FALSE)</f>
        <v>南區服務</v>
      </c>
      <c r="J601" s="34" t="s">
        <v>215</v>
      </c>
      <c r="K601" s="33">
        <v>46182.07708333333</v>
      </c>
      <c r="L601" s="33">
        <v>46182.392535995372</v>
      </c>
      <c r="M601" s="36">
        <f t="shared" si="45"/>
        <v>299.99999999301508</v>
      </c>
      <c r="N601" s="37">
        <f t="shared" si="46"/>
        <v>12.570863888890017</v>
      </c>
      <c r="O601" s="36">
        <f>VLOOKUP(G601,SLA標準!$A$4:$C$7,2,FALSE)</f>
        <v>240</v>
      </c>
      <c r="P601" s="37">
        <f>VLOOKUP(G601,SLA標準!$A$4:$C$7,3,FALSE)</f>
        <v>24</v>
      </c>
      <c r="Q601" s="35" t="str">
        <f t="shared" si="47"/>
        <v>逾期</v>
      </c>
      <c r="R601" s="34" t="s">
        <v>41</v>
      </c>
      <c r="S601" s="35" t="str">
        <f t="shared" si="48"/>
        <v>是</v>
      </c>
      <c r="T601" s="36">
        <f>IFERROR(VLOOKUP(A601,滿意度調查!$B$4:$D$570,3,FALSE),"")</f>
        <v>3</v>
      </c>
      <c r="U601" s="35" t="str">
        <f t="shared" si="49"/>
        <v>2026-06</v>
      </c>
      <c r="V601" s="38">
        <f>IF(J601="已結案",0,(使用說明!$B$7-B601)*24)</f>
        <v>0</v>
      </c>
    </row>
    <row r="602" spans="1:22">
      <c r="A602" s="32" t="s">
        <v>1137</v>
      </c>
      <c r="B602" s="33">
        <v>46181.87222222222</v>
      </c>
      <c r="C602" s="34" t="s">
        <v>476</v>
      </c>
      <c r="D602" s="34" t="s">
        <v>240</v>
      </c>
      <c r="E602" s="34" t="s">
        <v>230</v>
      </c>
      <c r="F602" s="34" t="s">
        <v>231</v>
      </c>
      <c r="G602" s="34" t="s">
        <v>242</v>
      </c>
      <c r="H602" s="34" t="s">
        <v>237</v>
      </c>
      <c r="I602" s="35" t="str">
        <f>VLOOKUP(H602,人員與團隊!$A$4:$D$27,3,FALSE)</f>
        <v>北區服務</v>
      </c>
      <c r="J602" s="34" t="s">
        <v>215</v>
      </c>
      <c r="K602" s="33">
        <v>46182.098611111112</v>
      </c>
      <c r="L602" s="33">
        <v>46184.03771916667</v>
      </c>
      <c r="M602" s="36">
        <f t="shared" si="45"/>
        <v>326.00000000442378</v>
      </c>
      <c r="N602" s="37">
        <f t="shared" si="46"/>
        <v>51.971926666796207</v>
      </c>
      <c r="O602" s="36">
        <f>VLOOKUP(G602,SLA標準!$A$4:$C$7,2,FALSE)</f>
        <v>240</v>
      </c>
      <c r="P602" s="37">
        <f>VLOOKUP(G602,SLA標準!$A$4:$C$7,3,FALSE)</f>
        <v>24</v>
      </c>
      <c r="Q602" s="35" t="str">
        <f t="shared" si="47"/>
        <v>逾期</v>
      </c>
      <c r="R602" s="34" t="s">
        <v>47</v>
      </c>
      <c r="S602" s="35" t="str">
        <f t="shared" si="48"/>
        <v>是</v>
      </c>
      <c r="T602" s="36">
        <f>IFERROR(VLOOKUP(A602,滿意度調查!$B$4:$D$570,3,FALSE),"")</f>
        <v>3</v>
      </c>
      <c r="U602" s="35" t="str">
        <f t="shared" si="49"/>
        <v>2026-06</v>
      </c>
      <c r="V602" s="38">
        <f>IF(J602="已結案",0,(使用說明!$B$7-B602)*24)</f>
        <v>0</v>
      </c>
    </row>
    <row r="603" spans="1:22">
      <c r="A603" s="32" t="s">
        <v>1138</v>
      </c>
      <c r="B603" s="33">
        <v>46182.40902777778</v>
      </c>
      <c r="C603" s="34" t="s">
        <v>886</v>
      </c>
      <c r="D603" s="34" t="s">
        <v>218</v>
      </c>
      <c r="E603" s="34" t="s">
        <v>211</v>
      </c>
      <c r="F603" s="34" t="s">
        <v>226</v>
      </c>
      <c r="G603" s="34" t="s">
        <v>242</v>
      </c>
      <c r="H603" s="34" t="s">
        <v>340</v>
      </c>
      <c r="I603" s="35" t="str">
        <f>VLOOKUP(H603,人員與團隊!$A$4:$D$27,3,FALSE)</f>
        <v>北區服務</v>
      </c>
      <c r="J603" s="34" t="s">
        <v>215</v>
      </c>
      <c r="K603" s="33">
        <v>46182.684027777781</v>
      </c>
      <c r="L603" s="33">
        <v>46182.743666168979</v>
      </c>
      <c r="M603" s="36">
        <f t="shared" si="45"/>
        <v>396.00000000209548</v>
      </c>
      <c r="N603" s="37">
        <f t="shared" si="46"/>
        <v>8.0313213887857273</v>
      </c>
      <c r="O603" s="36">
        <f>VLOOKUP(G603,SLA標準!$A$4:$C$7,2,FALSE)</f>
        <v>240</v>
      </c>
      <c r="P603" s="37">
        <f>VLOOKUP(G603,SLA標準!$A$4:$C$7,3,FALSE)</f>
        <v>24</v>
      </c>
      <c r="Q603" s="35" t="str">
        <f t="shared" si="47"/>
        <v>逾期</v>
      </c>
      <c r="R603" s="34" t="s">
        <v>41</v>
      </c>
      <c r="S603" s="35" t="str">
        <f t="shared" si="48"/>
        <v>是</v>
      </c>
      <c r="T603" s="36">
        <f>IFERROR(VLOOKUP(A603,滿意度調查!$B$4:$D$570,3,FALSE),"")</f>
        <v>3</v>
      </c>
      <c r="U603" s="35" t="str">
        <f t="shared" si="49"/>
        <v>2026-06</v>
      </c>
      <c r="V603" s="38">
        <f>IF(J603="已結案",0,(使用說明!$B$7-B603)*24)</f>
        <v>0</v>
      </c>
    </row>
    <row r="604" spans="1:22">
      <c r="A604" s="32" t="s">
        <v>1139</v>
      </c>
      <c r="B604" s="33">
        <v>46182.414583333331</v>
      </c>
      <c r="C604" s="34" t="s">
        <v>573</v>
      </c>
      <c r="D604" s="34" t="s">
        <v>218</v>
      </c>
      <c r="E604" s="34" t="s">
        <v>245</v>
      </c>
      <c r="F604" s="34" t="s">
        <v>282</v>
      </c>
      <c r="G604" s="34" t="s">
        <v>242</v>
      </c>
      <c r="H604" s="34" t="s">
        <v>315</v>
      </c>
      <c r="I604" s="35" t="str">
        <f>VLOOKUP(H604,人員與團隊!$A$4:$D$27,3,FALSE)</f>
        <v>北區服務</v>
      </c>
      <c r="J604" s="34" t="s">
        <v>215</v>
      </c>
      <c r="K604" s="33">
        <v>46182.626388888886</v>
      </c>
      <c r="L604" s="33">
        <v>46184.819121099536</v>
      </c>
      <c r="M604" s="36">
        <f t="shared" si="45"/>
        <v>304.99999999883585</v>
      </c>
      <c r="N604" s="37">
        <f t="shared" si="46"/>
        <v>57.708906388899777</v>
      </c>
      <c r="O604" s="36">
        <f>VLOOKUP(G604,SLA標準!$A$4:$C$7,2,FALSE)</f>
        <v>240</v>
      </c>
      <c r="P604" s="37">
        <f>VLOOKUP(G604,SLA標準!$A$4:$C$7,3,FALSE)</f>
        <v>24</v>
      </c>
      <c r="Q604" s="35" t="str">
        <f t="shared" si="47"/>
        <v>逾期</v>
      </c>
      <c r="R604" s="34" t="s">
        <v>41</v>
      </c>
      <c r="S604" s="35" t="str">
        <f t="shared" si="48"/>
        <v>是</v>
      </c>
      <c r="T604" s="36">
        <f>IFERROR(VLOOKUP(A604,滿意度調查!$B$4:$D$570,3,FALSE),"")</f>
        <v>2</v>
      </c>
      <c r="U604" s="35" t="str">
        <f t="shared" si="49"/>
        <v>2026-06</v>
      </c>
      <c r="V604" s="38">
        <f>IF(J604="已結案",0,(使用說明!$B$7-B604)*24)</f>
        <v>0</v>
      </c>
    </row>
    <row r="605" spans="1:22">
      <c r="A605" s="32" t="s">
        <v>1140</v>
      </c>
      <c r="B605" s="33">
        <v>46182.46875</v>
      </c>
      <c r="C605" s="34" t="s">
        <v>405</v>
      </c>
      <c r="D605" s="34" t="s">
        <v>218</v>
      </c>
      <c r="E605" s="34" t="s">
        <v>245</v>
      </c>
      <c r="F605" s="34" t="s">
        <v>246</v>
      </c>
      <c r="G605" s="34" t="s">
        <v>213</v>
      </c>
      <c r="H605" s="34" t="s">
        <v>340</v>
      </c>
      <c r="I605" s="35" t="str">
        <f>VLOOKUP(H605,人員與團隊!$A$4:$D$27,3,FALSE)</f>
        <v>北區服務</v>
      </c>
      <c r="J605" s="34" t="s">
        <v>215</v>
      </c>
      <c r="K605" s="33">
        <v>46183.155555555553</v>
      </c>
      <c r="L605" s="33">
        <v>46185.810498796294</v>
      </c>
      <c r="M605" s="36">
        <f t="shared" si="45"/>
        <v>988.99999999674037</v>
      </c>
      <c r="N605" s="37">
        <f t="shared" si="46"/>
        <v>80.201971111062448</v>
      </c>
      <c r="O605" s="36">
        <f>VLOOKUP(G605,SLA標準!$A$4:$C$7,2,FALSE)</f>
        <v>480</v>
      </c>
      <c r="P605" s="37">
        <f>VLOOKUP(G605,SLA標準!$A$4:$C$7,3,FALSE)</f>
        <v>48</v>
      </c>
      <c r="Q605" s="35" t="str">
        <f t="shared" si="47"/>
        <v>逾期</v>
      </c>
      <c r="R605" s="34" t="s">
        <v>41</v>
      </c>
      <c r="S605" s="35" t="str">
        <f t="shared" si="48"/>
        <v>否</v>
      </c>
      <c r="T605" s="36" t="str">
        <f>IFERROR(VLOOKUP(A605,滿意度調查!$B$4:$D$570,3,FALSE),"")</f>
        <v/>
      </c>
      <c r="U605" s="35" t="str">
        <f t="shared" si="49"/>
        <v>2026-06</v>
      </c>
      <c r="V605" s="38">
        <f>IF(J605="已結案",0,(使用說明!$B$7-B605)*24)</f>
        <v>0</v>
      </c>
    </row>
    <row r="606" spans="1:22">
      <c r="A606" s="32" t="s">
        <v>1141</v>
      </c>
      <c r="B606" s="33">
        <v>46182.472916666666</v>
      </c>
      <c r="C606" s="34" t="s">
        <v>447</v>
      </c>
      <c r="D606" s="34" t="s">
        <v>218</v>
      </c>
      <c r="E606" s="34" t="s">
        <v>219</v>
      </c>
      <c r="F606" s="34" t="s">
        <v>220</v>
      </c>
      <c r="G606" s="34" t="s">
        <v>213</v>
      </c>
      <c r="H606" s="34" t="s">
        <v>310</v>
      </c>
      <c r="I606" s="35" t="str">
        <f>VLOOKUP(H606,人員與團隊!$A$4:$D$27,3,FALSE)</f>
        <v>線上服務</v>
      </c>
      <c r="J606" s="34" t="s">
        <v>215</v>
      </c>
      <c r="K606" s="33">
        <v>46182.757638888892</v>
      </c>
      <c r="L606" s="33">
        <v>46183.258666956019</v>
      </c>
      <c r="M606" s="36">
        <f t="shared" si="45"/>
        <v>410.00000000582077</v>
      </c>
      <c r="N606" s="37">
        <f t="shared" si="46"/>
        <v>18.858006944472436</v>
      </c>
      <c r="O606" s="36">
        <f>VLOOKUP(G606,SLA標準!$A$4:$C$7,2,FALSE)</f>
        <v>480</v>
      </c>
      <c r="P606" s="37">
        <f>VLOOKUP(G606,SLA標準!$A$4:$C$7,3,FALSE)</f>
        <v>48</v>
      </c>
      <c r="Q606" s="35" t="str">
        <f t="shared" si="47"/>
        <v>達標</v>
      </c>
      <c r="R606" s="34" t="s">
        <v>47</v>
      </c>
      <c r="S606" s="35" t="str">
        <f t="shared" si="48"/>
        <v>是</v>
      </c>
      <c r="T606" s="36">
        <f>IFERROR(VLOOKUP(A606,滿意度調查!$B$4:$D$570,3,FALSE),"")</f>
        <v>5</v>
      </c>
      <c r="U606" s="35" t="str">
        <f t="shared" si="49"/>
        <v>2026-06</v>
      </c>
      <c r="V606" s="38">
        <f>IF(J606="已結案",0,(使用說明!$B$7-B606)*24)</f>
        <v>0</v>
      </c>
    </row>
    <row r="607" spans="1:22">
      <c r="A607" s="32" t="s">
        <v>1142</v>
      </c>
      <c r="B607" s="33">
        <v>46182.52847222222</v>
      </c>
      <c r="C607" s="34" t="s">
        <v>229</v>
      </c>
      <c r="D607" s="34" t="s">
        <v>225</v>
      </c>
      <c r="E607" s="34" t="s">
        <v>235</v>
      </c>
      <c r="F607" s="34" t="s">
        <v>298</v>
      </c>
      <c r="G607" s="34" t="s">
        <v>221</v>
      </c>
      <c r="H607" s="34" t="s">
        <v>267</v>
      </c>
      <c r="I607" s="35" t="str">
        <f>VLOOKUP(H607,人員與團隊!$A$4:$D$27,3,FALSE)</f>
        <v>南區服務</v>
      </c>
      <c r="J607" s="34" t="s">
        <v>215</v>
      </c>
      <c r="K607" s="33">
        <v>46182.561805555553</v>
      </c>
      <c r="L607" s="33">
        <v>46182.891045949073</v>
      </c>
      <c r="M607" s="36">
        <f t="shared" si="45"/>
        <v>47.999999999301508</v>
      </c>
      <c r="N607" s="37">
        <f t="shared" si="46"/>
        <v>8.7017694444512017</v>
      </c>
      <c r="O607" s="36">
        <f>VLOOKUP(G607,SLA標準!$A$4:$C$7,2,FALSE)</f>
        <v>60</v>
      </c>
      <c r="P607" s="37">
        <f>VLOOKUP(G607,SLA標準!$A$4:$C$7,3,FALSE)</f>
        <v>8</v>
      </c>
      <c r="Q607" s="35" t="str">
        <f t="shared" si="47"/>
        <v>逾期</v>
      </c>
      <c r="R607" s="34" t="s">
        <v>47</v>
      </c>
      <c r="S607" s="35" t="str">
        <f t="shared" si="48"/>
        <v>是</v>
      </c>
      <c r="T607" s="36">
        <f>IFERROR(VLOOKUP(A607,滿意度調查!$B$4:$D$570,3,FALSE),"")</f>
        <v>3</v>
      </c>
      <c r="U607" s="35" t="str">
        <f t="shared" si="49"/>
        <v>2026-06</v>
      </c>
      <c r="V607" s="38">
        <f>IF(J607="已結案",0,(使用說明!$B$7-B607)*24)</f>
        <v>0</v>
      </c>
    </row>
    <row r="608" spans="1:22">
      <c r="A608" s="32" t="s">
        <v>1143</v>
      </c>
      <c r="B608" s="33">
        <v>46182.572916666664</v>
      </c>
      <c r="C608" s="34" t="s">
        <v>883</v>
      </c>
      <c r="D608" s="34" t="s">
        <v>240</v>
      </c>
      <c r="E608" s="34" t="s">
        <v>265</v>
      </c>
      <c r="F608" s="34" t="s">
        <v>266</v>
      </c>
      <c r="G608" s="34" t="s">
        <v>242</v>
      </c>
      <c r="H608" s="34" t="s">
        <v>328</v>
      </c>
      <c r="I608" s="35" t="str">
        <f>VLOOKUP(H608,人員與團隊!$A$4:$D$27,3,FALSE)</f>
        <v>北區服務</v>
      </c>
      <c r="J608" s="34" t="s">
        <v>215</v>
      </c>
      <c r="K608" s="33">
        <v>46182.741666666669</v>
      </c>
      <c r="L608" s="33">
        <v>46184.233227430559</v>
      </c>
      <c r="M608" s="36">
        <f t="shared" si="45"/>
        <v>243.00000000628643</v>
      </c>
      <c r="N608" s="37">
        <f t="shared" si="46"/>
        <v>39.847458333475515</v>
      </c>
      <c r="O608" s="36">
        <f>VLOOKUP(G608,SLA標準!$A$4:$C$7,2,FALSE)</f>
        <v>240</v>
      </c>
      <c r="P608" s="37">
        <f>VLOOKUP(G608,SLA標準!$A$4:$C$7,3,FALSE)</f>
        <v>24</v>
      </c>
      <c r="Q608" s="35" t="str">
        <f t="shared" si="47"/>
        <v>逾期</v>
      </c>
      <c r="R608" s="34" t="s">
        <v>41</v>
      </c>
      <c r="S608" s="35" t="str">
        <f t="shared" si="48"/>
        <v>是</v>
      </c>
      <c r="T608" s="36">
        <f>IFERROR(VLOOKUP(A608,滿意度調查!$B$4:$D$570,3,FALSE),"")</f>
        <v>2</v>
      </c>
      <c r="U608" s="35" t="str">
        <f t="shared" si="49"/>
        <v>2026-06</v>
      </c>
      <c r="V608" s="38">
        <f>IF(J608="已結案",0,(使用說明!$B$7-B608)*24)</f>
        <v>0</v>
      </c>
    </row>
    <row r="609" spans="1:22">
      <c r="A609" s="32" t="s">
        <v>1144</v>
      </c>
      <c r="B609" s="33">
        <v>46182.706944444442</v>
      </c>
      <c r="C609" s="34" t="s">
        <v>271</v>
      </c>
      <c r="D609" s="34" t="s">
        <v>210</v>
      </c>
      <c r="E609" s="34" t="s">
        <v>230</v>
      </c>
      <c r="F609" s="34" t="s">
        <v>231</v>
      </c>
      <c r="G609" s="34" t="s">
        <v>221</v>
      </c>
      <c r="H609" s="34" t="s">
        <v>384</v>
      </c>
      <c r="I609" s="35" t="str">
        <f>VLOOKUP(H609,人員與團隊!$A$4:$D$27,3,FALSE)</f>
        <v>線上服務</v>
      </c>
      <c r="J609" s="34" t="s">
        <v>215</v>
      </c>
      <c r="K609" s="33">
        <v>46182.717361111114</v>
      </c>
      <c r="L609" s="33">
        <v>46183.667156076386</v>
      </c>
      <c r="M609" s="36">
        <f t="shared" si="45"/>
        <v>15.000000006984919</v>
      </c>
      <c r="N609" s="37">
        <f t="shared" si="46"/>
        <v>23.045079166651703</v>
      </c>
      <c r="O609" s="36">
        <f>VLOOKUP(G609,SLA標準!$A$4:$C$7,2,FALSE)</f>
        <v>60</v>
      </c>
      <c r="P609" s="37">
        <f>VLOOKUP(G609,SLA標準!$A$4:$C$7,3,FALSE)</f>
        <v>8</v>
      </c>
      <c r="Q609" s="35" t="str">
        <f t="shared" si="47"/>
        <v>逾期</v>
      </c>
      <c r="R609" s="34" t="s">
        <v>47</v>
      </c>
      <c r="S609" s="35" t="str">
        <f t="shared" si="48"/>
        <v>是</v>
      </c>
      <c r="T609" s="36">
        <f>IFERROR(VLOOKUP(A609,滿意度調查!$B$4:$D$570,3,FALSE),"")</f>
        <v>3</v>
      </c>
      <c r="U609" s="35" t="str">
        <f t="shared" si="49"/>
        <v>2026-06</v>
      </c>
      <c r="V609" s="38">
        <f>IF(J609="已結案",0,(使用說明!$B$7-B609)*24)</f>
        <v>0</v>
      </c>
    </row>
    <row r="610" spans="1:22">
      <c r="A610" s="32" t="s">
        <v>1145</v>
      </c>
      <c r="B610" s="33">
        <v>46182.741666666669</v>
      </c>
      <c r="C610" s="34" t="s">
        <v>293</v>
      </c>
      <c r="D610" s="34" t="s">
        <v>210</v>
      </c>
      <c r="E610" s="34" t="s">
        <v>265</v>
      </c>
      <c r="F610" s="34" t="s">
        <v>301</v>
      </c>
      <c r="G610" s="34" t="s">
        <v>242</v>
      </c>
      <c r="H610" s="34" t="s">
        <v>325</v>
      </c>
      <c r="I610" s="35" t="str">
        <f>VLOOKUP(H610,人員與團隊!$A$4:$D$27,3,FALSE)</f>
        <v>線上服務</v>
      </c>
      <c r="J610" s="34" t="s">
        <v>275</v>
      </c>
      <c r="K610" s="33">
        <v>46182.782638888886</v>
      </c>
      <c r="L610" s="33"/>
      <c r="M610" s="36">
        <f t="shared" si="45"/>
        <v>58.999999993247911</v>
      </c>
      <c r="N610" s="37" t="str">
        <f t="shared" si="46"/>
        <v/>
      </c>
      <c r="O610" s="36">
        <f>VLOOKUP(G610,SLA標準!$A$4:$C$7,2,FALSE)</f>
        <v>240</v>
      </c>
      <c r="P610" s="37">
        <f>VLOOKUP(G610,SLA標準!$A$4:$C$7,3,FALSE)</f>
        <v>24</v>
      </c>
      <c r="Q610" s="35" t="str">
        <f t="shared" si="47"/>
        <v>逾期</v>
      </c>
      <c r="R610" s="34" t="s">
        <v>47</v>
      </c>
      <c r="S610" s="35" t="str">
        <f t="shared" si="48"/>
        <v>否</v>
      </c>
      <c r="T610" s="36" t="str">
        <f>IFERROR(VLOOKUP(A610,滿意度調查!$B$4:$D$570,3,FALSE),"")</f>
        <v/>
      </c>
      <c r="U610" s="35" t="str">
        <f t="shared" si="49"/>
        <v>2026-06</v>
      </c>
      <c r="V610" s="38">
        <f>IF(J610="已結案",0,(使用說明!$B$7-B610)*24)</f>
        <v>519.19999999995343</v>
      </c>
    </row>
    <row r="611" spans="1:22">
      <c r="A611" s="32" t="s">
        <v>1146</v>
      </c>
      <c r="B611" s="33">
        <v>46182.824305555558</v>
      </c>
      <c r="C611" s="34" t="s">
        <v>961</v>
      </c>
      <c r="D611" s="34" t="s">
        <v>218</v>
      </c>
      <c r="E611" s="34" t="s">
        <v>265</v>
      </c>
      <c r="F611" s="34" t="s">
        <v>301</v>
      </c>
      <c r="G611" s="34" t="s">
        <v>213</v>
      </c>
      <c r="H611" s="34" t="s">
        <v>243</v>
      </c>
      <c r="I611" s="35" t="str">
        <f>VLOOKUP(H611,人員與團隊!$A$4:$D$27,3,FALSE)</f>
        <v>南區服務</v>
      </c>
      <c r="J611" s="34" t="s">
        <v>215</v>
      </c>
      <c r="K611" s="33">
        <v>46183.179166666669</v>
      </c>
      <c r="L611" s="33">
        <v>46183.491192407404</v>
      </c>
      <c r="M611" s="36">
        <f t="shared" si="45"/>
        <v>510.99999999976717</v>
      </c>
      <c r="N611" s="37">
        <f t="shared" si="46"/>
        <v>16.005284444312565</v>
      </c>
      <c r="O611" s="36">
        <f>VLOOKUP(G611,SLA標準!$A$4:$C$7,2,FALSE)</f>
        <v>480</v>
      </c>
      <c r="P611" s="37">
        <f>VLOOKUP(G611,SLA標準!$A$4:$C$7,3,FALSE)</f>
        <v>48</v>
      </c>
      <c r="Q611" s="35" t="str">
        <f t="shared" si="47"/>
        <v>逾期</v>
      </c>
      <c r="R611" s="34" t="s">
        <v>47</v>
      </c>
      <c r="S611" s="35" t="str">
        <f t="shared" si="48"/>
        <v>是</v>
      </c>
      <c r="T611" s="36">
        <f>IFERROR(VLOOKUP(A611,滿意度調查!$B$4:$D$570,3,FALSE),"")</f>
        <v>3</v>
      </c>
      <c r="U611" s="35" t="str">
        <f t="shared" si="49"/>
        <v>2026-06</v>
      </c>
      <c r="V611" s="38">
        <f>IF(J611="已結案",0,(使用說明!$B$7-B611)*24)</f>
        <v>0</v>
      </c>
    </row>
    <row r="612" spans="1:22">
      <c r="A612" s="32" t="s">
        <v>1147</v>
      </c>
      <c r="B612" s="33">
        <v>46182.838888888888</v>
      </c>
      <c r="C612" s="34" t="s">
        <v>566</v>
      </c>
      <c r="D612" s="34" t="s">
        <v>225</v>
      </c>
      <c r="E612" s="34" t="s">
        <v>265</v>
      </c>
      <c r="F612" s="34" t="s">
        <v>479</v>
      </c>
      <c r="G612" s="34" t="s">
        <v>242</v>
      </c>
      <c r="H612" s="34" t="s">
        <v>243</v>
      </c>
      <c r="I612" s="35" t="str">
        <f>VLOOKUP(H612,人員與團隊!$A$4:$D$27,3,FALSE)</f>
        <v>南區服務</v>
      </c>
      <c r="J612" s="34" t="s">
        <v>215</v>
      </c>
      <c r="K612" s="33">
        <v>46182.900694444441</v>
      </c>
      <c r="L612" s="33">
        <v>46183.385258495371</v>
      </c>
      <c r="M612" s="36">
        <f t="shared" si="45"/>
        <v>88.999999996740371</v>
      </c>
      <c r="N612" s="37">
        <f t="shared" si="46"/>
        <v>13.112870555603877</v>
      </c>
      <c r="O612" s="36">
        <f>VLOOKUP(G612,SLA標準!$A$4:$C$7,2,FALSE)</f>
        <v>240</v>
      </c>
      <c r="P612" s="37">
        <f>VLOOKUP(G612,SLA標準!$A$4:$C$7,3,FALSE)</f>
        <v>24</v>
      </c>
      <c r="Q612" s="35" t="str">
        <f t="shared" si="47"/>
        <v>達標</v>
      </c>
      <c r="R612" s="34" t="s">
        <v>47</v>
      </c>
      <c r="S612" s="35" t="str">
        <f t="shared" si="48"/>
        <v>否</v>
      </c>
      <c r="T612" s="36" t="str">
        <f>IFERROR(VLOOKUP(A612,滿意度調查!$B$4:$D$570,3,FALSE),"")</f>
        <v/>
      </c>
      <c r="U612" s="35" t="str">
        <f t="shared" si="49"/>
        <v>2026-06</v>
      </c>
      <c r="V612" s="38">
        <f>IF(J612="已結案",0,(使用說明!$B$7-B612)*24)</f>
        <v>0</v>
      </c>
    </row>
    <row r="613" spans="1:22">
      <c r="A613" s="32" t="s">
        <v>1148</v>
      </c>
      <c r="B613" s="33">
        <v>46182.852777777778</v>
      </c>
      <c r="C613" s="34" t="s">
        <v>757</v>
      </c>
      <c r="D613" s="34" t="s">
        <v>240</v>
      </c>
      <c r="E613" s="34" t="s">
        <v>211</v>
      </c>
      <c r="F613" s="34" t="s">
        <v>334</v>
      </c>
      <c r="G613" s="34" t="s">
        <v>242</v>
      </c>
      <c r="H613" s="34" t="s">
        <v>361</v>
      </c>
      <c r="I613" s="35" t="str">
        <f>VLOOKUP(H613,人員與團隊!$A$4:$D$27,3,FALSE)</f>
        <v>南區服務</v>
      </c>
      <c r="J613" s="34" t="s">
        <v>275</v>
      </c>
      <c r="K613" s="33">
        <v>46182.969444444447</v>
      </c>
      <c r="L613" s="33"/>
      <c r="M613" s="36">
        <f t="shared" si="45"/>
        <v>168.00000000279397</v>
      </c>
      <c r="N613" s="37" t="str">
        <f t="shared" si="46"/>
        <v/>
      </c>
      <c r="O613" s="36">
        <f>VLOOKUP(G613,SLA標準!$A$4:$C$7,2,FALSE)</f>
        <v>240</v>
      </c>
      <c r="P613" s="37">
        <f>VLOOKUP(G613,SLA標準!$A$4:$C$7,3,FALSE)</f>
        <v>24</v>
      </c>
      <c r="Q613" s="35" t="str">
        <f t="shared" si="47"/>
        <v>逾期</v>
      </c>
      <c r="R613" s="34" t="s">
        <v>47</v>
      </c>
      <c r="S613" s="35" t="str">
        <f t="shared" si="48"/>
        <v>否</v>
      </c>
      <c r="T613" s="36" t="str">
        <f>IFERROR(VLOOKUP(A613,滿意度調查!$B$4:$D$570,3,FALSE),"")</f>
        <v/>
      </c>
      <c r="U613" s="35" t="str">
        <f t="shared" si="49"/>
        <v>2026-06</v>
      </c>
      <c r="V613" s="38">
        <f>IF(J613="已結案",0,(使用說明!$B$7-B613)*24)</f>
        <v>516.53333333332557</v>
      </c>
    </row>
    <row r="614" spans="1:22">
      <c r="A614" s="32" t="s">
        <v>1149</v>
      </c>
      <c r="B614" s="33">
        <v>46183.338194444441</v>
      </c>
      <c r="C614" s="34" t="s">
        <v>1150</v>
      </c>
      <c r="D614" s="34" t="s">
        <v>218</v>
      </c>
      <c r="E614" s="34" t="s">
        <v>235</v>
      </c>
      <c r="F614" s="34" t="s">
        <v>241</v>
      </c>
      <c r="G614" s="34" t="s">
        <v>221</v>
      </c>
      <c r="H614" s="34" t="s">
        <v>372</v>
      </c>
      <c r="I614" s="35" t="str">
        <f>VLOOKUP(H614,人員與團隊!$A$4:$D$27,3,FALSE)</f>
        <v>南區服務</v>
      </c>
      <c r="J614" s="34" t="s">
        <v>215</v>
      </c>
      <c r="K614" s="33">
        <v>46183.398611111108</v>
      </c>
      <c r="L614" s="33">
        <v>46183.521034537036</v>
      </c>
      <c r="M614" s="36">
        <f t="shared" si="45"/>
        <v>87.000000000698492</v>
      </c>
      <c r="N614" s="37">
        <f t="shared" si="46"/>
        <v>4.3881622222834267</v>
      </c>
      <c r="O614" s="36">
        <f>VLOOKUP(G614,SLA標準!$A$4:$C$7,2,FALSE)</f>
        <v>60</v>
      </c>
      <c r="P614" s="37">
        <f>VLOOKUP(G614,SLA標準!$A$4:$C$7,3,FALSE)</f>
        <v>8</v>
      </c>
      <c r="Q614" s="35" t="str">
        <f t="shared" si="47"/>
        <v>逾期</v>
      </c>
      <c r="R614" s="34" t="s">
        <v>47</v>
      </c>
      <c r="S614" s="35" t="str">
        <f t="shared" si="48"/>
        <v>否</v>
      </c>
      <c r="T614" s="36" t="str">
        <f>IFERROR(VLOOKUP(A614,滿意度調查!$B$4:$D$570,3,FALSE),"")</f>
        <v/>
      </c>
      <c r="U614" s="35" t="str">
        <f t="shared" si="49"/>
        <v>2026-06</v>
      </c>
      <c r="V614" s="38">
        <f>IF(J614="已結案",0,(使用說明!$B$7-B614)*24)</f>
        <v>0</v>
      </c>
    </row>
    <row r="615" spans="1:22">
      <c r="A615" s="32" t="s">
        <v>1151</v>
      </c>
      <c r="B615" s="33">
        <v>46183.376388888886</v>
      </c>
      <c r="C615" s="34" t="s">
        <v>610</v>
      </c>
      <c r="D615" s="34" t="s">
        <v>225</v>
      </c>
      <c r="E615" s="34" t="s">
        <v>219</v>
      </c>
      <c r="F615" s="34" t="s">
        <v>220</v>
      </c>
      <c r="G615" s="34" t="s">
        <v>221</v>
      </c>
      <c r="H615" s="34" t="s">
        <v>250</v>
      </c>
      <c r="I615" s="35" t="str">
        <f>VLOOKUP(H615,人員與團隊!$A$4:$D$27,3,FALSE)</f>
        <v>南區服務</v>
      </c>
      <c r="J615" s="34" t="s">
        <v>215</v>
      </c>
      <c r="K615" s="33">
        <v>46183.413194444445</v>
      </c>
      <c r="L615" s="33">
        <v>46183.773734895833</v>
      </c>
      <c r="M615" s="36">
        <f t="shared" si="45"/>
        <v>53.000000005122274</v>
      </c>
      <c r="N615" s="37">
        <f t="shared" si="46"/>
        <v>9.5363041667151265</v>
      </c>
      <c r="O615" s="36">
        <f>VLOOKUP(G615,SLA標準!$A$4:$C$7,2,FALSE)</f>
        <v>60</v>
      </c>
      <c r="P615" s="37">
        <f>VLOOKUP(G615,SLA標準!$A$4:$C$7,3,FALSE)</f>
        <v>8</v>
      </c>
      <c r="Q615" s="35" t="str">
        <f t="shared" si="47"/>
        <v>逾期</v>
      </c>
      <c r="R615" s="34" t="s">
        <v>47</v>
      </c>
      <c r="S615" s="35" t="str">
        <f t="shared" si="48"/>
        <v>是</v>
      </c>
      <c r="T615" s="36">
        <f>IFERROR(VLOOKUP(A615,滿意度調查!$B$4:$D$570,3,FALSE),"")</f>
        <v>4</v>
      </c>
      <c r="U615" s="35" t="str">
        <f t="shared" si="49"/>
        <v>2026-06</v>
      </c>
      <c r="V615" s="38">
        <f>IF(J615="已結案",0,(使用說明!$B$7-B615)*24)</f>
        <v>0</v>
      </c>
    </row>
    <row r="616" spans="1:22">
      <c r="A616" s="32" t="s">
        <v>1152</v>
      </c>
      <c r="B616" s="33">
        <v>46183.505555555559</v>
      </c>
      <c r="C616" s="34" t="s">
        <v>835</v>
      </c>
      <c r="D616" s="34" t="s">
        <v>225</v>
      </c>
      <c r="E616" s="34" t="s">
        <v>211</v>
      </c>
      <c r="F616" s="34" t="s">
        <v>334</v>
      </c>
      <c r="G616" s="34" t="s">
        <v>242</v>
      </c>
      <c r="H616" s="34" t="s">
        <v>262</v>
      </c>
      <c r="I616" s="35" t="str">
        <f>VLOOKUP(H616,人員與團隊!$A$4:$D$27,3,FALSE)</f>
        <v>南區服務</v>
      </c>
      <c r="J616" s="34" t="s">
        <v>215</v>
      </c>
      <c r="K616" s="33">
        <v>46183.595833333333</v>
      </c>
      <c r="L616" s="33">
        <v>46183.74844891204</v>
      </c>
      <c r="M616" s="36">
        <f t="shared" si="45"/>
        <v>129.99999999417923</v>
      </c>
      <c r="N616" s="37">
        <f t="shared" si="46"/>
        <v>5.8294405555352569</v>
      </c>
      <c r="O616" s="36">
        <f>VLOOKUP(G616,SLA標準!$A$4:$C$7,2,FALSE)</f>
        <v>240</v>
      </c>
      <c r="P616" s="37">
        <f>VLOOKUP(G616,SLA標準!$A$4:$C$7,3,FALSE)</f>
        <v>24</v>
      </c>
      <c r="Q616" s="35" t="str">
        <f t="shared" si="47"/>
        <v>達標</v>
      </c>
      <c r="R616" s="34" t="s">
        <v>47</v>
      </c>
      <c r="S616" s="35" t="str">
        <f t="shared" si="48"/>
        <v>是</v>
      </c>
      <c r="T616" s="36">
        <f>IFERROR(VLOOKUP(A616,滿意度調查!$B$4:$D$570,3,FALSE),"")</f>
        <v>5</v>
      </c>
      <c r="U616" s="35" t="str">
        <f t="shared" si="49"/>
        <v>2026-06</v>
      </c>
      <c r="V616" s="38">
        <f>IF(J616="已結案",0,(使用說明!$B$7-B616)*24)</f>
        <v>0</v>
      </c>
    </row>
    <row r="617" spans="1:22">
      <c r="A617" s="32" t="s">
        <v>1153</v>
      </c>
      <c r="B617" s="33">
        <v>46183.530555555553</v>
      </c>
      <c r="C617" s="34" t="s">
        <v>1154</v>
      </c>
      <c r="D617" s="34" t="s">
        <v>218</v>
      </c>
      <c r="E617" s="34" t="s">
        <v>211</v>
      </c>
      <c r="F617" s="34" t="s">
        <v>212</v>
      </c>
      <c r="G617" s="34" t="s">
        <v>242</v>
      </c>
      <c r="H617" s="34" t="s">
        <v>328</v>
      </c>
      <c r="I617" s="35" t="str">
        <f>VLOOKUP(H617,人員與團隊!$A$4:$D$27,3,FALSE)</f>
        <v>北區服務</v>
      </c>
      <c r="J617" s="34" t="s">
        <v>215</v>
      </c>
      <c r="K617" s="33">
        <v>46183.817361111112</v>
      </c>
      <c r="L617" s="33">
        <v>46183.701736736111</v>
      </c>
      <c r="M617" s="36">
        <f t="shared" si="45"/>
        <v>413.00000000512227</v>
      </c>
      <c r="N617" s="37">
        <f t="shared" si="46"/>
        <v>4.1083483333932236</v>
      </c>
      <c r="O617" s="36">
        <f>VLOOKUP(G617,SLA標準!$A$4:$C$7,2,FALSE)</f>
        <v>240</v>
      </c>
      <c r="P617" s="37">
        <f>VLOOKUP(G617,SLA標準!$A$4:$C$7,3,FALSE)</f>
        <v>24</v>
      </c>
      <c r="Q617" s="35" t="str">
        <f t="shared" si="47"/>
        <v>逾期</v>
      </c>
      <c r="R617" s="34" t="s">
        <v>47</v>
      </c>
      <c r="S617" s="35" t="str">
        <f t="shared" si="48"/>
        <v>是</v>
      </c>
      <c r="T617" s="36">
        <f>IFERROR(VLOOKUP(A617,滿意度調查!$B$4:$D$570,3,FALSE),"")</f>
        <v>3</v>
      </c>
      <c r="U617" s="35" t="str">
        <f t="shared" si="49"/>
        <v>2026-06</v>
      </c>
      <c r="V617" s="38">
        <f>IF(J617="已結案",0,(使用說明!$B$7-B617)*24)</f>
        <v>0</v>
      </c>
    </row>
    <row r="618" spans="1:22">
      <c r="A618" s="32" t="s">
        <v>1155</v>
      </c>
      <c r="B618" s="33">
        <v>46183.615972222222</v>
      </c>
      <c r="C618" s="34" t="s">
        <v>338</v>
      </c>
      <c r="D618" s="34" t="s">
        <v>225</v>
      </c>
      <c r="E618" s="34" t="s">
        <v>211</v>
      </c>
      <c r="F618" s="34" t="s">
        <v>331</v>
      </c>
      <c r="G618" s="34" t="s">
        <v>242</v>
      </c>
      <c r="H618" s="34" t="s">
        <v>262</v>
      </c>
      <c r="I618" s="35" t="str">
        <f>VLOOKUP(H618,人員與團隊!$A$4:$D$27,3,FALSE)</f>
        <v>南區服務</v>
      </c>
      <c r="J618" s="34" t="s">
        <v>215</v>
      </c>
      <c r="K618" s="33">
        <v>46183.691666666666</v>
      </c>
      <c r="L618" s="33">
        <v>46183.788689224537</v>
      </c>
      <c r="M618" s="36">
        <f t="shared" si="45"/>
        <v>108.99999999906868</v>
      </c>
      <c r="N618" s="37">
        <f t="shared" si="46"/>
        <v>4.1452080555609427</v>
      </c>
      <c r="O618" s="36">
        <f>VLOOKUP(G618,SLA標準!$A$4:$C$7,2,FALSE)</f>
        <v>240</v>
      </c>
      <c r="P618" s="37">
        <f>VLOOKUP(G618,SLA標準!$A$4:$C$7,3,FALSE)</f>
        <v>24</v>
      </c>
      <c r="Q618" s="35" t="str">
        <f t="shared" si="47"/>
        <v>達標</v>
      </c>
      <c r="R618" s="34" t="s">
        <v>47</v>
      </c>
      <c r="S618" s="35" t="str">
        <f t="shared" si="48"/>
        <v>是</v>
      </c>
      <c r="T618" s="36">
        <f>IFERROR(VLOOKUP(A618,滿意度調查!$B$4:$D$570,3,FALSE),"")</f>
        <v>5</v>
      </c>
      <c r="U618" s="35" t="str">
        <f t="shared" si="49"/>
        <v>2026-06</v>
      </c>
      <c r="V618" s="38">
        <f>IF(J618="已結案",0,(使用說明!$B$7-B618)*24)</f>
        <v>0</v>
      </c>
    </row>
    <row r="619" spans="1:22">
      <c r="A619" s="32" t="s">
        <v>1156</v>
      </c>
      <c r="B619" s="33">
        <v>46183.681250000001</v>
      </c>
      <c r="C619" s="34" t="s">
        <v>1017</v>
      </c>
      <c r="D619" s="34" t="s">
        <v>225</v>
      </c>
      <c r="E619" s="34" t="s">
        <v>230</v>
      </c>
      <c r="F619" s="34" t="s">
        <v>339</v>
      </c>
      <c r="G619" s="34" t="s">
        <v>350</v>
      </c>
      <c r="H619" s="34" t="s">
        <v>279</v>
      </c>
      <c r="I619" s="35" t="str">
        <f>VLOOKUP(H619,人員與團隊!$A$4:$D$27,3,FALSE)</f>
        <v>南區服務</v>
      </c>
      <c r="J619" s="34" t="s">
        <v>215</v>
      </c>
      <c r="K619" s="33">
        <v>46183.696527777778</v>
      </c>
      <c r="L619" s="33">
        <v>46184.390167685182</v>
      </c>
      <c r="M619" s="36">
        <f t="shared" si="45"/>
        <v>21.999999998370185</v>
      </c>
      <c r="N619" s="37">
        <f t="shared" si="46"/>
        <v>17.014024444331881</v>
      </c>
      <c r="O619" s="36">
        <f>VLOOKUP(G619,SLA標準!$A$4:$C$7,2,FALSE)</f>
        <v>30</v>
      </c>
      <c r="P619" s="37">
        <f>VLOOKUP(G619,SLA標準!$A$4:$C$7,3,FALSE)</f>
        <v>4</v>
      </c>
      <c r="Q619" s="35" t="str">
        <f t="shared" si="47"/>
        <v>逾期</v>
      </c>
      <c r="R619" s="34" t="s">
        <v>47</v>
      </c>
      <c r="S619" s="35" t="str">
        <f t="shared" si="48"/>
        <v>否</v>
      </c>
      <c r="T619" s="36" t="str">
        <f>IFERROR(VLOOKUP(A619,滿意度調查!$B$4:$D$570,3,FALSE),"")</f>
        <v/>
      </c>
      <c r="U619" s="35" t="str">
        <f t="shared" si="49"/>
        <v>2026-06</v>
      </c>
      <c r="V619" s="38">
        <f>IF(J619="已結案",0,(使用說明!$B$7-B619)*24)</f>
        <v>0</v>
      </c>
    </row>
    <row r="620" spans="1:22">
      <c r="A620" s="32" t="s">
        <v>1157</v>
      </c>
      <c r="B620" s="33">
        <v>46184.336805555555</v>
      </c>
      <c r="C620" s="34" t="s">
        <v>277</v>
      </c>
      <c r="D620" s="34" t="s">
        <v>240</v>
      </c>
      <c r="E620" s="34" t="s">
        <v>230</v>
      </c>
      <c r="F620" s="34" t="s">
        <v>320</v>
      </c>
      <c r="G620" s="34" t="s">
        <v>242</v>
      </c>
      <c r="H620" s="34" t="s">
        <v>232</v>
      </c>
      <c r="I620" s="35" t="str">
        <f>VLOOKUP(H620,人員與團隊!$A$4:$D$27,3,FALSE)</f>
        <v>北區服務</v>
      </c>
      <c r="J620" s="34" t="s">
        <v>215</v>
      </c>
      <c r="K620" s="33">
        <v>46184.504861111112</v>
      </c>
      <c r="L620" s="33">
        <v>46186.201991574075</v>
      </c>
      <c r="M620" s="36">
        <f t="shared" si="45"/>
        <v>242.0000000030268</v>
      </c>
      <c r="N620" s="37">
        <f t="shared" si="46"/>
        <v>44.764464444480836</v>
      </c>
      <c r="O620" s="36">
        <f>VLOOKUP(G620,SLA標準!$A$4:$C$7,2,FALSE)</f>
        <v>240</v>
      </c>
      <c r="P620" s="37">
        <f>VLOOKUP(G620,SLA標準!$A$4:$C$7,3,FALSE)</f>
        <v>24</v>
      </c>
      <c r="Q620" s="35" t="str">
        <f t="shared" si="47"/>
        <v>逾期</v>
      </c>
      <c r="R620" s="34" t="s">
        <v>41</v>
      </c>
      <c r="S620" s="35" t="str">
        <f t="shared" si="48"/>
        <v>是</v>
      </c>
      <c r="T620" s="36">
        <f>IFERROR(VLOOKUP(A620,滿意度調查!$B$4:$D$570,3,FALSE),"")</f>
        <v>3</v>
      </c>
      <c r="U620" s="35" t="str">
        <f t="shared" si="49"/>
        <v>2026-06</v>
      </c>
      <c r="V620" s="38">
        <f>IF(J620="已結案",0,(使用說明!$B$7-B620)*24)</f>
        <v>0</v>
      </c>
    </row>
    <row r="621" spans="1:22">
      <c r="A621" s="32" t="s">
        <v>1158</v>
      </c>
      <c r="B621" s="33">
        <v>46184.37222222222</v>
      </c>
      <c r="C621" s="34" t="s">
        <v>271</v>
      </c>
      <c r="D621" s="34" t="s">
        <v>225</v>
      </c>
      <c r="E621" s="34" t="s">
        <v>211</v>
      </c>
      <c r="F621" s="34" t="s">
        <v>226</v>
      </c>
      <c r="G621" s="34" t="s">
        <v>242</v>
      </c>
      <c r="H621" s="34" t="s">
        <v>250</v>
      </c>
      <c r="I621" s="35" t="str">
        <f>VLOOKUP(H621,人員與團隊!$A$4:$D$27,3,FALSE)</f>
        <v>南區服務</v>
      </c>
      <c r="J621" s="34" t="s">
        <v>215</v>
      </c>
      <c r="K621" s="33">
        <v>46184.462500000001</v>
      </c>
      <c r="L621" s="33">
        <v>46184.472035648148</v>
      </c>
      <c r="M621" s="36">
        <f t="shared" si="45"/>
        <v>130.00000000465661</v>
      </c>
      <c r="N621" s="37">
        <f t="shared" si="46"/>
        <v>2.3955222222721204</v>
      </c>
      <c r="O621" s="36">
        <f>VLOOKUP(G621,SLA標準!$A$4:$C$7,2,FALSE)</f>
        <v>240</v>
      </c>
      <c r="P621" s="37">
        <f>VLOOKUP(G621,SLA標準!$A$4:$C$7,3,FALSE)</f>
        <v>24</v>
      </c>
      <c r="Q621" s="35" t="str">
        <f t="shared" si="47"/>
        <v>達標</v>
      </c>
      <c r="R621" s="34" t="s">
        <v>47</v>
      </c>
      <c r="S621" s="35" t="str">
        <f t="shared" si="48"/>
        <v>否</v>
      </c>
      <c r="T621" s="36" t="str">
        <f>IFERROR(VLOOKUP(A621,滿意度調查!$B$4:$D$570,3,FALSE),"")</f>
        <v/>
      </c>
      <c r="U621" s="35" t="str">
        <f t="shared" si="49"/>
        <v>2026-06</v>
      </c>
      <c r="V621" s="38">
        <f>IF(J621="已結案",0,(使用說明!$B$7-B621)*24)</f>
        <v>0</v>
      </c>
    </row>
    <row r="622" spans="1:22">
      <c r="A622" s="32" t="s">
        <v>1159</v>
      </c>
      <c r="B622" s="33">
        <v>46184.448611111111</v>
      </c>
      <c r="C622" s="34" t="s">
        <v>777</v>
      </c>
      <c r="D622" s="34" t="s">
        <v>210</v>
      </c>
      <c r="E622" s="34" t="s">
        <v>219</v>
      </c>
      <c r="F622" s="34" t="s">
        <v>220</v>
      </c>
      <c r="G622" s="34" t="s">
        <v>213</v>
      </c>
      <c r="H622" s="34" t="s">
        <v>361</v>
      </c>
      <c r="I622" s="35" t="str">
        <f>VLOOKUP(H622,人員與團隊!$A$4:$D$27,3,FALSE)</f>
        <v>南區服務</v>
      </c>
      <c r="J622" s="34" t="s">
        <v>215</v>
      </c>
      <c r="K622" s="33">
        <v>46184.566666666666</v>
      </c>
      <c r="L622" s="33">
        <v>46184.927151122683</v>
      </c>
      <c r="M622" s="36">
        <f t="shared" si="45"/>
        <v>169.99999999883585</v>
      </c>
      <c r="N622" s="37">
        <f t="shared" si="46"/>
        <v>11.484960277739447</v>
      </c>
      <c r="O622" s="36">
        <f>VLOOKUP(G622,SLA標準!$A$4:$C$7,2,FALSE)</f>
        <v>480</v>
      </c>
      <c r="P622" s="37">
        <f>VLOOKUP(G622,SLA標準!$A$4:$C$7,3,FALSE)</f>
        <v>48</v>
      </c>
      <c r="Q622" s="35" t="str">
        <f t="shared" si="47"/>
        <v>達標</v>
      </c>
      <c r="R622" s="34" t="s">
        <v>41</v>
      </c>
      <c r="S622" s="35" t="str">
        <f t="shared" si="48"/>
        <v>是</v>
      </c>
      <c r="T622" s="36">
        <f>IFERROR(VLOOKUP(A622,滿意度調查!$B$4:$D$570,3,FALSE),"")</f>
        <v>4</v>
      </c>
      <c r="U622" s="35" t="str">
        <f t="shared" si="49"/>
        <v>2026-06</v>
      </c>
      <c r="V622" s="38">
        <f>IF(J622="已結案",0,(使用說明!$B$7-B622)*24)</f>
        <v>0</v>
      </c>
    </row>
    <row r="623" spans="1:22">
      <c r="A623" s="32" t="s">
        <v>1160</v>
      </c>
      <c r="B623" s="33">
        <v>46184.48333333333</v>
      </c>
      <c r="C623" s="34" t="s">
        <v>338</v>
      </c>
      <c r="D623" s="34" t="s">
        <v>210</v>
      </c>
      <c r="E623" s="34" t="s">
        <v>265</v>
      </c>
      <c r="F623" s="34" t="s">
        <v>304</v>
      </c>
      <c r="G623" s="34" t="s">
        <v>242</v>
      </c>
      <c r="H623" s="34" t="s">
        <v>384</v>
      </c>
      <c r="I623" s="35" t="str">
        <f>VLOOKUP(H623,人員與團隊!$A$4:$D$27,3,FALSE)</f>
        <v>線上服務</v>
      </c>
      <c r="J623" s="34" t="s">
        <v>215</v>
      </c>
      <c r="K623" s="33">
        <v>46184.563194444447</v>
      </c>
      <c r="L623" s="33">
        <v>46184.852847812501</v>
      </c>
      <c r="M623" s="36">
        <f t="shared" si="45"/>
        <v>115.00000000814907</v>
      </c>
      <c r="N623" s="37">
        <f t="shared" si="46"/>
        <v>8.8683475001016632</v>
      </c>
      <c r="O623" s="36">
        <f>VLOOKUP(G623,SLA標準!$A$4:$C$7,2,FALSE)</f>
        <v>240</v>
      </c>
      <c r="P623" s="37">
        <f>VLOOKUP(G623,SLA標準!$A$4:$C$7,3,FALSE)</f>
        <v>24</v>
      </c>
      <c r="Q623" s="35" t="str">
        <f t="shared" si="47"/>
        <v>達標</v>
      </c>
      <c r="R623" s="34" t="s">
        <v>47</v>
      </c>
      <c r="S623" s="35" t="str">
        <f t="shared" si="48"/>
        <v>否</v>
      </c>
      <c r="T623" s="36" t="str">
        <f>IFERROR(VLOOKUP(A623,滿意度調查!$B$4:$D$570,3,FALSE),"")</f>
        <v/>
      </c>
      <c r="U623" s="35" t="str">
        <f t="shared" si="49"/>
        <v>2026-06</v>
      </c>
      <c r="V623" s="38">
        <f>IF(J623="已結案",0,(使用說明!$B$7-B623)*24)</f>
        <v>0</v>
      </c>
    </row>
    <row r="624" spans="1:22">
      <c r="A624" s="32" t="s">
        <v>1161</v>
      </c>
      <c r="B624" s="33">
        <v>46184.506944444445</v>
      </c>
      <c r="C624" s="34" t="s">
        <v>281</v>
      </c>
      <c r="D624" s="34" t="s">
        <v>210</v>
      </c>
      <c r="E624" s="34" t="s">
        <v>211</v>
      </c>
      <c r="F624" s="34" t="s">
        <v>334</v>
      </c>
      <c r="G624" s="34" t="s">
        <v>213</v>
      </c>
      <c r="H624" s="34" t="s">
        <v>267</v>
      </c>
      <c r="I624" s="35" t="str">
        <f>VLOOKUP(H624,人員與團隊!$A$4:$D$27,3,FALSE)</f>
        <v>南區服務</v>
      </c>
      <c r="J624" s="34" t="s">
        <v>215</v>
      </c>
      <c r="K624" s="33">
        <v>46184.625</v>
      </c>
      <c r="L624" s="33">
        <v>46184.619355636576</v>
      </c>
      <c r="M624" s="36">
        <f t="shared" si="45"/>
        <v>169.99999999883585</v>
      </c>
      <c r="N624" s="37">
        <f t="shared" si="46"/>
        <v>2.697868611139711</v>
      </c>
      <c r="O624" s="36">
        <f>VLOOKUP(G624,SLA標準!$A$4:$C$7,2,FALSE)</f>
        <v>480</v>
      </c>
      <c r="P624" s="37">
        <f>VLOOKUP(G624,SLA標準!$A$4:$C$7,3,FALSE)</f>
        <v>48</v>
      </c>
      <c r="Q624" s="35" t="str">
        <f t="shared" si="47"/>
        <v>達標</v>
      </c>
      <c r="R624" s="34" t="s">
        <v>47</v>
      </c>
      <c r="S624" s="35" t="str">
        <f t="shared" si="48"/>
        <v>是</v>
      </c>
      <c r="T624" s="36">
        <f>IFERROR(VLOOKUP(A624,滿意度調查!$B$4:$D$570,3,FALSE),"")</f>
        <v>5</v>
      </c>
      <c r="U624" s="35" t="str">
        <f t="shared" si="49"/>
        <v>2026-06</v>
      </c>
      <c r="V624" s="38">
        <f>IF(J624="已結案",0,(使用說明!$B$7-B624)*24)</f>
        <v>0</v>
      </c>
    </row>
    <row r="625" spans="1:22">
      <c r="A625" s="32" t="s">
        <v>1162</v>
      </c>
      <c r="B625" s="33">
        <v>46184.510416666664</v>
      </c>
      <c r="C625" s="34" t="s">
        <v>1082</v>
      </c>
      <c r="D625" s="34" t="s">
        <v>210</v>
      </c>
      <c r="E625" s="34" t="s">
        <v>265</v>
      </c>
      <c r="F625" s="34" t="s">
        <v>301</v>
      </c>
      <c r="G625" s="34" t="s">
        <v>213</v>
      </c>
      <c r="H625" s="34" t="s">
        <v>310</v>
      </c>
      <c r="I625" s="35" t="str">
        <f>VLOOKUP(H625,人員與團隊!$A$4:$D$27,3,FALSE)</f>
        <v>線上服務</v>
      </c>
      <c r="J625" s="34" t="s">
        <v>215</v>
      </c>
      <c r="K625" s="33">
        <v>46184.635416666664</v>
      </c>
      <c r="L625" s="33">
        <v>46185.396061400461</v>
      </c>
      <c r="M625" s="36">
        <f t="shared" si="45"/>
        <v>180</v>
      </c>
      <c r="N625" s="37">
        <f t="shared" si="46"/>
        <v>21.255473611119669</v>
      </c>
      <c r="O625" s="36">
        <f>VLOOKUP(G625,SLA標準!$A$4:$C$7,2,FALSE)</f>
        <v>480</v>
      </c>
      <c r="P625" s="37">
        <f>VLOOKUP(G625,SLA標準!$A$4:$C$7,3,FALSE)</f>
        <v>48</v>
      </c>
      <c r="Q625" s="35" t="str">
        <f t="shared" si="47"/>
        <v>達標</v>
      </c>
      <c r="R625" s="34" t="s">
        <v>41</v>
      </c>
      <c r="S625" s="35" t="str">
        <f t="shared" si="48"/>
        <v>否</v>
      </c>
      <c r="T625" s="36" t="str">
        <f>IFERROR(VLOOKUP(A625,滿意度調查!$B$4:$D$570,3,FALSE),"")</f>
        <v/>
      </c>
      <c r="U625" s="35" t="str">
        <f t="shared" si="49"/>
        <v>2026-06</v>
      </c>
      <c r="V625" s="38">
        <f>IF(J625="已結案",0,(使用說明!$B$7-B625)*24)</f>
        <v>0</v>
      </c>
    </row>
    <row r="626" spans="1:22">
      <c r="A626" s="32" t="s">
        <v>1163</v>
      </c>
      <c r="B626" s="33">
        <v>46184.5625</v>
      </c>
      <c r="C626" s="34" t="s">
        <v>648</v>
      </c>
      <c r="D626" s="34" t="s">
        <v>240</v>
      </c>
      <c r="E626" s="34" t="s">
        <v>211</v>
      </c>
      <c r="F626" s="34" t="s">
        <v>334</v>
      </c>
      <c r="G626" s="34" t="s">
        <v>221</v>
      </c>
      <c r="H626" s="34" t="s">
        <v>361</v>
      </c>
      <c r="I626" s="35" t="str">
        <f>VLOOKUP(H626,人員與團隊!$A$4:$D$27,3,FALSE)</f>
        <v>南區服務</v>
      </c>
      <c r="J626" s="34" t="s">
        <v>215</v>
      </c>
      <c r="K626" s="33">
        <v>46184.603472222225</v>
      </c>
      <c r="L626" s="33">
        <v>46184.642449907406</v>
      </c>
      <c r="M626" s="36">
        <f t="shared" si="45"/>
        <v>59.00000000372529</v>
      </c>
      <c r="N626" s="37">
        <f t="shared" si="46"/>
        <v>1.9187977777328342</v>
      </c>
      <c r="O626" s="36">
        <f>VLOOKUP(G626,SLA標準!$A$4:$C$7,2,FALSE)</f>
        <v>60</v>
      </c>
      <c r="P626" s="37">
        <f>VLOOKUP(G626,SLA標準!$A$4:$C$7,3,FALSE)</f>
        <v>8</v>
      </c>
      <c r="Q626" s="35" t="str">
        <f t="shared" si="47"/>
        <v>達標</v>
      </c>
      <c r="R626" s="34" t="s">
        <v>47</v>
      </c>
      <c r="S626" s="35" t="str">
        <f t="shared" si="48"/>
        <v>是</v>
      </c>
      <c r="T626" s="36">
        <f>IFERROR(VLOOKUP(A626,滿意度調查!$B$4:$D$570,3,FALSE),"")</f>
        <v>5</v>
      </c>
      <c r="U626" s="35" t="str">
        <f t="shared" si="49"/>
        <v>2026-06</v>
      </c>
      <c r="V626" s="38">
        <f>IF(J626="已結案",0,(使用說明!$B$7-B626)*24)</f>
        <v>0</v>
      </c>
    </row>
    <row r="627" spans="1:22">
      <c r="A627" s="32" t="s">
        <v>1164</v>
      </c>
      <c r="B627" s="33">
        <v>46184.565972222219</v>
      </c>
      <c r="C627" s="34" t="s">
        <v>533</v>
      </c>
      <c r="D627" s="34" t="s">
        <v>210</v>
      </c>
      <c r="E627" s="34" t="s">
        <v>230</v>
      </c>
      <c r="F627" s="34" t="s">
        <v>272</v>
      </c>
      <c r="G627" s="34" t="s">
        <v>350</v>
      </c>
      <c r="H627" s="34" t="s">
        <v>232</v>
      </c>
      <c r="I627" s="35" t="str">
        <f>VLOOKUP(H627,人員與團隊!$A$4:$D$27,3,FALSE)</f>
        <v>北區服務</v>
      </c>
      <c r="J627" s="34" t="s">
        <v>215</v>
      </c>
      <c r="K627" s="33">
        <v>46184.571527777778</v>
      </c>
      <c r="L627" s="33">
        <v>46185.122182997686</v>
      </c>
      <c r="M627" s="36">
        <f t="shared" si="45"/>
        <v>8.0000000051222742</v>
      </c>
      <c r="N627" s="37">
        <f t="shared" si="46"/>
        <v>13.349058611202054</v>
      </c>
      <c r="O627" s="36">
        <f>VLOOKUP(G627,SLA標準!$A$4:$C$7,2,FALSE)</f>
        <v>30</v>
      </c>
      <c r="P627" s="37">
        <f>VLOOKUP(G627,SLA標準!$A$4:$C$7,3,FALSE)</f>
        <v>4</v>
      </c>
      <c r="Q627" s="35" t="str">
        <f t="shared" si="47"/>
        <v>逾期</v>
      </c>
      <c r="R627" s="34" t="s">
        <v>47</v>
      </c>
      <c r="S627" s="35" t="str">
        <f t="shared" si="48"/>
        <v>是</v>
      </c>
      <c r="T627" s="36">
        <f>IFERROR(VLOOKUP(A627,滿意度調查!$B$4:$D$570,3,FALSE),"")</f>
        <v>2</v>
      </c>
      <c r="U627" s="35" t="str">
        <f t="shared" si="49"/>
        <v>2026-06</v>
      </c>
      <c r="V627" s="38">
        <f>IF(J627="已結案",0,(使用說明!$B$7-B627)*24)</f>
        <v>0</v>
      </c>
    </row>
    <row r="628" spans="1:22">
      <c r="A628" s="32" t="s">
        <v>1165</v>
      </c>
      <c r="B628" s="33">
        <v>46184.572916666664</v>
      </c>
      <c r="C628" s="34" t="s">
        <v>324</v>
      </c>
      <c r="D628" s="34" t="s">
        <v>218</v>
      </c>
      <c r="E628" s="34" t="s">
        <v>235</v>
      </c>
      <c r="F628" s="34" t="s">
        <v>236</v>
      </c>
      <c r="G628" s="34" t="s">
        <v>242</v>
      </c>
      <c r="H628" s="34" t="s">
        <v>250</v>
      </c>
      <c r="I628" s="35" t="str">
        <f>VLOOKUP(H628,人員與團隊!$A$4:$D$27,3,FALSE)</f>
        <v>南區服務</v>
      </c>
      <c r="J628" s="34" t="s">
        <v>215</v>
      </c>
      <c r="K628" s="33">
        <v>46184.771527777775</v>
      </c>
      <c r="L628" s="33">
        <v>46185.333064826387</v>
      </c>
      <c r="M628" s="36">
        <f t="shared" si="45"/>
        <v>285.99999999976717</v>
      </c>
      <c r="N628" s="37">
        <f t="shared" si="46"/>
        <v>18.24355583335273</v>
      </c>
      <c r="O628" s="36">
        <f>VLOOKUP(G628,SLA標準!$A$4:$C$7,2,FALSE)</f>
        <v>240</v>
      </c>
      <c r="P628" s="37">
        <f>VLOOKUP(G628,SLA標準!$A$4:$C$7,3,FALSE)</f>
        <v>24</v>
      </c>
      <c r="Q628" s="35" t="str">
        <f t="shared" si="47"/>
        <v>逾期</v>
      </c>
      <c r="R628" s="34" t="s">
        <v>47</v>
      </c>
      <c r="S628" s="35" t="str">
        <f t="shared" si="48"/>
        <v>是</v>
      </c>
      <c r="T628" s="36">
        <f>IFERROR(VLOOKUP(A628,滿意度調查!$B$4:$D$570,3,FALSE),"")</f>
        <v>4</v>
      </c>
      <c r="U628" s="35" t="str">
        <f t="shared" si="49"/>
        <v>2026-06</v>
      </c>
      <c r="V628" s="38">
        <f>IF(J628="已結案",0,(使用說明!$B$7-B628)*24)</f>
        <v>0</v>
      </c>
    </row>
    <row r="629" spans="1:22">
      <c r="A629" s="32" t="s">
        <v>1166</v>
      </c>
      <c r="B629" s="33">
        <v>46184.572916666664</v>
      </c>
      <c r="C629" s="34" t="s">
        <v>1167</v>
      </c>
      <c r="D629" s="34" t="s">
        <v>210</v>
      </c>
      <c r="E629" s="34" t="s">
        <v>219</v>
      </c>
      <c r="F629" s="34" t="s">
        <v>249</v>
      </c>
      <c r="G629" s="34" t="s">
        <v>221</v>
      </c>
      <c r="H629" s="34" t="s">
        <v>408</v>
      </c>
      <c r="I629" s="35" t="str">
        <f>VLOOKUP(H629,人員與團隊!$A$4:$D$27,3,FALSE)</f>
        <v>線上服務</v>
      </c>
      <c r="J629" s="34" t="s">
        <v>215</v>
      </c>
      <c r="K629" s="33">
        <v>46184.59375</v>
      </c>
      <c r="L629" s="33">
        <v>46184.866904525465</v>
      </c>
      <c r="M629" s="36">
        <f t="shared" si="45"/>
        <v>30.00000000349246</v>
      </c>
      <c r="N629" s="37">
        <f t="shared" si="46"/>
        <v>7.0557086112094112</v>
      </c>
      <c r="O629" s="36">
        <f>VLOOKUP(G629,SLA標準!$A$4:$C$7,2,FALSE)</f>
        <v>60</v>
      </c>
      <c r="P629" s="37">
        <f>VLOOKUP(G629,SLA標準!$A$4:$C$7,3,FALSE)</f>
        <v>8</v>
      </c>
      <c r="Q629" s="35" t="str">
        <f t="shared" si="47"/>
        <v>達標</v>
      </c>
      <c r="R629" s="34" t="s">
        <v>47</v>
      </c>
      <c r="S629" s="35" t="str">
        <f t="shared" si="48"/>
        <v>是</v>
      </c>
      <c r="T629" s="36">
        <f>IFERROR(VLOOKUP(A629,滿意度調查!$B$4:$D$570,3,FALSE),"")</f>
        <v>4</v>
      </c>
      <c r="U629" s="35" t="str">
        <f t="shared" si="49"/>
        <v>2026-06</v>
      </c>
      <c r="V629" s="38">
        <f>IF(J629="已結案",0,(使用說明!$B$7-B629)*24)</f>
        <v>0</v>
      </c>
    </row>
    <row r="630" spans="1:22">
      <c r="A630" s="32" t="s">
        <v>1168</v>
      </c>
      <c r="B630" s="33">
        <v>46184.57708333333</v>
      </c>
      <c r="C630" s="34" t="s">
        <v>1040</v>
      </c>
      <c r="D630" s="34" t="s">
        <v>240</v>
      </c>
      <c r="E630" s="34" t="s">
        <v>235</v>
      </c>
      <c r="F630" s="34" t="s">
        <v>236</v>
      </c>
      <c r="G630" s="34" t="s">
        <v>242</v>
      </c>
      <c r="H630" s="34" t="s">
        <v>310</v>
      </c>
      <c r="I630" s="35" t="str">
        <f>VLOOKUP(H630,人員與團隊!$A$4:$D$27,3,FALSE)</f>
        <v>線上服務</v>
      </c>
      <c r="J630" s="34" t="s">
        <v>215</v>
      </c>
      <c r="K630" s="33">
        <v>46184.767361111109</v>
      </c>
      <c r="L630" s="33">
        <v>46185.054349918981</v>
      </c>
      <c r="M630" s="36">
        <f t="shared" si="45"/>
        <v>274.00000000256114</v>
      </c>
      <c r="N630" s="37">
        <f t="shared" si="46"/>
        <v>11.454398055619095</v>
      </c>
      <c r="O630" s="36">
        <f>VLOOKUP(G630,SLA標準!$A$4:$C$7,2,FALSE)</f>
        <v>240</v>
      </c>
      <c r="P630" s="37">
        <f>VLOOKUP(G630,SLA標準!$A$4:$C$7,3,FALSE)</f>
        <v>24</v>
      </c>
      <c r="Q630" s="35" t="str">
        <f t="shared" si="47"/>
        <v>逾期</v>
      </c>
      <c r="R630" s="34" t="s">
        <v>47</v>
      </c>
      <c r="S630" s="35" t="str">
        <f t="shared" si="48"/>
        <v>是</v>
      </c>
      <c r="T630" s="36">
        <f>IFERROR(VLOOKUP(A630,滿意度調查!$B$4:$D$570,3,FALSE),"")</f>
        <v>3</v>
      </c>
      <c r="U630" s="35" t="str">
        <f t="shared" si="49"/>
        <v>2026-06</v>
      </c>
      <c r="V630" s="38">
        <f>IF(J630="已結案",0,(使用說明!$B$7-B630)*24)</f>
        <v>0</v>
      </c>
    </row>
    <row r="631" spans="1:22">
      <c r="A631" s="32" t="s">
        <v>1169</v>
      </c>
      <c r="B631" s="33">
        <v>46184.580555555556</v>
      </c>
      <c r="C631" s="34" t="s">
        <v>571</v>
      </c>
      <c r="D631" s="34" t="s">
        <v>218</v>
      </c>
      <c r="E631" s="34" t="s">
        <v>219</v>
      </c>
      <c r="F631" s="34" t="s">
        <v>371</v>
      </c>
      <c r="G631" s="34" t="s">
        <v>221</v>
      </c>
      <c r="H631" s="34" t="s">
        <v>232</v>
      </c>
      <c r="I631" s="35" t="str">
        <f>VLOOKUP(H631,人員與團隊!$A$4:$D$27,3,FALSE)</f>
        <v>北區服務</v>
      </c>
      <c r="J631" s="34" t="s">
        <v>215</v>
      </c>
      <c r="K631" s="33">
        <v>46184.630555555559</v>
      </c>
      <c r="L631" s="33">
        <v>46185.015401851851</v>
      </c>
      <c r="M631" s="36">
        <f t="shared" si="45"/>
        <v>72.000000004190952</v>
      </c>
      <c r="N631" s="37">
        <f t="shared" si="46"/>
        <v>10.43631111108698</v>
      </c>
      <c r="O631" s="36">
        <f>VLOOKUP(G631,SLA標準!$A$4:$C$7,2,FALSE)</f>
        <v>60</v>
      </c>
      <c r="P631" s="37">
        <f>VLOOKUP(G631,SLA標準!$A$4:$C$7,3,FALSE)</f>
        <v>8</v>
      </c>
      <c r="Q631" s="35" t="str">
        <f t="shared" si="47"/>
        <v>逾期</v>
      </c>
      <c r="R631" s="34" t="s">
        <v>47</v>
      </c>
      <c r="S631" s="35" t="str">
        <f t="shared" si="48"/>
        <v>是</v>
      </c>
      <c r="T631" s="36">
        <f>IFERROR(VLOOKUP(A631,滿意度調查!$B$4:$D$570,3,FALSE),"")</f>
        <v>3</v>
      </c>
      <c r="U631" s="35" t="str">
        <f t="shared" si="49"/>
        <v>2026-06</v>
      </c>
      <c r="V631" s="38">
        <f>IF(J631="已結案",0,(使用說明!$B$7-B631)*24)</f>
        <v>0</v>
      </c>
    </row>
    <row r="632" spans="1:22">
      <c r="A632" s="32" t="s">
        <v>1170</v>
      </c>
      <c r="B632" s="33">
        <v>46184.65347222222</v>
      </c>
      <c r="C632" s="34" t="s">
        <v>656</v>
      </c>
      <c r="D632" s="34" t="s">
        <v>210</v>
      </c>
      <c r="E632" s="34" t="s">
        <v>211</v>
      </c>
      <c r="F632" s="34" t="s">
        <v>331</v>
      </c>
      <c r="G632" s="34" t="s">
        <v>242</v>
      </c>
      <c r="H632" s="34" t="s">
        <v>254</v>
      </c>
      <c r="I632" s="35" t="str">
        <f>VLOOKUP(H632,人員與團隊!$A$4:$D$27,3,FALSE)</f>
        <v>線上服務</v>
      </c>
      <c r="J632" s="34" t="s">
        <v>215</v>
      </c>
      <c r="K632" s="33">
        <v>46184.732638888891</v>
      </c>
      <c r="L632" s="33">
        <v>46184.891745763889</v>
      </c>
      <c r="M632" s="36">
        <f t="shared" si="45"/>
        <v>114.00000000488944</v>
      </c>
      <c r="N632" s="37">
        <f t="shared" si="46"/>
        <v>5.7185650000465102</v>
      </c>
      <c r="O632" s="36">
        <f>VLOOKUP(G632,SLA標準!$A$4:$C$7,2,FALSE)</f>
        <v>240</v>
      </c>
      <c r="P632" s="37">
        <f>VLOOKUP(G632,SLA標準!$A$4:$C$7,3,FALSE)</f>
        <v>24</v>
      </c>
      <c r="Q632" s="35" t="str">
        <f t="shared" si="47"/>
        <v>達標</v>
      </c>
      <c r="R632" s="34" t="s">
        <v>47</v>
      </c>
      <c r="S632" s="35" t="str">
        <f t="shared" si="48"/>
        <v>否</v>
      </c>
      <c r="T632" s="36" t="str">
        <f>IFERROR(VLOOKUP(A632,滿意度調查!$B$4:$D$570,3,FALSE),"")</f>
        <v/>
      </c>
      <c r="U632" s="35" t="str">
        <f t="shared" si="49"/>
        <v>2026-06</v>
      </c>
      <c r="V632" s="38">
        <f>IF(J632="已結案",0,(使用說明!$B$7-B632)*24)</f>
        <v>0</v>
      </c>
    </row>
    <row r="633" spans="1:22">
      <c r="A633" s="32" t="s">
        <v>1171</v>
      </c>
      <c r="B633" s="33">
        <v>46184.670138888891</v>
      </c>
      <c r="C633" s="34" t="s">
        <v>725</v>
      </c>
      <c r="D633" s="34" t="s">
        <v>225</v>
      </c>
      <c r="E633" s="34" t="s">
        <v>211</v>
      </c>
      <c r="F633" s="34" t="s">
        <v>334</v>
      </c>
      <c r="G633" s="34" t="s">
        <v>242</v>
      </c>
      <c r="H633" s="34" t="s">
        <v>328</v>
      </c>
      <c r="I633" s="35" t="str">
        <f>VLOOKUP(H633,人員與團隊!$A$4:$D$27,3,FALSE)</f>
        <v>北區服務</v>
      </c>
      <c r="J633" s="34" t="s">
        <v>215</v>
      </c>
      <c r="K633" s="33">
        <v>46184.734027777777</v>
      </c>
      <c r="L633" s="33">
        <v>46185.168027129628</v>
      </c>
      <c r="M633" s="36">
        <f t="shared" si="45"/>
        <v>91.999999996041879</v>
      </c>
      <c r="N633" s="37">
        <f t="shared" si="46"/>
        <v>11.949317777703982</v>
      </c>
      <c r="O633" s="36">
        <f>VLOOKUP(G633,SLA標準!$A$4:$C$7,2,FALSE)</f>
        <v>240</v>
      </c>
      <c r="P633" s="37">
        <f>VLOOKUP(G633,SLA標準!$A$4:$C$7,3,FALSE)</f>
        <v>24</v>
      </c>
      <c r="Q633" s="35" t="str">
        <f t="shared" si="47"/>
        <v>達標</v>
      </c>
      <c r="R633" s="34" t="s">
        <v>47</v>
      </c>
      <c r="S633" s="35" t="str">
        <f t="shared" si="48"/>
        <v>是</v>
      </c>
      <c r="T633" s="36">
        <f>IFERROR(VLOOKUP(A633,滿意度調查!$B$4:$D$570,3,FALSE),"")</f>
        <v>5</v>
      </c>
      <c r="U633" s="35" t="str">
        <f t="shared" si="49"/>
        <v>2026-06</v>
      </c>
      <c r="V633" s="38">
        <f>IF(J633="已結案",0,(使用說明!$B$7-B633)*24)</f>
        <v>0</v>
      </c>
    </row>
    <row r="634" spans="1:22">
      <c r="A634" s="32" t="s">
        <v>1172</v>
      </c>
      <c r="B634" s="33">
        <v>46184.682638888888</v>
      </c>
      <c r="C634" s="34" t="s">
        <v>1173</v>
      </c>
      <c r="D634" s="34" t="s">
        <v>218</v>
      </c>
      <c r="E634" s="34" t="s">
        <v>211</v>
      </c>
      <c r="F634" s="34" t="s">
        <v>331</v>
      </c>
      <c r="G634" s="34" t="s">
        <v>221</v>
      </c>
      <c r="H634" s="34" t="s">
        <v>267</v>
      </c>
      <c r="I634" s="35" t="str">
        <f>VLOOKUP(H634,人員與團隊!$A$4:$D$27,3,FALSE)</f>
        <v>南區服務</v>
      </c>
      <c r="J634" s="34" t="s">
        <v>215</v>
      </c>
      <c r="K634" s="33">
        <v>46184.746527777781</v>
      </c>
      <c r="L634" s="33">
        <v>46184.92809209491</v>
      </c>
      <c r="M634" s="36">
        <f t="shared" si="45"/>
        <v>92.000000006519258</v>
      </c>
      <c r="N634" s="37">
        <f t="shared" si="46"/>
        <v>5.8908769445260987</v>
      </c>
      <c r="O634" s="36">
        <f>VLOOKUP(G634,SLA標準!$A$4:$C$7,2,FALSE)</f>
        <v>60</v>
      </c>
      <c r="P634" s="37">
        <f>VLOOKUP(G634,SLA標準!$A$4:$C$7,3,FALSE)</f>
        <v>8</v>
      </c>
      <c r="Q634" s="35" t="str">
        <f t="shared" si="47"/>
        <v>逾期</v>
      </c>
      <c r="R634" s="34" t="s">
        <v>47</v>
      </c>
      <c r="S634" s="35" t="str">
        <f t="shared" si="48"/>
        <v>否</v>
      </c>
      <c r="T634" s="36" t="str">
        <f>IFERROR(VLOOKUP(A634,滿意度調查!$B$4:$D$570,3,FALSE),"")</f>
        <v/>
      </c>
      <c r="U634" s="35" t="str">
        <f t="shared" si="49"/>
        <v>2026-06</v>
      </c>
      <c r="V634" s="38">
        <f>IF(J634="已結案",0,(使用說明!$B$7-B634)*24)</f>
        <v>0</v>
      </c>
    </row>
    <row r="635" spans="1:22">
      <c r="A635" s="32" t="s">
        <v>1174</v>
      </c>
      <c r="B635" s="33">
        <v>46184.695138888892</v>
      </c>
      <c r="C635" s="34" t="s">
        <v>651</v>
      </c>
      <c r="D635" s="34" t="s">
        <v>210</v>
      </c>
      <c r="E635" s="34" t="s">
        <v>235</v>
      </c>
      <c r="F635" s="34" t="s">
        <v>253</v>
      </c>
      <c r="G635" s="34" t="s">
        <v>242</v>
      </c>
      <c r="H635" s="34" t="s">
        <v>262</v>
      </c>
      <c r="I635" s="35" t="str">
        <f>VLOOKUP(H635,人員與團隊!$A$4:$D$27,3,FALSE)</f>
        <v>南區服務</v>
      </c>
      <c r="J635" s="34" t="s">
        <v>215</v>
      </c>
      <c r="K635" s="33">
        <v>46184.740277777775</v>
      </c>
      <c r="L635" s="33">
        <v>46185.481919201389</v>
      </c>
      <c r="M635" s="36">
        <f t="shared" si="45"/>
        <v>64.999999991850927</v>
      </c>
      <c r="N635" s="37">
        <f t="shared" si="46"/>
        <v>18.882727499934845</v>
      </c>
      <c r="O635" s="36">
        <f>VLOOKUP(G635,SLA標準!$A$4:$C$7,2,FALSE)</f>
        <v>240</v>
      </c>
      <c r="P635" s="37">
        <f>VLOOKUP(G635,SLA標準!$A$4:$C$7,3,FALSE)</f>
        <v>24</v>
      </c>
      <c r="Q635" s="35" t="str">
        <f t="shared" si="47"/>
        <v>達標</v>
      </c>
      <c r="R635" s="34" t="s">
        <v>47</v>
      </c>
      <c r="S635" s="35" t="str">
        <f t="shared" si="48"/>
        <v>是</v>
      </c>
      <c r="T635" s="36">
        <f>IFERROR(VLOOKUP(A635,滿意度調查!$B$4:$D$570,3,FALSE),"")</f>
        <v>5</v>
      </c>
      <c r="U635" s="35" t="str">
        <f t="shared" si="49"/>
        <v>2026-06</v>
      </c>
      <c r="V635" s="38">
        <f>IF(J635="已結案",0,(使用說明!$B$7-B635)*24)</f>
        <v>0</v>
      </c>
    </row>
    <row r="636" spans="1:22">
      <c r="A636" s="32" t="s">
        <v>1175</v>
      </c>
      <c r="B636" s="33">
        <v>46184.72152777778</v>
      </c>
      <c r="C636" s="34" t="s">
        <v>993</v>
      </c>
      <c r="D636" s="34" t="s">
        <v>225</v>
      </c>
      <c r="E636" s="34" t="s">
        <v>230</v>
      </c>
      <c r="F636" s="34" t="s">
        <v>339</v>
      </c>
      <c r="G636" s="34" t="s">
        <v>242</v>
      </c>
      <c r="H636" s="34" t="s">
        <v>315</v>
      </c>
      <c r="I636" s="35" t="str">
        <f>VLOOKUP(H636,人員與團隊!$A$4:$D$27,3,FALSE)</f>
        <v>北區服務</v>
      </c>
      <c r="J636" s="34" t="s">
        <v>215</v>
      </c>
      <c r="K636" s="33">
        <v>46184.781944444447</v>
      </c>
      <c r="L636" s="33">
        <v>46185.860535925924</v>
      </c>
      <c r="M636" s="36">
        <f t="shared" si="45"/>
        <v>87.000000000698492</v>
      </c>
      <c r="N636" s="37">
        <f t="shared" si="46"/>
        <v>27.33619555545738</v>
      </c>
      <c r="O636" s="36">
        <f>VLOOKUP(G636,SLA標準!$A$4:$C$7,2,FALSE)</f>
        <v>240</v>
      </c>
      <c r="P636" s="37">
        <f>VLOOKUP(G636,SLA標準!$A$4:$C$7,3,FALSE)</f>
        <v>24</v>
      </c>
      <c r="Q636" s="35" t="str">
        <f t="shared" si="47"/>
        <v>逾期</v>
      </c>
      <c r="R636" s="34" t="s">
        <v>47</v>
      </c>
      <c r="S636" s="35" t="str">
        <f t="shared" si="48"/>
        <v>否</v>
      </c>
      <c r="T636" s="36" t="str">
        <f>IFERROR(VLOOKUP(A636,滿意度調查!$B$4:$D$570,3,FALSE),"")</f>
        <v/>
      </c>
      <c r="U636" s="35" t="str">
        <f t="shared" si="49"/>
        <v>2026-06</v>
      </c>
      <c r="V636" s="38">
        <f>IF(J636="已結案",0,(使用說明!$B$7-B636)*24)</f>
        <v>0</v>
      </c>
    </row>
    <row r="637" spans="1:22">
      <c r="A637" s="32" t="s">
        <v>1176</v>
      </c>
      <c r="B637" s="33">
        <v>46184.727083333331</v>
      </c>
      <c r="C637" s="34" t="s">
        <v>725</v>
      </c>
      <c r="D637" s="34" t="s">
        <v>210</v>
      </c>
      <c r="E637" s="34" t="s">
        <v>245</v>
      </c>
      <c r="F637" s="34" t="s">
        <v>246</v>
      </c>
      <c r="G637" s="34" t="s">
        <v>242</v>
      </c>
      <c r="H637" s="34" t="s">
        <v>381</v>
      </c>
      <c r="I637" s="35" t="str">
        <f>VLOOKUP(H637,人員與團隊!$A$4:$D$27,3,FALSE)</f>
        <v>線上服務</v>
      </c>
      <c r="J637" s="34" t="s">
        <v>215</v>
      </c>
      <c r="K637" s="33">
        <v>46184.840277777781</v>
      </c>
      <c r="L637" s="33">
        <v>46185.649873738425</v>
      </c>
      <c r="M637" s="36">
        <f t="shared" si="45"/>
        <v>163.00000000745058</v>
      </c>
      <c r="N637" s="37">
        <f t="shared" si="46"/>
        <v>22.146969722234644</v>
      </c>
      <c r="O637" s="36">
        <f>VLOOKUP(G637,SLA標準!$A$4:$C$7,2,FALSE)</f>
        <v>240</v>
      </c>
      <c r="P637" s="37">
        <f>VLOOKUP(G637,SLA標準!$A$4:$C$7,3,FALSE)</f>
        <v>24</v>
      </c>
      <c r="Q637" s="35" t="str">
        <f t="shared" si="47"/>
        <v>達標</v>
      </c>
      <c r="R637" s="34" t="s">
        <v>47</v>
      </c>
      <c r="S637" s="35" t="str">
        <f t="shared" si="48"/>
        <v>是</v>
      </c>
      <c r="T637" s="36">
        <f>IFERROR(VLOOKUP(A637,滿意度調查!$B$4:$D$570,3,FALSE),"")</f>
        <v>5</v>
      </c>
      <c r="U637" s="35" t="str">
        <f t="shared" si="49"/>
        <v>2026-06</v>
      </c>
      <c r="V637" s="38">
        <f>IF(J637="已結案",0,(使用說明!$B$7-B637)*24)</f>
        <v>0</v>
      </c>
    </row>
    <row r="638" spans="1:22">
      <c r="A638" s="32" t="s">
        <v>1177</v>
      </c>
      <c r="B638" s="33">
        <v>46184.811111111114</v>
      </c>
      <c r="C638" s="34" t="s">
        <v>368</v>
      </c>
      <c r="D638" s="34" t="s">
        <v>210</v>
      </c>
      <c r="E638" s="34" t="s">
        <v>230</v>
      </c>
      <c r="F638" s="34" t="s">
        <v>339</v>
      </c>
      <c r="G638" s="34" t="s">
        <v>242</v>
      </c>
      <c r="H638" s="34" t="s">
        <v>254</v>
      </c>
      <c r="I638" s="35" t="str">
        <f>VLOOKUP(H638,人員與團隊!$A$4:$D$27,3,FALSE)</f>
        <v>線上服務</v>
      </c>
      <c r="J638" s="34" t="s">
        <v>215</v>
      </c>
      <c r="K638" s="33">
        <v>46184.88958333333</v>
      </c>
      <c r="L638" s="33">
        <v>46185.786004918984</v>
      </c>
      <c r="M638" s="36">
        <f t="shared" si="45"/>
        <v>112.99999999115244</v>
      </c>
      <c r="N638" s="37">
        <f t="shared" si="46"/>
        <v>23.397451388882473</v>
      </c>
      <c r="O638" s="36">
        <f>VLOOKUP(G638,SLA標準!$A$4:$C$7,2,FALSE)</f>
        <v>240</v>
      </c>
      <c r="P638" s="37">
        <f>VLOOKUP(G638,SLA標準!$A$4:$C$7,3,FALSE)</f>
        <v>24</v>
      </c>
      <c r="Q638" s="35" t="str">
        <f t="shared" si="47"/>
        <v>達標</v>
      </c>
      <c r="R638" s="34" t="s">
        <v>47</v>
      </c>
      <c r="S638" s="35" t="str">
        <f t="shared" si="48"/>
        <v>是</v>
      </c>
      <c r="T638" s="36">
        <f>IFERROR(VLOOKUP(A638,滿意度調查!$B$4:$D$570,3,FALSE),"")</f>
        <v>4</v>
      </c>
      <c r="U638" s="35" t="str">
        <f t="shared" si="49"/>
        <v>2026-06</v>
      </c>
      <c r="V638" s="38">
        <f>IF(J638="已結案",0,(使用說明!$B$7-B638)*24)</f>
        <v>0</v>
      </c>
    </row>
    <row r="639" spans="1:22">
      <c r="A639" s="32" t="s">
        <v>1178</v>
      </c>
      <c r="B639" s="33">
        <v>46184.842361111114</v>
      </c>
      <c r="C639" s="34" t="s">
        <v>1040</v>
      </c>
      <c r="D639" s="34" t="s">
        <v>225</v>
      </c>
      <c r="E639" s="34" t="s">
        <v>230</v>
      </c>
      <c r="F639" s="34" t="s">
        <v>272</v>
      </c>
      <c r="G639" s="34" t="s">
        <v>242</v>
      </c>
      <c r="H639" s="34" t="s">
        <v>328</v>
      </c>
      <c r="I639" s="35" t="str">
        <f>VLOOKUP(H639,人員與團隊!$A$4:$D$27,3,FALSE)</f>
        <v>北區服務</v>
      </c>
      <c r="J639" s="34" t="s">
        <v>215</v>
      </c>
      <c r="K639" s="33">
        <v>46185.018750000003</v>
      </c>
      <c r="L639" s="33">
        <v>46186.055961215279</v>
      </c>
      <c r="M639" s="36">
        <f t="shared" si="45"/>
        <v>254.00000000023283</v>
      </c>
      <c r="N639" s="37">
        <f t="shared" si="46"/>
        <v>29.126402499969117</v>
      </c>
      <c r="O639" s="36">
        <f>VLOOKUP(G639,SLA標準!$A$4:$C$7,2,FALSE)</f>
        <v>240</v>
      </c>
      <c r="P639" s="37">
        <f>VLOOKUP(G639,SLA標準!$A$4:$C$7,3,FALSE)</f>
        <v>24</v>
      </c>
      <c r="Q639" s="35" t="str">
        <f t="shared" si="47"/>
        <v>逾期</v>
      </c>
      <c r="R639" s="34" t="s">
        <v>47</v>
      </c>
      <c r="S639" s="35" t="str">
        <f t="shared" si="48"/>
        <v>否</v>
      </c>
      <c r="T639" s="36" t="str">
        <f>IFERROR(VLOOKUP(A639,滿意度調查!$B$4:$D$570,3,FALSE),"")</f>
        <v/>
      </c>
      <c r="U639" s="35" t="str">
        <f t="shared" si="49"/>
        <v>2026-06</v>
      </c>
      <c r="V639" s="38">
        <f>IF(J639="已結案",0,(使用說明!$B$7-B639)*24)</f>
        <v>0</v>
      </c>
    </row>
    <row r="640" spans="1:22">
      <c r="A640" s="32" t="s">
        <v>1179</v>
      </c>
      <c r="B640" s="33">
        <v>46184.856944444444</v>
      </c>
      <c r="C640" s="34" t="s">
        <v>467</v>
      </c>
      <c r="D640" s="34" t="s">
        <v>210</v>
      </c>
      <c r="E640" s="34" t="s">
        <v>265</v>
      </c>
      <c r="F640" s="34" t="s">
        <v>301</v>
      </c>
      <c r="G640" s="34" t="s">
        <v>221</v>
      </c>
      <c r="H640" s="34" t="s">
        <v>305</v>
      </c>
      <c r="I640" s="35" t="str">
        <f>VLOOKUP(H640,人員與團隊!$A$4:$D$27,3,FALSE)</f>
        <v>線上服務</v>
      </c>
      <c r="J640" s="34" t="s">
        <v>215</v>
      </c>
      <c r="K640" s="33">
        <v>46184.862500000003</v>
      </c>
      <c r="L640" s="33">
        <v>46185.340693148151</v>
      </c>
      <c r="M640" s="36">
        <f t="shared" si="45"/>
        <v>8.0000000051222742</v>
      </c>
      <c r="N640" s="37">
        <f t="shared" si="46"/>
        <v>11.609968888980802</v>
      </c>
      <c r="O640" s="36">
        <f>VLOOKUP(G640,SLA標準!$A$4:$C$7,2,FALSE)</f>
        <v>60</v>
      </c>
      <c r="P640" s="37">
        <f>VLOOKUP(G640,SLA標準!$A$4:$C$7,3,FALSE)</f>
        <v>8</v>
      </c>
      <c r="Q640" s="35" t="str">
        <f t="shared" si="47"/>
        <v>逾期</v>
      </c>
      <c r="R640" s="34" t="s">
        <v>41</v>
      </c>
      <c r="S640" s="35" t="str">
        <f t="shared" si="48"/>
        <v>是</v>
      </c>
      <c r="T640" s="36">
        <f>IFERROR(VLOOKUP(A640,滿意度調查!$B$4:$D$570,3,FALSE),"")</f>
        <v>3</v>
      </c>
      <c r="U640" s="35" t="str">
        <f t="shared" si="49"/>
        <v>2026-06</v>
      </c>
      <c r="V640" s="38">
        <f>IF(J640="已結案",0,(使用說明!$B$7-B640)*24)</f>
        <v>0</v>
      </c>
    </row>
    <row r="641" spans="1:22">
      <c r="A641" s="32" t="s">
        <v>1180</v>
      </c>
      <c r="B641" s="33">
        <v>46185.348611111112</v>
      </c>
      <c r="C641" s="34" t="s">
        <v>729</v>
      </c>
      <c r="D641" s="34" t="s">
        <v>218</v>
      </c>
      <c r="E641" s="34" t="s">
        <v>211</v>
      </c>
      <c r="F641" s="34" t="s">
        <v>212</v>
      </c>
      <c r="G641" s="34" t="s">
        <v>242</v>
      </c>
      <c r="H641" s="34" t="s">
        <v>274</v>
      </c>
      <c r="I641" s="35" t="str">
        <f>VLOOKUP(H641,人員與團隊!$A$4:$D$27,3,FALSE)</f>
        <v>南區服務</v>
      </c>
      <c r="J641" s="34" t="s">
        <v>215</v>
      </c>
      <c r="K641" s="33">
        <v>46185.515277777777</v>
      </c>
      <c r="L641" s="33">
        <v>46185.45345666667</v>
      </c>
      <c r="M641" s="36">
        <f t="shared" si="45"/>
        <v>239.99999999650754</v>
      </c>
      <c r="N641" s="37">
        <f t="shared" si="46"/>
        <v>2.5162933333776891</v>
      </c>
      <c r="O641" s="36">
        <f>VLOOKUP(G641,SLA標準!$A$4:$C$7,2,FALSE)</f>
        <v>240</v>
      </c>
      <c r="P641" s="37">
        <f>VLOOKUP(G641,SLA標準!$A$4:$C$7,3,FALSE)</f>
        <v>24</v>
      </c>
      <c r="Q641" s="35" t="str">
        <f t="shared" si="47"/>
        <v>達標</v>
      </c>
      <c r="R641" s="34" t="s">
        <v>41</v>
      </c>
      <c r="S641" s="35" t="str">
        <f t="shared" si="48"/>
        <v>否</v>
      </c>
      <c r="T641" s="36" t="str">
        <f>IFERROR(VLOOKUP(A641,滿意度調查!$B$4:$D$570,3,FALSE),"")</f>
        <v/>
      </c>
      <c r="U641" s="35" t="str">
        <f t="shared" si="49"/>
        <v>2026-06</v>
      </c>
      <c r="V641" s="38">
        <f>IF(J641="已結案",0,(使用說明!$B$7-B641)*24)</f>
        <v>0</v>
      </c>
    </row>
    <row r="642" spans="1:22">
      <c r="A642" s="32" t="s">
        <v>1181</v>
      </c>
      <c r="B642" s="33">
        <v>46185.418055555558</v>
      </c>
      <c r="C642" s="34" t="s">
        <v>403</v>
      </c>
      <c r="D642" s="34" t="s">
        <v>210</v>
      </c>
      <c r="E642" s="34" t="s">
        <v>245</v>
      </c>
      <c r="F642" s="34" t="s">
        <v>282</v>
      </c>
      <c r="G642" s="34" t="s">
        <v>213</v>
      </c>
      <c r="H642" s="34" t="s">
        <v>408</v>
      </c>
      <c r="I642" s="35" t="str">
        <f>VLOOKUP(H642,人員與團隊!$A$4:$D$27,3,FALSE)</f>
        <v>線上服務</v>
      </c>
      <c r="J642" s="34" t="s">
        <v>215</v>
      </c>
      <c r="K642" s="33">
        <v>46185.581250000003</v>
      </c>
      <c r="L642" s="33">
        <v>46186.025003668983</v>
      </c>
      <c r="M642" s="36">
        <f t="shared" si="45"/>
        <v>235.00000000116415</v>
      </c>
      <c r="N642" s="37">
        <f t="shared" si="46"/>
        <v>14.566754722211044</v>
      </c>
      <c r="O642" s="36">
        <f>VLOOKUP(G642,SLA標準!$A$4:$C$7,2,FALSE)</f>
        <v>480</v>
      </c>
      <c r="P642" s="37">
        <f>VLOOKUP(G642,SLA標準!$A$4:$C$7,3,FALSE)</f>
        <v>48</v>
      </c>
      <c r="Q642" s="35" t="str">
        <f t="shared" si="47"/>
        <v>達標</v>
      </c>
      <c r="R642" s="34" t="s">
        <v>47</v>
      </c>
      <c r="S642" s="35" t="str">
        <f t="shared" si="48"/>
        <v>是</v>
      </c>
      <c r="T642" s="36">
        <f>IFERROR(VLOOKUP(A642,滿意度調查!$B$4:$D$570,3,FALSE),"")</f>
        <v>5</v>
      </c>
      <c r="U642" s="35" t="str">
        <f t="shared" si="49"/>
        <v>2026-06</v>
      </c>
      <c r="V642" s="38">
        <f>IF(J642="已結案",0,(使用說明!$B$7-B642)*24)</f>
        <v>0</v>
      </c>
    </row>
    <row r="643" spans="1:22">
      <c r="A643" s="32" t="s">
        <v>1182</v>
      </c>
      <c r="B643" s="33">
        <v>46185.431250000001</v>
      </c>
      <c r="C643" s="34" t="s">
        <v>217</v>
      </c>
      <c r="D643" s="34" t="s">
        <v>225</v>
      </c>
      <c r="E643" s="34" t="s">
        <v>245</v>
      </c>
      <c r="F643" s="34" t="s">
        <v>282</v>
      </c>
      <c r="G643" s="34" t="s">
        <v>242</v>
      </c>
      <c r="H643" s="34" t="s">
        <v>328</v>
      </c>
      <c r="I643" s="35" t="str">
        <f>VLOOKUP(H643,人員與團隊!$A$4:$D$27,3,FALSE)</f>
        <v>北區服務</v>
      </c>
      <c r="J643" s="34" t="s">
        <v>215</v>
      </c>
      <c r="K643" s="33">
        <v>46185.551388888889</v>
      </c>
      <c r="L643" s="33">
        <v>46186.910878379633</v>
      </c>
      <c r="M643" s="36">
        <f t="shared" si="45"/>
        <v>172.99999999813735</v>
      </c>
      <c r="N643" s="37">
        <f t="shared" si="46"/>
        <v>35.511081111151725</v>
      </c>
      <c r="O643" s="36">
        <f>VLOOKUP(G643,SLA標準!$A$4:$C$7,2,FALSE)</f>
        <v>240</v>
      </c>
      <c r="P643" s="37">
        <f>VLOOKUP(G643,SLA標準!$A$4:$C$7,3,FALSE)</f>
        <v>24</v>
      </c>
      <c r="Q643" s="35" t="str">
        <f t="shared" si="47"/>
        <v>逾期</v>
      </c>
      <c r="R643" s="34" t="s">
        <v>47</v>
      </c>
      <c r="S643" s="35" t="str">
        <f t="shared" si="48"/>
        <v>是</v>
      </c>
      <c r="T643" s="36">
        <f>IFERROR(VLOOKUP(A643,滿意度調查!$B$4:$D$570,3,FALSE),"")</f>
        <v>4</v>
      </c>
      <c r="U643" s="35" t="str">
        <f t="shared" si="49"/>
        <v>2026-06</v>
      </c>
      <c r="V643" s="38">
        <f>IF(J643="已結案",0,(使用說明!$B$7-B643)*24)</f>
        <v>0</v>
      </c>
    </row>
    <row r="644" spans="1:22">
      <c r="A644" s="32" t="s">
        <v>1183</v>
      </c>
      <c r="B644" s="33">
        <v>46185.450694444444</v>
      </c>
      <c r="C644" s="34" t="s">
        <v>527</v>
      </c>
      <c r="D644" s="34" t="s">
        <v>210</v>
      </c>
      <c r="E644" s="34" t="s">
        <v>211</v>
      </c>
      <c r="F644" s="34" t="s">
        <v>331</v>
      </c>
      <c r="G644" s="34" t="s">
        <v>242</v>
      </c>
      <c r="H644" s="34" t="s">
        <v>325</v>
      </c>
      <c r="I644" s="35" t="str">
        <f>VLOOKUP(H644,人員與團隊!$A$4:$D$27,3,FALSE)</f>
        <v>線上服務</v>
      </c>
      <c r="J644" s="34" t="s">
        <v>215</v>
      </c>
      <c r="K644" s="33">
        <v>46185.533333333333</v>
      </c>
      <c r="L644" s="33">
        <v>46185.588201597224</v>
      </c>
      <c r="M644" s="36">
        <f t="shared" ref="M644:M707" si="50">IF(K644="","",(K644-B644)*1440)</f>
        <v>119.00000000023283</v>
      </c>
      <c r="N644" s="37">
        <f t="shared" ref="N644:N707" si="51">IF(L644="","",(L644-B644)*24)</f>
        <v>3.3001716667204164</v>
      </c>
      <c r="O644" s="36">
        <f>VLOOKUP(G644,SLA標準!$A$4:$C$7,2,FALSE)</f>
        <v>240</v>
      </c>
      <c r="P644" s="37">
        <f>VLOOKUP(G644,SLA標準!$A$4:$C$7,3,FALSE)</f>
        <v>24</v>
      </c>
      <c r="Q644" s="35" t="str">
        <f t="shared" ref="Q644:Q707" si="52">IF(J644="已結案",IF(AND(M644&lt;=O644,N644&lt;=P644),"達標","逾期"),IF(OR(M644&gt;O644,V644&gt;P644),"逾期","進行中"))</f>
        <v>達標</v>
      </c>
      <c r="R644" s="34" t="s">
        <v>41</v>
      </c>
      <c r="S644" s="35" t="str">
        <f t="shared" ref="S644:S707" si="53">IF(T644="","否","是")</f>
        <v>否</v>
      </c>
      <c r="T644" s="36" t="str">
        <f>IFERROR(VLOOKUP(A644,滿意度調查!$B$4:$D$570,3,FALSE),"")</f>
        <v/>
      </c>
      <c r="U644" s="35" t="str">
        <f t="shared" ref="U644:U707" si="54">TEXT(B644,"yyyy-mm")</f>
        <v>2026-06</v>
      </c>
      <c r="V644" s="38">
        <f>IF(J644="已結案",0,(使用說明!$B$7-B644)*24)</f>
        <v>0</v>
      </c>
    </row>
    <row r="645" spans="1:22">
      <c r="A645" s="32" t="s">
        <v>1184</v>
      </c>
      <c r="B645" s="33">
        <v>46185.495138888888</v>
      </c>
      <c r="C645" s="34" t="s">
        <v>709</v>
      </c>
      <c r="D645" s="34" t="s">
        <v>240</v>
      </c>
      <c r="E645" s="34" t="s">
        <v>211</v>
      </c>
      <c r="F645" s="34" t="s">
        <v>334</v>
      </c>
      <c r="G645" s="34" t="s">
        <v>242</v>
      </c>
      <c r="H645" s="34" t="s">
        <v>262</v>
      </c>
      <c r="I645" s="35" t="str">
        <f>VLOOKUP(H645,人員與團隊!$A$4:$D$27,3,FALSE)</f>
        <v>南區服務</v>
      </c>
      <c r="J645" s="34" t="s">
        <v>215</v>
      </c>
      <c r="K645" s="33">
        <v>46185.626388888886</v>
      </c>
      <c r="L645" s="33">
        <v>46185.65041224537</v>
      </c>
      <c r="M645" s="36">
        <f t="shared" si="50"/>
        <v>188.99999999790452</v>
      </c>
      <c r="N645" s="37">
        <f t="shared" si="51"/>
        <v>3.7265605555730872</v>
      </c>
      <c r="O645" s="36">
        <f>VLOOKUP(G645,SLA標準!$A$4:$C$7,2,FALSE)</f>
        <v>240</v>
      </c>
      <c r="P645" s="37">
        <f>VLOOKUP(G645,SLA標準!$A$4:$C$7,3,FALSE)</f>
        <v>24</v>
      </c>
      <c r="Q645" s="35" t="str">
        <f t="shared" si="52"/>
        <v>達標</v>
      </c>
      <c r="R645" s="34" t="s">
        <v>47</v>
      </c>
      <c r="S645" s="35" t="str">
        <f t="shared" si="53"/>
        <v>否</v>
      </c>
      <c r="T645" s="36" t="str">
        <f>IFERROR(VLOOKUP(A645,滿意度調查!$B$4:$D$570,3,FALSE),"")</f>
        <v/>
      </c>
      <c r="U645" s="35" t="str">
        <f t="shared" si="54"/>
        <v>2026-06</v>
      </c>
      <c r="V645" s="38">
        <f>IF(J645="已結案",0,(使用說明!$B$7-B645)*24)</f>
        <v>0</v>
      </c>
    </row>
    <row r="646" spans="1:22">
      <c r="A646" s="32" t="s">
        <v>1185</v>
      </c>
      <c r="B646" s="33">
        <v>46185.515277777777</v>
      </c>
      <c r="C646" s="34" t="s">
        <v>1186</v>
      </c>
      <c r="D646" s="34" t="s">
        <v>218</v>
      </c>
      <c r="E646" s="34" t="s">
        <v>245</v>
      </c>
      <c r="F646" s="34" t="s">
        <v>358</v>
      </c>
      <c r="G646" s="34" t="s">
        <v>221</v>
      </c>
      <c r="H646" s="34" t="s">
        <v>315</v>
      </c>
      <c r="I646" s="35" t="str">
        <f>VLOOKUP(H646,人員與團隊!$A$4:$D$27,3,FALSE)</f>
        <v>北區服務</v>
      </c>
      <c r="J646" s="34" t="s">
        <v>215</v>
      </c>
      <c r="K646" s="33">
        <v>46185.606249999997</v>
      </c>
      <c r="L646" s="33">
        <v>46186.425316747685</v>
      </c>
      <c r="M646" s="36">
        <f t="shared" si="50"/>
        <v>130.99999999743886</v>
      </c>
      <c r="N646" s="37">
        <f t="shared" si="51"/>
        <v>21.840935277810786</v>
      </c>
      <c r="O646" s="36">
        <f>VLOOKUP(G646,SLA標準!$A$4:$C$7,2,FALSE)</f>
        <v>60</v>
      </c>
      <c r="P646" s="37">
        <f>VLOOKUP(G646,SLA標準!$A$4:$C$7,3,FALSE)</f>
        <v>8</v>
      </c>
      <c r="Q646" s="35" t="str">
        <f t="shared" si="52"/>
        <v>逾期</v>
      </c>
      <c r="R646" s="34" t="s">
        <v>47</v>
      </c>
      <c r="S646" s="35" t="str">
        <f t="shared" si="53"/>
        <v>是</v>
      </c>
      <c r="T646" s="36">
        <f>IFERROR(VLOOKUP(A646,滿意度調查!$B$4:$D$570,3,FALSE),"")</f>
        <v>3</v>
      </c>
      <c r="U646" s="35" t="str">
        <f t="shared" si="54"/>
        <v>2026-06</v>
      </c>
      <c r="V646" s="38">
        <f>IF(J646="已結案",0,(使用說明!$B$7-B646)*24)</f>
        <v>0</v>
      </c>
    </row>
    <row r="647" spans="1:22">
      <c r="A647" s="32" t="s">
        <v>1187</v>
      </c>
      <c r="B647" s="33">
        <v>46185.539583333331</v>
      </c>
      <c r="C647" s="34" t="s">
        <v>394</v>
      </c>
      <c r="D647" s="34" t="s">
        <v>218</v>
      </c>
      <c r="E647" s="34" t="s">
        <v>219</v>
      </c>
      <c r="F647" s="34" t="s">
        <v>249</v>
      </c>
      <c r="G647" s="34" t="s">
        <v>221</v>
      </c>
      <c r="H647" s="34" t="s">
        <v>381</v>
      </c>
      <c r="I647" s="35" t="str">
        <f>VLOOKUP(H647,人員與團隊!$A$4:$D$27,3,FALSE)</f>
        <v>線上服務</v>
      </c>
      <c r="J647" s="34" t="s">
        <v>215</v>
      </c>
      <c r="K647" s="33">
        <v>46185.598611111112</v>
      </c>
      <c r="L647" s="33">
        <v>46185.92023123843</v>
      </c>
      <c r="M647" s="36">
        <f t="shared" si="50"/>
        <v>85.000000004656613</v>
      </c>
      <c r="N647" s="37">
        <f t="shared" si="51"/>
        <v>9.1355497223557904</v>
      </c>
      <c r="O647" s="36">
        <f>VLOOKUP(G647,SLA標準!$A$4:$C$7,2,FALSE)</f>
        <v>60</v>
      </c>
      <c r="P647" s="37">
        <f>VLOOKUP(G647,SLA標準!$A$4:$C$7,3,FALSE)</f>
        <v>8</v>
      </c>
      <c r="Q647" s="35" t="str">
        <f t="shared" si="52"/>
        <v>逾期</v>
      </c>
      <c r="R647" s="34" t="s">
        <v>47</v>
      </c>
      <c r="S647" s="35" t="str">
        <f t="shared" si="53"/>
        <v>是</v>
      </c>
      <c r="T647" s="36">
        <f>IFERROR(VLOOKUP(A647,滿意度調查!$B$4:$D$570,3,FALSE),"")</f>
        <v>3</v>
      </c>
      <c r="U647" s="35" t="str">
        <f t="shared" si="54"/>
        <v>2026-06</v>
      </c>
      <c r="V647" s="38">
        <f>IF(J647="已結案",0,(使用說明!$B$7-B647)*24)</f>
        <v>0</v>
      </c>
    </row>
    <row r="648" spans="1:22">
      <c r="A648" s="32" t="s">
        <v>1188</v>
      </c>
      <c r="B648" s="33">
        <v>46185.57708333333</v>
      </c>
      <c r="C648" s="34" t="s">
        <v>648</v>
      </c>
      <c r="D648" s="34" t="s">
        <v>210</v>
      </c>
      <c r="E648" s="34" t="s">
        <v>211</v>
      </c>
      <c r="F648" s="34" t="s">
        <v>212</v>
      </c>
      <c r="G648" s="34" t="s">
        <v>242</v>
      </c>
      <c r="H648" s="34" t="s">
        <v>305</v>
      </c>
      <c r="I648" s="35" t="str">
        <f>VLOOKUP(H648,人員與團隊!$A$4:$D$27,3,FALSE)</f>
        <v>線上服務</v>
      </c>
      <c r="J648" s="34" t="s">
        <v>215</v>
      </c>
      <c r="K648" s="33">
        <v>46185.62222222222</v>
      </c>
      <c r="L648" s="33">
        <v>46185.736265115738</v>
      </c>
      <c r="M648" s="36">
        <f t="shared" si="50"/>
        <v>65.000000002328306</v>
      </c>
      <c r="N648" s="37">
        <f t="shared" si="51"/>
        <v>3.8203627777984366</v>
      </c>
      <c r="O648" s="36">
        <f>VLOOKUP(G648,SLA標準!$A$4:$C$7,2,FALSE)</f>
        <v>240</v>
      </c>
      <c r="P648" s="37">
        <f>VLOOKUP(G648,SLA標準!$A$4:$C$7,3,FALSE)</f>
        <v>24</v>
      </c>
      <c r="Q648" s="35" t="str">
        <f t="shared" si="52"/>
        <v>達標</v>
      </c>
      <c r="R648" s="34" t="s">
        <v>41</v>
      </c>
      <c r="S648" s="35" t="str">
        <f t="shared" si="53"/>
        <v>否</v>
      </c>
      <c r="T648" s="36" t="str">
        <f>IFERROR(VLOOKUP(A648,滿意度調查!$B$4:$D$570,3,FALSE),"")</f>
        <v/>
      </c>
      <c r="U648" s="35" t="str">
        <f t="shared" si="54"/>
        <v>2026-06</v>
      </c>
      <c r="V648" s="38">
        <f>IF(J648="已結案",0,(使用說明!$B$7-B648)*24)</f>
        <v>0</v>
      </c>
    </row>
    <row r="649" spans="1:22">
      <c r="A649" s="32" t="s">
        <v>1189</v>
      </c>
      <c r="B649" s="33">
        <v>46185.612500000003</v>
      </c>
      <c r="C649" s="34" t="s">
        <v>423</v>
      </c>
      <c r="D649" s="34" t="s">
        <v>210</v>
      </c>
      <c r="E649" s="34" t="s">
        <v>211</v>
      </c>
      <c r="F649" s="34" t="s">
        <v>331</v>
      </c>
      <c r="G649" s="34" t="s">
        <v>242</v>
      </c>
      <c r="H649" s="34" t="s">
        <v>250</v>
      </c>
      <c r="I649" s="35" t="str">
        <f>VLOOKUP(H649,人員與團隊!$A$4:$D$27,3,FALSE)</f>
        <v>南區服務</v>
      </c>
      <c r="J649" s="34" t="s">
        <v>215</v>
      </c>
      <c r="K649" s="33">
        <v>46185.681250000001</v>
      </c>
      <c r="L649" s="33">
        <v>46185.870554143519</v>
      </c>
      <c r="M649" s="36">
        <f t="shared" si="50"/>
        <v>98.999999997904524</v>
      </c>
      <c r="N649" s="37">
        <f t="shared" si="51"/>
        <v>6.1932994443923235</v>
      </c>
      <c r="O649" s="36">
        <f>VLOOKUP(G649,SLA標準!$A$4:$C$7,2,FALSE)</f>
        <v>240</v>
      </c>
      <c r="P649" s="37">
        <f>VLOOKUP(G649,SLA標準!$A$4:$C$7,3,FALSE)</f>
        <v>24</v>
      </c>
      <c r="Q649" s="35" t="str">
        <f t="shared" si="52"/>
        <v>達標</v>
      </c>
      <c r="R649" s="34" t="s">
        <v>47</v>
      </c>
      <c r="S649" s="35" t="str">
        <f t="shared" si="53"/>
        <v>是</v>
      </c>
      <c r="T649" s="36">
        <f>IFERROR(VLOOKUP(A649,滿意度調查!$B$4:$D$570,3,FALSE),"")</f>
        <v>5</v>
      </c>
      <c r="U649" s="35" t="str">
        <f t="shared" si="54"/>
        <v>2026-06</v>
      </c>
      <c r="V649" s="38">
        <f>IF(J649="已結案",0,(使用說明!$B$7-B649)*24)</f>
        <v>0</v>
      </c>
    </row>
    <row r="650" spans="1:22">
      <c r="A650" s="32" t="s">
        <v>1190</v>
      </c>
      <c r="B650" s="33">
        <v>46185.729861111111</v>
      </c>
      <c r="C650" s="34" t="s">
        <v>478</v>
      </c>
      <c r="D650" s="34" t="s">
        <v>240</v>
      </c>
      <c r="E650" s="34" t="s">
        <v>211</v>
      </c>
      <c r="F650" s="34" t="s">
        <v>334</v>
      </c>
      <c r="G650" s="34" t="s">
        <v>242</v>
      </c>
      <c r="H650" s="34" t="s">
        <v>372</v>
      </c>
      <c r="I650" s="35" t="str">
        <f>VLOOKUP(H650,人員與團隊!$A$4:$D$27,3,FALSE)</f>
        <v>南區服務</v>
      </c>
      <c r="J650" s="34" t="s">
        <v>215</v>
      </c>
      <c r="K650" s="33">
        <v>46185.906944444447</v>
      </c>
      <c r="L650" s="33">
        <v>46185.971520891202</v>
      </c>
      <c r="M650" s="36">
        <f t="shared" si="50"/>
        <v>255.00000000349246</v>
      </c>
      <c r="N650" s="37">
        <f t="shared" si="51"/>
        <v>5.7998347221873701</v>
      </c>
      <c r="O650" s="36">
        <f>VLOOKUP(G650,SLA標準!$A$4:$C$7,2,FALSE)</f>
        <v>240</v>
      </c>
      <c r="P650" s="37">
        <f>VLOOKUP(G650,SLA標準!$A$4:$C$7,3,FALSE)</f>
        <v>24</v>
      </c>
      <c r="Q650" s="35" t="str">
        <f t="shared" si="52"/>
        <v>逾期</v>
      </c>
      <c r="R650" s="34" t="s">
        <v>47</v>
      </c>
      <c r="S650" s="35" t="str">
        <f t="shared" si="53"/>
        <v>是</v>
      </c>
      <c r="T650" s="36">
        <f>IFERROR(VLOOKUP(A650,滿意度調查!$B$4:$D$570,3,FALSE),"")</f>
        <v>3</v>
      </c>
      <c r="U650" s="35" t="str">
        <f t="shared" si="54"/>
        <v>2026-06</v>
      </c>
      <c r="V650" s="38">
        <f>IF(J650="已結案",0,(使用說明!$B$7-B650)*24)</f>
        <v>0</v>
      </c>
    </row>
    <row r="651" spans="1:22">
      <c r="A651" s="32" t="s">
        <v>1191</v>
      </c>
      <c r="B651" s="33">
        <v>46185.730555555558</v>
      </c>
      <c r="C651" s="34" t="s">
        <v>868</v>
      </c>
      <c r="D651" s="34" t="s">
        <v>218</v>
      </c>
      <c r="E651" s="34" t="s">
        <v>235</v>
      </c>
      <c r="F651" s="34" t="s">
        <v>253</v>
      </c>
      <c r="G651" s="34" t="s">
        <v>213</v>
      </c>
      <c r="H651" s="34" t="s">
        <v>285</v>
      </c>
      <c r="I651" s="35" t="str">
        <f>VLOOKUP(H651,人員與團隊!$A$4:$D$27,3,FALSE)</f>
        <v>線上服務</v>
      </c>
      <c r="J651" s="34" t="s">
        <v>215</v>
      </c>
      <c r="K651" s="33">
        <v>46186.117361111108</v>
      </c>
      <c r="L651" s="33">
        <v>46186.489714108793</v>
      </c>
      <c r="M651" s="36">
        <f t="shared" si="50"/>
        <v>556.99999999254942</v>
      </c>
      <c r="N651" s="37">
        <f t="shared" si="51"/>
        <v>18.219805277651176</v>
      </c>
      <c r="O651" s="36">
        <f>VLOOKUP(G651,SLA標準!$A$4:$C$7,2,FALSE)</f>
        <v>480</v>
      </c>
      <c r="P651" s="37">
        <f>VLOOKUP(G651,SLA標準!$A$4:$C$7,3,FALSE)</f>
        <v>48</v>
      </c>
      <c r="Q651" s="35" t="str">
        <f t="shared" si="52"/>
        <v>逾期</v>
      </c>
      <c r="R651" s="34" t="s">
        <v>47</v>
      </c>
      <c r="S651" s="35" t="str">
        <f t="shared" si="53"/>
        <v>是</v>
      </c>
      <c r="T651" s="36">
        <f>IFERROR(VLOOKUP(A651,滿意度調查!$B$4:$D$570,3,FALSE),"")</f>
        <v>4</v>
      </c>
      <c r="U651" s="35" t="str">
        <f t="shared" si="54"/>
        <v>2026-06</v>
      </c>
      <c r="V651" s="38">
        <f>IF(J651="已結案",0,(使用說明!$B$7-B651)*24)</f>
        <v>0</v>
      </c>
    </row>
    <row r="652" spans="1:22">
      <c r="A652" s="32" t="s">
        <v>1192</v>
      </c>
      <c r="B652" s="33">
        <v>46185.762499999997</v>
      </c>
      <c r="C652" s="34" t="s">
        <v>1193</v>
      </c>
      <c r="D652" s="34" t="s">
        <v>218</v>
      </c>
      <c r="E652" s="34" t="s">
        <v>211</v>
      </c>
      <c r="F652" s="34" t="s">
        <v>226</v>
      </c>
      <c r="G652" s="34" t="s">
        <v>213</v>
      </c>
      <c r="H652" s="34" t="s">
        <v>262</v>
      </c>
      <c r="I652" s="35" t="str">
        <f>VLOOKUP(H652,人員與團隊!$A$4:$D$27,3,FALSE)</f>
        <v>南區服務</v>
      </c>
      <c r="J652" s="34" t="s">
        <v>215</v>
      </c>
      <c r="K652" s="33">
        <v>46186.217361111114</v>
      </c>
      <c r="L652" s="33">
        <v>46185.936290486112</v>
      </c>
      <c r="M652" s="36">
        <f t="shared" si="50"/>
        <v>655.00000000814907</v>
      </c>
      <c r="N652" s="37">
        <f t="shared" si="51"/>
        <v>4.1709716667537577</v>
      </c>
      <c r="O652" s="36">
        <f>VLOOKUP(G652,SLA標準!$A$4:$C$7,2,FALSE)</f>
        <v>480</v>
      </c>
      <c r="P652" s="37">
        <f>VLOOKUP(G652,SLA標準!$A$4:$C$7,3,FALSE)</f>
        <v>48</v>
      </c>
      <c r="Q652" s="35" t="str">
        <f t="shared" si="52"/>
        <v>逾期</v>
      </c>
      <c r="R652" s="34" t="s">
        <v>47</v>
      </c>
      <c r="S652" s="35" t="str">
        <f t="shared" si="53"/>
        <v>是</v>
      </c>
      <c r="T652" s="36">
        <f>IFERROR(VLOOKUP(A652,滿意度調查!$B$4:$D$570,3,FALSE),"")</f>
        <v>4</v>
      </c>
      <c r="U652" s="35" t="str">
        <f t="shared" si="54"/>
        <v>2026-06</v>
      </c>
      <c r="V652" s="38">
        <f>IF(J652="已結案",0,(使用說明!$B$7-B652)*24)</f>
        <v>0</v>
      </c>
    </row>
    <row r="653" spans="1:22">
      <c r="A653" s="32" t="s">
        <v>1194</v>
      </c>
      <c r="B653" s="33">
        <v>46185.818749999999</v>
      </c>
      <c r="C653" s="34" t="s">
        <v>1195</v>
      </c>
      <c r="D653" s="34" t="s">
        <v>240</v>
      </c>
      <c r="E653" s="34" t="s">
        <v>211</v>
      </c>
      <c r="F653" s="34" t="s">
        <v>331</v>
      </c>
      <c r="G653" s="34" t="s">
        <v>221</v>
      </c>
      <c r="H653" s="34" t="s">
        <v>243</v>
      </c>
      <c r="I653" s="35" t="str">
        <f>VLOOKUP(H653,人員與團隊!$A$4:$D$27,3,FALSE)</f>
        <v>南區服務</v>
      </c>
      <c r="J653" s="34" t="s">
        <v>356</v>
      </c>
      <c r="K653" s="33">
        <v>46185.873611111114</v>
      </c>
      <c r="L653" s="33"/>
      <c r="M653" s="36">
        <f t="shared" si="50"/>
        <v>79.000000006053597</v>
      </c>
      <c r="N653" s="37" t="str">
        <f t="shared" si="51"/>
        <v/>
      </c>
      <c r="O653" s="36">
        <f>VLOOKUP(G653,SLA標準!$A$4:$C$7,2,FALSE)</f>
        <v>60</v>
      </c>
      <c r="P653" s="37">
        <f>VLOOKUP(G653,SLA標準!$A$4:$C$7,3,FALSE)</f>
        <v>8</v>
      </c>
      <c r="Q653" s="35" t="str">
        <f t="shared" si="52"/>
        <v>逾期</v>
      </c>
      <c r="R653" s="34" t="s">
        <v>47</v>
      </c>
      <c r="S653" s="35" t="str">
        <f t="shared" si="53"/>
        <v>否</v>
      </c>
      <c r="T653" s="36" t="str">
        <f>IFERROR(VLOOKUP(A653,滿意度調查!$B$4:$D$570,3,FALSE),"")</f>
        <v/>
      </c>
      <c r="U653" s="35" t="str">
        <f t="shared" si="54"/>
        <v>2026-06</v>
      </c>
      <c r="V653" s="38">
        <f>IF(J653="已結案",0,(使用說明!$B$7-B653)*24)</f>
        <v>445.35000000003492</v>
      </c>
    </row>
    <row r="654" spans="1:22">
      <c r="A654" s="32" t="s">
        <v>1196</v>
      </c>
      <c r="B654" s="33">
        <v>46185.864583333336</v>
      </c>
      <c r="C654" s="34" t="s">
        <v>614</v>
      </c>
      <c r="D654" s="34" t="s">
        <v>218</v>
      </c>
      <c r="E654" s="34" t="s">
        <v>211</v>
      </c>
      <c r="F654" s="34" t="s">
        <v>212</v>
      </c>
      <c r="G654" s="34" t="s">
        <v>213</v>
      </c>
      <c r="H654" s="34" t="s">
        <v>328</v>
      </c>
      <c r="I654" s="35" t="str">
        <f>VLOOKUP(H654,人員與團隊!$A$4:$D$27,3,FALSE)</f>
        <v>北區服務</v>
      </c>
      <c r="J654" s="34" t="s">
        <v>215</v>
      </c>
      <c r="K654" s="33">
        <v>46186.340277777781</v>
      </c>
      <c r="L654" s="33">
        <v>46186.067780138888</v>
      </c>
      <c r="M654" s="36">
        <f t="shared" si="50"/>
        <v>685.00000000116415</v>
      </c>
      <c r="N654" s="37">
        <f t="shared" si="51"/>
        <v>4.8767233332619071</v>
      </c>
      <c r="O654" s="36">
        <f>VLOOKUP(G654,SLA標準!$A$4:$C$7,2,FALSE)</f>
        <v>480</v>
      </c>
      <c r="P654" s="37">
        <f>VLOOKUP(G654,SLA標準!$A$4:$C$7,3,FALSE)</f>
        <v>48</v>
      </c>
      <c r="Q654" s="35" t="str">
        <f t="shared" si="52"/>
        <v>逾期</v>
      </c>
      <c r="R654" s="34" t="s">
        <v>47</v>
      </c>
      <c r="S654" s="35" t="str">
        <f t="shared" si="53"/>
        <v>是</v>
      </c>
      <c r="T654" s="36">
        <f>IFERROR(VLOOKUP(A654,滿意度調查!$B$4:$D$570,3,FALSE),"")</f>
        <v>4</v>
      </c>
      <c r="U654" s="35" t="str">
        <f t="shared" si="54"/>
        <v>2026-06</v>
      </c>
      <c r="V654" s="38">
        <f>IF(J654="已結案",0,(使用說明!$B$7-B654)*24)</f>
        <v>0</v>
      </c>
    </row>
    <row r="655" spans="1:22">
      <c r="A655" s="32" t="s">
        <v>1197</v>
      </c>
      <c r="B655" s="33">
        <v>46186.333333333336</v>
      </c>
      <c r="C655" s="34" t="s">
        <v>622</v>
      </c>
      <c r="D655" s="34" t="s">
        <v>225</v>
      </c>
      <c r="E655" s="34" t="s">
        <v>265</v>
      </c>
      <c r="F655" s="34" t="s">
        <v>304</v>
      </c>
      <c r="G655" s="34" t="s">
        <v>221</v>
      </c>
      <c r="H655" s="34" t="s">
        <v>315</v>
      </c>
      <c r="I655" s="35" t="str">
        <f>VLOOKUP(H655,人員與團隊!$A$4:$D$27,3,FALSE)</f>
        <v>北區服務</v>
      </c>
      <c r="J655" s="34" t="s">
        <v>215</v>
      </c>
      <c r="K655" s="33">
        <v>46186.379166666666</v>
      </c>
      <c r="L655" s="33">
        <v>46187.501077777779</v>
      </c>
      <c r="M655" s="36">
        <f t="shared" si="50"/>
        <v>65.999999995110556</v>
      </c>
      <c r="N655" s="37">
        <f t="shared" si="51"/>
        <v>28.025866666634101</v>
      </c>
      <c r="O655" s="36">
        <f>VLOOKUP(G655,SLA標準!$A$4:$C$7,2,FALSE)</f>
        <v>60</v>
      </c>
      <c r="P655" s="37">
        <f>VLOOKUP(G655,SLA標準!$A$4:$C$7,3,FALSE)</f>
        <v>8</v>
      </c>
      <c r="Q655" s="35" t="str">
        <f t="shared" si="52"/>
        <v>逾期</v>
      </c>
      <c r="R655" s="34" t="s">
        <v>47</v>
      </c>
      <c r="S655" s="35" t="str">
        <f t="shared" si="53"/>
        <v>否</v>
      </c>
      <c r="T655" s="36" t="str">
        <f>IFERROR(VLOOKUP(A655,滿意度調查!$B$4:$D$570,3,FALSE),"")</f>
        <v/>
      </c>
      <c r="U655" s="35" t="str">
        <f t="shared" si="54"/>
        <v>2026-06</v>
      </c>
      <c r="V655" s="38">
        <f>IF(J655="已結案",0,(使用說明!$B$7-B655)*24)</f>
        <v>0</v>
      </c>
    </row>
    <row r="656" spans="1:22">
      <c r="A656" s="32" t="s">
        <v>1198</v>
      </c>
      <c r="B656" s="33">
        <v>46186.356249999997</v>
      </c>
      <c r="C656" s="34" t="s">
        <v>423</v>
      </c>
      <c r="D656" s="34" t="s">
        <v>225</v>
      </c>
      <c r="E656" s="34" t="s">
        <v>245</v>
      </c>
      <c r="F656" s="34" t="s">
        <v>358</v>
      </c>
      <c r="G656" s="34" t="s">
        <v>242</v>
      </c>
      <c r="H656" s="34" t="s">
        <v>372</v>
      </c>
      <c r="I656" s="35" t="str">
        <f>VLOOKUP(H656,人員與團隊!$A$4:$D$27,3,FALSE)</f>
        <v>南區服務</v>
      </c>
      <c r="J656" s="34" t="s">
        <v>356</v>
      </c>
      <c r="K656" s="33">
        <v>46186.462500000001</v>
      </c>
      <c r="L656" s="33"/>
      <c r="M656" s="36">
        <f t="shared" si="50"/>
        <v>153.00000000628643</v>
      </c>
      <c r="N656" s="37" t="str">
        <f t="shared" si="51"/>
        <v/>
      </c>
      <c r="O656" s="36">
        <f>VLOOKUP(G656,SLA標準!$A$4:$C$7,2,FALSE)</f>
        <v>240</v>
      </c>
      <c r="P656" s="37">
        <f>VLOOKUP(G656,SLA標準!$A$4:$C$7,3,FALSE)</f>
        <v>24</v>
      </c>
      <c r="Q656" s="35" t="str">
        <f t="shared" si="52"/>
        <v>逾期</v>
      </c>
      <c r="R656" s="34" t="s">
        <v>47</v>
      </c>
      <c r="S656" s="35" t="str">
        <f t="shared" si="53"/>
        <v>否</v>
      </c>
      <c r="T656" s="36" t="str">
        <f>IFERROR(VLOOKUP(A656,滿意度調查!$B$4:$D$570,3,FALSE),"")</f>
        <v/>
      </c>
      <c r="U656" s="35" t="str">
        <f t="shared" si="54"/>
        <v>2026-06</v>
      </c>
      <c r="V656" s="38">
        <f>IF(J656="已結案",0,(使用說明!$B$7-B656)*24)</f>
        <v>432.45000000006985</v>
      </c>
    </row>
    <row r="657" spans="1:22">
      <c r="A657" s="32" t="s">
        <v>1199</v>
      </c>
      <c r="B657" s="33">
        <v>46186.359722222223</v>
      </c>
      <c r="C657" s="34" t="s">
        <v>510</v>
      </c>
      <c r="D657" s="34" t="s">
        <v>225</v>
      </c>
      <c r="E657" s="34" t="s">
        <v>230</v>
      </c>
      <c r="F657" s="34" t="s">
        <v>231</v>
      </c>
      <c r="G657" s="34" t="s">
        <v>221</v>
      </c>
      <c r="H657" s="34" t="s">
        <v>250</v>
      </c>
      <c r="I657" s="35" t="str">
        <f>VLOOKUP(H657,人員與團隊!$A$4:$D$27,3,FALSE)</f>
        <v>南區服務</v>
      </c>
      <c r="J657" s="34" t="s">
        <v>215</v>
      </c>
      <c r="K657" s="33">
        <v>46186.395138888889</v>
      </c>
      <c r="L657" s="33">
        <v>46186.771501134259</v>
      </c>
      <c r="M657" s="36">
        <f t="shared" si="50"/>
        <v>50.999999998603016</v>
      </c>
      <c r="N657" s="37">
        <f t="shared" si="51"/>
        <v>9.8826938888523728</v>
      </c>
      <c r="O657" s="36">
        <f>VLOOKUP(G657,SLA標準!$A$4:$C$7,2,FALSE)</f>
        <v>60</v>
      </c>
      <c r="P657" s="37">
        <f>VLOOKUP(G657,SLA標準!$A$4:$C$7,3,FALSE)</f>
        <v>8</v>
      </c>
      <c r="Q657" s="35" t="str">
        <f t="shared" si="52"/>
        <v>逾期</v>
      </c>
      <c r="R657" s="34" t="s">
        <v>47</v>
      </c>
      <c r="S657" s="35" t="str">
        <f t="shared" si="53"/>
        <v>是</v>
      </c>
      <c r="T657" s="36">
        <f>IFERROR(VLOOKUP(A657,滿意度調查!$B$4:$D$570,3,FALSE),"")</f>
        <v>3</v>
      </c>
      <c r="U657" s="35" t="str">
        <f t="shared" si="54"/>
        <v>2026-06</v>
      </c>
      <c r="V657" s="38">
        <f>IF(J657="已結案",0,(使用說明!$B$7-B657)*24)</f>
        <v>0</v>
      </c>
    </row>
    <row r="658" spans="1:22">
      <c r="A658" s="32" t="s">
        <v>1200</v>
      </c>
      <c r="B658" s="33">
        <v>46186.37777777778</v>
      </c>
      <c r="C658" s="34" t="s">
        <v>248</v>
      </c>
      <c r="D658" s="34" t="s">
        <v>210</v>
      </c>
      <c r="E658" s="34" t="s">
        <v>211</v>
      </c>
      <c r="F658" s="34" t="s">
        <v>226</v>
      </c>
      <c r="G658" s="34" t="s">
        <v>242</v>
      </c>
      <c r="H658" s="34" t="s">
        <v>325</v>
      </c>
      <c r="I658" s="35" t="str">
        <f>VLOOKUP(H658,人員與團隊!$A$4:$D$27,3,FALSE)</f>
        <v>線上服務</v>
      </c>
      <c r="J658" s="34" t="s">
        <v>215</v>
      </c>
      <c r="K658" s="33">
        <v>46186.45416666667</v>
      </c>
      <c r="L658" s="33">
        <v>46186.648884814815</v>
      </c>
      <c r="M658" s="36">
        <f t="shared" si="50"/>
        <v>110.00000000232831</v>
      </c>
      <c r="N658" s="37">
        <f t="shared" si="51"/>
        <v>6.5065688888425939</v>
      </c>
      <c r="O658" s="36">
        <f>VLOOKUP(G658,SLA標準!$A$4:$C$7,2,FALSE)</f>
        <v>240</v>
      </c>
      <c r="P658" s="37">
        <f>VLOOKUP(G658,SLA標準!$A$4:$C$7,3,FALSE)</f>
        <v>24</v>
      </c>
      <c r="Q658" s="35" t="str">
        <f t="shared" si="52"/>
        <v>達標</v>
      </c>
      <c r="R658" s="34" t="s">
        <v>47</v>
      </c>
      <c r="S658" s="35" t="str">
        <f t="shared" si="53"/>
        <v>是</v>
      </c>
      <c r="T658" s="36">
        <f>IFERROR(VLOOKUP(A658,滿意度調查!$B$4:$D$570,3,FALSE),"")</f>
        <v>5</v>
      </c>
      <c r="U658" s="35" t="str">
        <f t="shared" si="54"/>
        <v>2026-06</v>
      </c>
      <c r="V658" s="38">
        <f>IF(J658="已結案",0,(使用說明!$B$7-B658)*24)</f>
        <v>0</v>
      </c>
    </row>
    <row r="659" spans="1:22">
      <c r="A659" s="32" t="s">
        <v>1201</v>
      </c>
      <c r="B659" s="33">
        <v>46186.449305555558</v>
      </c>
      <c r="C659" s="34" t="s">
        <v>951</v>
      </c>
      <c r="D659" s="34" t="s">
        <v>225</v>
      </c>
      <c r="E659" s="34" t="s">
        <v>211</v>
      </c>
      <c r="F659" s="34" t="s">
        <v>331</v>
      </c>
      <c r="G659" s="34" t="s">
        <v>221</v>
      </c>
      <c r="H659" s="34" t="s">
        <v>262</v>
      </c>
      <c r="I659" s="35" t="str">
        <f>VLOOKUP(H659,人員與團隊!$A$4:$D$27,3,FALSE)</f>
        <v>南區服務</v>
      </c>
      <c r="J659" s="34" t="s">
        <v>215</v>
      </c>
      <c r="K659" s="33">
        <v>46186.460416666669</v>
      </c>
      <c r="L659" s="33">
        <v>46186.541413263891</v>
      </c>
      <c r="M659" s="36">
        <f t="shared" si="50"/>
        <v>15.999999999767169</v>
      </c>
      <c r="N659" s="37">
        <f t="shared" si="51"/>
        <v>2.2105849999934435</v>
      </c>
      <c r="O659" s="36">
        <f>VLOOKUP(G659,SLA標準!$A$4:$C$7,2,FALSE)</f>
        <v>60</v>
      </c>
      <c r="P659" s="37">
        <f>VLOOKUP(G659,SLA標準!$A$4:$C$7,3,FALSE)</f>
        <v>8</v>
      </c>
      <c r="Q659" s="35" t="str">
        <f t="shared" si="52"/>
        <v>達標</v>
      </c>
      <c r="R659" s="34" t="s">
        <v>47</v>
      </c>
      <c r="S659" s="35" t="str">
        <f t="shared" si="53"/>
        <v>否</v>
      </c>
      <c r="T659" s="36" t="str">
        <f>IFERROR(VLOOKUP(A659,滿意度調查!$B$4:$D$570,3,FALSE),"")</f>
        <v/>
      </c>
      <c r="U659" s="35" t="str">
        <f t="shared" si="54"/>
        <v>2026-06</v>
      </c>
      <c r="V659" s="38">
        <f>IF(J659="已結案",0,(使用說明!$B$7-B659)*24)</f>
        <v>0</v>
      </c>
    </row>
    <row r="660" spans="1:22">
      <c r="A660" s="32" t="s">
        <v>1202</v>
      </c>
      <c r="B660" s="33">
        <v>46186.501388888886</v>
      </c>
      <c r="C660" s="34" t="s">
        <v>893</v>
      </c>
      <c r="D660" s="34" t="s">
        <v>218</v>
      </c>
      <c r="E660" s="34" t="s">
        <v>245</v>
      </c>
      <c r="F660" s="34" t="s">
        <v>358</v>
      </c>
      <c r="G660" s="34" t="s">
        <v>213</v>
      </c>
      <c r="H660" s="34" t="s">
        <v>315</v>
      </c>
      <c r="I660" s="35" t="str">
        <f>VLOOKUP(H660,人員與團隊!$A$4:$D$27,3,FALSE)</f>
        <v>北區服務</v>
      </c>
      <c r="J660" s="34" t="s">
        <v>215</v>
      </c>
      <c r="K660" s="33">
        <v>46187.175694444442</v>
      </c>
      <c r="L660" s="33">
        <v>46189.27500814815</v>
      </c>
      <c r="M660" s="36">
        <f t="shared" si="50"/>
        <v>971.00000000093132</v>
      </c>
      <c r="N660" s="37">
        <f t="shared" si="51"/>
        <v>66.56686222233111</v>
      </c>
      <c r="O660" s="36">
        <f>VLOOKUP(G660,SLA標準!$A$4:$C$7,2,FALSE)</f>
        <v>480</v>
      </c>
      <c r="P660" s="37">
        <f>VLOOKUP(G660,SLA標準!$A$4:$C$7,3,FALSE)</f>
        <v>48</v>
      </c>
      <c r="Q660" s="35" t="str">
        <f t="shared" si="52"/>
        <v>逾期</v>
      </c>
      <c r="R660" s="34" t="s">
        <v>41</v>
      </c>
      <c r="S660" s="35" t="str">
        <f t="shared" si="53"/>
        <v>是</v>
      </c>
      <c r="T660" s="36">
        <f>IFERROR(VLOOKUP(A660,滿意度調查!$B$4:$D$570,3,FALSE),"")</f>
        <v>3</v>
      </c>
      <c r="U660" s="35" t="str">
        <f t="shared" si="54"/>
        <v>2026-06</v>
      </c>
      <c r="V660" s="38">
        <f>IF(J660="已結案",0,(使用說明!$B$7-B660)*24)</f>
        <v>0</v>
      </c>
    </row>
    <row r="661" spans="1:22">
      <c r="A661" s="32" t="s">
        <v>1203</v>
      </c>
      <c r="B661" s="33">
        <v>46186.530555555553</v>
      </c>
      <c r="C661" s="34" t="s">
        <v>824</v>
      </c>
      <c r="D661" s="34" t="s">
        <v>240</v>
      </c>
      <c r="E661" s="34" t="s">
        <v>211</v>
      </c>
      <c r="F661" s="34" t="s">
        <v>212</v>
      </c>
      <c r="G661" s="34" t="s">
        <v>350</v>
      </c>
      <c r="H661" s="34" t="s">
        <v>328</v>
      </c>
      <c r="I661" s="35" t="str">
        <f>VLOOKUP(H661,人員與團隊!$A$4:$D$27,3,FALSE)</f>
        <v>北區服務</v>
      </c>
      <c r="J661" s="34" t="s">
        <v>215</v>
      </c>
      <c r="K661" s="33">
        <v>46186.56527777778</v>
      </c>
      <c r="L661" s="33">
        <v>46186.637005636578</v>
      </c>
      <c r="M661" s="36">
        <f t="shared" si="50"/>
        <v>50.000000005820766</v>
      </c>
      <c r="N661" s="37">
        <f t="shared" si="51"/>
        <v>2.5548019445850514</v>
      </c>
      <c r="O661" s="36">
        <f>VLOOKUP(G661,SLA標準!$A$4:$C$7,2,FALSE)</f>
        <v>30</v>
      </c>
      <c r="P661" s="37">
        <f>VLOOKUP(G661,SLA標準!$A$4:$C$7,3,FALSE)</f>
        <v>4</v>
      </c>
      <c r="Q661" s="35" t="str">
        <f t="shared" si="52"/>
        <v>逾期</v>
      </c>
      <c r="R661" s="34" t="s">
        <v>41</v>
      </c>
      <c r="S661" s="35" t="str">
        <f t="shared" si="53"/>
        <v>是</v>
      </c>
      <c r="T661" s="36">
        <f>IFERROR(VLOOKUP(A661,滿意度調查!$B$4:$D$570,3,FALSE),"")</f>
        <v>3</v>
      </c>
      <c r="U661" s="35" t="str">
        <f t="shared" si="54"/>
        <v>2026-06</v>
      </c>
      <c r="V661" s="38">
        <f>IF(J661="已結案",0,(使用說明!$B$7-B661)*24)</f>
        <v>0</v>
      </c>
    </row>
    <row r="662" spans="1:22">
      <c r="A662" s="32" t="s">
        <v>1204</v>
      </c>
      <c r="B662" s="33">
        <v>46186.532638888886</v>
      </c>
      <c r="C662" s="34" t="s">
        <v>691</v>
      </c>
      <c r="D662" s="34" t="s">
        <v>218</v>
      </c>
      <c r="E662" s="34" t="s">
        <v>211</v>
      </c>
      <c r="F662" s="34" t="s">
        <v>331</v>
      </c>
      <c r="G662" s="34" t="s">
        <v>213</v>
      </c>
      <c r="H662" s="34" t="s">
        <v>274</v>
      </c>
      <c r="I662" s="35" t="str">
        <f>VLOOKUP(H662,人員與團隊!$A$4:$D$27,3,FALSE)</f>
        <v>南區服務</v>
      </c>
      <c r="J662" s="34" t="s">
        <v>275</v>
      </c>
      <c r="K662" s="33">
        <v>46186.809027777781</v>
      </c>
      <c r="L662" s="33"/>
      <c r="M662" s="36">
        <f t="shared" si="50"/>
        <v>398.00000000861473</v>
      </c>
      <c r="N662" s="37" t="str">
        <f t="shared" si="51"/>
        <v/>
      </c>
      <c r="O662" s="36">
        <f>VLOOKUP(G662,SLA標準!$A$4:$C$7,2,FALSE)</f>
        <v>480</v>
      </c>
      <c r="P662" s="37">
        <f>VLOOKUP(G662,SLA標準!$A$4:$C$7,3,FALSE)</f>
        <v>48</v>
      </c>
      <c r="Q662" s="35" t="str">
        <f t="shared" si="52"/>
        <v>逾期</v>
      </c>
      <c r="R662" s="34" t="s">
        <v>47</v>
      </c>
      <c r="S662" s="35" t="str">
        <f t="shared" si="53"/>
        <v>否</v>
      </c>
      <c r="T662" s="36" t="str">
        <f>IFERROR(VLOOKUP(A662,滿意度調查!$B$4:$D$570,3,FALSE),"")</f>
        <v/>
      </c>
      <c r="U662" s="35" t="str">
        <f t="shared" si="54"/>
        <v>2026-06</v>
      </c>
      <c r="V662" s="38">
        <f>IF(J662="已結案",0,(使用說明!$B$7-B662)*24)</f>
        <v>428.21666666673264</v>
      </c>
    </row>
    <row r="663" spans="1:22">
      <c r="A663" s="32" t="s">
        <v>1205</v>
      </c>
      <c r="B663" s="33">
        <v>46186.570138888892</v>
      </c>
      <c r="C663" s="34" t="s">
        <v>291</v>
      </c>
      <c r="D663" s="34" t="s">
        <v>210</v>
      </c>
      <c r="E663" s="34" t="s">
        <v>211</v>
      </c>
      <c r="F663" s="34" t="s">
        <v>226</v>
      </c>
      <c r="G663" s="34" t="s">
        <v>242</v>
      </c>
      <c r="H663" s="34" t="s">
        <v>285</v>
      </c>
      <c r="I663" s="35" t="str">
        <f>VLOOKUP(H663,人員與團隊!$A$4:$D$27,3,FALSE)</f>
        <v>線上服務</v>
      </c>
      <c r="J663" s="34" t="s">
        <v>215</v>
      </c>
      <c r="K663" s="33">
        <v>46186.668055555558</v>
      </c>
      <c r="L663" s="33">
        <v>46186.788924479166</v>
      </c>
      <c r="M663" s="36">
        <f t="shared" si="50"/>
        <v>140.99999999860302</v>
      </c>
      <c r="N663" s="37">
        <f t="shared" si="51"/>
        <v>5.2508541665738449</v>
      </c>
      <c r="O663" s="36">
        <f>VLOOKUP(G663,SLA標準!$A$4:$C$7,2,FALSE)</f>
        <v>240</v>
      </c>
      <c r="P663" s="37">
        <f>VLOOKUP(G663,SLA標準!$A$4:$C$7,3,FALSE)</f>
        <v>24</v>
      </c>
      <c r="Q663" s="35" t="str">
        <f t="shared" si="52"/>
        <v>達標</v>
      </c>
      <c r="R663" s="34" t="s">
        <v>47</v>
      </c>
      <c r="S663" s="35" t="str">
        <f t="shared" si="53"/>
        <v>是</v>
      </c>
      <c r="T663" s="36">
        <f>IFERROR(VLOOKUP(A663,滿意度調查!$B$4:$D$570,3,FALSE),"")</f>
        <v>4</v>
      </c>
      <c r="U663" s="35" t="str">
        <f t="shared" si="54"/>
        <v>2026-06</v>
      </c>
      <c r="V663" s="38">
        <f>IF(J663="已結案",0,(使用說明!$B$7-B663)*24)</f>
        <v>0</v>
      </c>
    </row>
    <row r="664" spans="1:22">
      <c r="A664" s="32" t="s">
        <v>1206</v>
      </c>
      <c r="B664" s="33">
        <v>46186.62777777778</v>
      </c>
      <c r="C664" s="34" t="s">
        <v>443</v>
      </c>
      <c r="D664" s="34" t="s">
        <v>218</v>
      </c>
      <c r="E664" s="34" t="s">
        <v>211</v>
      </c>
      <c r="F664" s="34" t="s">
        <v>226</v>
      </c>
      <c r="G664" s="34" t="s">
        <v>242</v>
      </c>
      <c r="H664" s="34" t="s">
        <v>262</v>
      </c>
      <c r="I664" s="35" t="str">
        <f>VLOOKUP(H664,人員與團隊!$A$4:$D$27,3,FALSE)</f>
        <v>南區服務</v>
      </c>
      <c r="J664" s="34" t="s">
        <v>275</v>
      </c>
      <c r="K664" s="33">
        <v>46186.820138888892</v>
      </c>
      <c r="L664" s="33"/>
      <c r="M664" s="36">
        <f t="shared" si="50"/>
        <v>277.00000000186265</v>
      </c>
      <c r="N664" s="37" t="str">
        <f t="shared" si="51"/>
        <v/>
      </c>
      <c r="O664" s="36">
        <f>VLOOKUP(G664,SLA標準!$A$4:$C$7,2,FALSE)</f>
        <v>240</v>
      </c>
      <c r="P664" s="37">
        <f>VLOOKUP(G664,SLA標準!$A$4:$C$7,3,FALSE)</f>
        <v>24</v>
      </c>
      <c r="Q664" s="35" t="str">
        <f t="shared" si="52"/>
        <v>逾期</v>
      </c>
      <c r="R664" s="34" t="s">
        <v>47</v>
      </c>
      <c r="S664" s="35" t="str">
        <f t="shared" si="53"/>
        <v>否</v>
      </c>
      <c r="T664" s="36" t="str">
        <f>IFERROR(VLOOKUP(A664,滿意度調查!$B$4:$D$570,3,FALSE),"")</f>
        <v/>
      </c>
      <c r="U664" s="35" t="str">
        <f t="shared" si="54"/>
        <v>2026-06</v>
      </c>
      <c r="V664" s="38">
        <f>IF(J664="已結案",0,(使用說明!$B$7-B664)*24)</f>
        <v>425.93333333329065</v>
      </c>
    </row>
    <row r="665" spans="1:22">
      <c r="A665" s="32" t="s">
        <v>1207</v>
      </c>
      <c r="B665" s="33">
        <v>46186.646527777775</v>
      </c>
      <c r="C665" s="34" t="s">
        <v>1208</v>
      </c>
      <c r="D665" s="34" t="s">
        <v>210</v>
      </c>
      <c r="E665" s="34" t="s">
        <v>219</v>
      </c>
      <c r="F665" s="34" t="s">
        <v>371</v>
      </c>
      <c r="G665" s="34" t="s">
        <v>242</v>
      </c>
      <c r="H665" s="34" t="s">
        <v>372</v>
      </c>
      <c r="I665" s="35" t="str">
        <f>VLOOKUP(H665,人員與團隊!$A$4:$D$27,3,FALSE)</f>
        <v>南區服務</v>
      </c>
      <c r="J665" s="34" t="s">
        <v>215</v>
      </c>
      <c r="K665" s="33">
        <v>46186.711111111108</v>
      </c>
      <c r="L665" s="33">
        <v>46187.004186921295</v>
      </c>
      <c r="M665" s="36">
        <f t="shared" si="50"/>
        <v>92.999999999301508</v>
      </c>
      <c r="N665" s="37">
        <f t="shared" si="51"/>
        <v>8.5838194444659166</v>
      </c>
      <c r="O665" s="36">
        <f>VLOOKUP(G665,SLA標準!$A$4:$C$7,2,FALSE)</f>
        <v>240</v>
      </c>
      <c r="P665" s="37">
        <f>VLOOKUP(G665,SLA標準!$A$4:$C$7,3,FALSE)</f>
        <v>24</v>
      </c>
      <c r="Q665" s="35" t="str">
        <f t="shared" si="52"/>
        <v>達標</v>
      </c>
      <c r="R665" s="34" t="s">
        <v>47</v>
      </c>
      <c r="S665" s="35" t="str">
        <f t="shared" si="53"/>
        <v>是</v>
      </c>
      <c r="T665" s="36">
        <f>IFERROR(VLOOKUP(A665,滿意度調查!$B$4:$D$570,3,FALSE),"")</f>
        <v>5</v>
      </c>
      <c r="U665" s="35" t="str">
        <f t="shared" si="54"/>
        <v>2026-06</v>
      </c>
      <c r="V665" s="38">
        <f>IF(J665="已結案",0,(使用說明!$B$7-B665)*24)</f>
        <v>0</v>
      </c>
    </row>
    <row r="666" spans="1:22">
      <c r="A666" s="32" t="s">
        <v>1209</v>
      </c>
      <c r="B666" s="33">
        <v>46186.664583333331</v>
      </c>
      <c r="C666" s="34" t="s">
        <v>264</v>
      </c>
      <c r="D666" s="34" t="s">
        <v>218</v>
      </c>
      <c r="E666" s="34" t="s">
        <v>265</v>
      </c>
      <c r="F666" s="34" t="s">
        <v>301</v>
      </c>
      <c r="G666" s="34" t="s">
        <v>242</v>
      </c>
      <c r="H666" s="34" t="s">
        <v>237</v>
      </c>
      <c r="I666" s="35" t="str">
        <f>VLOOKUP(H666,人員與團隊!$A$4:$D$27,3,FALSE)</f>
        <v>北區服務</v>
      </c>
      <c r="J666" s="34" t="s">
        <v>356</v>
      </c>
      <c r="K666" s="33">
        <v>46186.967361111114</v>
      </c>
      <c r="L666" s="33"/>
      <c r="M666" s="36">
        <f t="shared" si="50"/>
        <v>436.00000000675209</v>
      </c>
      <c r="N666" s="37" t="str">
        <f t="shared" si="51"/>
        <v/>
      </c>
      <c r="O666" s="36">
        <f>VLOOKUP(G666,SLA標準!$A$4:$C$7,2,FALSE)</f>
        <v>240</v>
      </c>
      <c r="P666" s="37">
        <f>VLOOKUP(G666,SLA標準!$A$4:$C$7,3,FALSE)</f>
        <v>24</v>
      </c>
      <c r="Q666" s="35" t="str">
        <f t="shared" si="52"/>
        <v>逾期</v>
      </c>
      <c r="R666" s="34" t="s">
        <v>47</v>
      </c>
      <c r="S666" s="35" t="str">
        <f t="shared" si="53"/>
        <v>否</v>
      </c>
      <c r="T666" s="36" t="str">
        <f>IFERROR(VLOOKUP(A666,滿意度調查!$B$4:$D$570,3,FALSE),"")</f>
        <v/>
      </c>
      <c r="U666" s="35" t="str">
        <f t="shared" si="54"/>
        <v>2026-06</v>
      </c>
      <c r="V666" s="38">
        <f>IF(J666="已結案",0,(使用說明!$B$7-B666)*24)</f>
        <v>425.05000000004657</v>
      </c>
    </row>
    <row r="667" spans="1:22">
      <c r="A667" s="32" t="s">
        <v>1210</v>
      </c>
      <c r="B667" s="33">
        <v>46186.67291666667</v>
      </c>
      <c r="C667" s="34" t="s">
        <v>458</v>
      </c>
      <c r="D667" s="34" t="s">
        <v>210</v>
      </c>
      <c r="E667" s="34" t="s">
        <v>230</v>
      </c>
      <c r="F667" s="34" t="s">
        <v>339</v>
      </c>
      <c r="G667" s="34" t="s">
        <v>242</v>
      </c>
      <c r="H667" s="34" t="s">
        <v>232</v>
      </c>
      <c r="I667" s="35" t="str">
        <f>VLOOKUP(H667,人員與團隊!$A$4:$D$27,3,FALSE)</f>
        <v>北區服務</v>
      </c>
      <c r="J667" s="34" t="s">
        <v>215</v>
      </c>
      <c r="K667" s="33">
        <v>46186.724305555559</v>
      </c>
      <c r="L667" s="33">
        <v>46188.381234537039</v>
      </c>
      <c r="M667" s="36">
        <f t="shared" si="50"/>
        <v>74.000000000232831</v>
      </c>
      <c r="N667" s="37">
        <f t="shared" si="51"/>
        <v>40.999628888850566</v>
      </c>
      <c r="O667" s="36">
        <f>VLOOKUP(G667,SLA標準!$A$4:$C$7,2,FALSE)</f>
        <v>240</v>
      </c>
      <c r="P667" s="37">
        <f>VLOOKUP(G667,SLA標準!$A$4:$C$7,3,FALSE)</f>
        <v>24</v>
      </c>
      <c r="Q667" s="35" t="str">
        <f t="shared" si="52"/>
        <v>逾期</v>
      </c>
      <c r="R667" s="34" t="s">
        <v>41</v>
      </c>
      <c r="S667" s="35" t="str">
        <f t="shared" si="53"/>
        <v>否</v>
      </c>
      <c r="T667" s="36" t="str">
        <f>IFERROR(VLOOKUP(A667,滿意度調查!$B$4:$D$570,3,FALSE),"")</f>
        <v/>
      </c>
      <c r="U667" s="35" t="str">
        <f t="shared" si="54"/>
        <v>2026-06</v>
      </c>
      <c r="V667" s="38">
        <f>IF(J667="已結案",0,(使用說明!$B$7-B667)*24)</f>
        <v>0</v>
      </c>
    </row>
    <row r="668" spans="1:22">
      <c r="A668" s="32" t="s">
        <v>1211</v>
      </c>
      <c r="B668" s="33">
        <v>46186.686805555553</v>
      </c>
      <c r="C668" s="34" t="s">
        <v>427</v>
      </c>
      <c r="D668" s="34" t="s">
        <v>240</v>
      </c>
      <c r="E668" s="34" t="s">
        <v>230</v>
      </c>
      <c r="F668" s="34" t="s">
        <v>272</v>
      </c>
      <c r="G668" s="34" t="s">
        <v>242</v>
      </c>
      <c r="H668" s="34" t="s">
        <v>214</v>
      </c>
      <c r="I668" s="35" t="str">
        <f>VLOOKUP(H668,人員與團隊!$A$4:$D$27,3,FALSE)</f>
        <v>北區服務</v>
      </c>
      <c r="J668" s="34" t="s">
        <v>215</v>
      </c>
      <c r="K668" s="33">
        <v>46186.902083333334</v>
      </c>
      <c r="L668" s="33">
        <v>46188.951047696763</v>
      </c>
      <c r="M668" s="36">
        <f t="shared" si="50"/>
        <v>310.00000000465661</v>
      </c>
      <c r="N668" s="37">
        <f t="shared" si="51"/>
        <v>54.341811389022041</v>
      </c>
      <c r="O668" s="36">
        <f>VLOOKUP(G668,SLA標準!$A$4:$C$7,2,FALSE)</f>
        <v>240</v>
      </c>
      <c r="P668" s="37">
        <f>VLOOKUP(G668,SLA標準!$A$4:$C$7,3,FALSE)</f>
        <v>24</v>
      </c>
      <c r="Q668" s="35" t="str">
        <f t="shared" si="52"/>
        <v>逾期</v>
      </c>
      <c r="R668" s="34" t="s">
        <v>47</v>
      </c>
      <c r="S668" s="35" t="str">
        <f t="shared" si="53"/>
        <v>是</v>
      </c>
      <c r="T668" s="36">
        <f>IFERROR(VLOOKUP(A668,滿意度調查!$B$4:$D$570,3,FALSE),"")</f>
        <v>3</v>
      </c>
      <c r="U668" s="35" t="str">
        <f t="shared" si="54"/>
        <v>2026-06</v>
      </c>
      <c r="V668" s="38">
        <f>IF(J668="已結案",0,(使用說明!$B$7-B668)*24)</f>
        <v>0</v>
      </c>
    </row>
    <row r="669" spans="1:22">
      <c r="A669" s="32" t="s">
        <v>1212</v>
      </c>
      <c r="B669" s="33">
        <v>46186.697916666664</v>
      </c>
      <c r="C669" s="34" t="s">
        <v>391</v>
      </c>
      <c r="D669" s="34" t="s">
        <v>225</v>
      </c>
      <c r="E669" s="34" t="s">
        <v>211</v>
      </c>
      <c r="F669" s="34" t="s">
        <v>334</v>
      </c>
      <c r="G669" s="34" t="s">
        <v>242</v>
      </c>
      <c r="H669" s="34" t="s">
        <v>232</v>
      </c>
      <c r="I669" s="35" t="str">
        <f>VLOOKUP(H669,人員與團隊!$A$4:$D$27,3,FALSE)</f>
        <v>北區服務</v>
      </c>
      <c r="J669" s="34" t="s">
        <v>356</v>
      </c>
      <c r="K669" s="33">
        <v>46186.806250000001</v>
      </c>
      <c r="L669" s="33"/>
      <c r="M669" s="36">
        <f t="shared" si="50"/>
        <v>156.00000000558794</v>
      </c>
      <c r="N669" s="37" t="str">
        <f t="shared" si="51"/>
        <v/>
      </c>
      <c r="O669" s="36">
        <f>VLOOKUP(G669,SLA標準!$A$4:$C$7,2,FALSE)</f>
        <v>240</v>
      </c>
      <c r="P669" s="37">
        <f>VLOOKUP(G669,SLA標準!$A$4:$C$7,3,FALSE)</f>
        <v>24</v>
      </c>
      <c r="Q669" s="35" t="str">
        <f t="shared" si="52"/>
        <v>逾期</v>
      </c>
      <c r="R669" s="34" t="s">
        <v>47</v>
      </c>
      <c r="S669" s="35" t="str">
        <f t="shared" si="53"/>
        <v>否</v>
      </c>
      <c r="T669" s="36" t="str">
        <f>IFERROR(VLOOKUP(A669,滿意度調查!$B$4:$D$570,3,FALSE),"")</f>
        <v/>
      </c>
      <c r="U669" s="35" t="str">
        <f t="shared" si="54"/>
        <v>2026-06</v>
      </c>
      <c r="V669" s="38">
        <f>IF(J669="已結案",0,(使用說明!$B$7-B669)*24)</f>
        <v>424.25000000005821</v>
      </c>
    </row>
    <row r="670" spans="1:22">
      <c r="A670" s="32" t="s">
        <v>1213</v>
      </c>
      <c r="B670" s="33">
        <v>46186.706944444442</v>
      </c>
      <c r="C670" s="34" t="s">
        <v>771</v>
      </c>
      <c r="D670" s="34" t="s">
        <v>210</v>
      </c>
      <c r="E670" s="34" t="s">
        <v>265</v>
      </c>
      <c r="F670" s="34" t="s">
        <v>266</v>
      </c>
      <c r="G670" s="34" t="s">
        <v>221</v>
      </c>
      <c r="H670" s="34" t="s">
        <v>254</v>
      </c>
      <c r="I670" s="35" t="str">
        <f>VLOOKUP(H670,人員與團隊!$A$4:$D$27,3,FALSE)</f>
        <v>線上服務</v>
      </c>
      <c r="J670" s="34" t="s">
        <v>215</v>
      </c>
      <c r="K670" s="33">
        <v>46186.717361111114</v>
      </c>
      <c r="L670" s="33">
        <v>46187.211661493056</v>
      </c>
      <c r="M670" s="36">
        <f t="shared" si="50"/>
        <v>15.000000006984919</v>
      </c>
      <c r="N670" s="37">
        <f t="shared" si="51"/>
        <v>12.11320916673867</v>
      </c>
      <c r="O670" s="36">
        <f>VLOOKUP(G670,SLA標準!$A$4:$C$7,2,FALSE)</f>
        <v>60</v>
      </c>
      <c r="P670" s="37">
        <f>VLOOKUP(G670,SLA標準!$A$4:$C$7,3,FALSE)</f>
        <v>8</v>
      </c>
      <c r="Q670" s="35" t="str">
        <f t="shared" si="52"/>
        <v>逾期</v>
      </c>
      <c r="R670" s="34" t="s">
        <v>47</v>
      </c>
      <c r="S670" s="35" t="str">
        <f t="shared" si="53"/>
        <v>是</v>
      </c>
      <c r="T670" s="36">
        <f>IFERROR(VLOOKUP(A670,滿意度調查!$B$4:$D$570,3,FALSE),"")</f>
        <v>3</v>
      </c>
      <c r="U670" s="35" t="str">
        <f t="shared" si="54"/>
        <v>2026-06</v>
      </c>
      <c r="V670" s="38">
        <f>IF(J670="已結案",0,(使用說明!$B$7-B670)*24)</f>
        <v>0</v>
      </c>
    </row>
    <row r="671" spans="1:22">
      <c r="A671" s="32" t="s">
        <v>1214</v>
      </c>
      <c r="B671" s="33">
        <v>46186.718055555553</v>
      </c>
      <c r="C671" s="34" t="s">
        <v>269</v>
      </c>
      <c r="D671" s="34" t="s">
        <v>210</v>
      </c>
      <c r="E671" s="34" t="s">
        <v>235</v>
      </c>
      <c r="F671" s="34" t="s">
        <v>241</v>
      </c>
      <c r="G671" s="34" t="s">
        <v>242</v>
      </c>
      <c r="H671" s="34" t="s">
        <v>384</v>
      </c>
      <c r="I671" s="35" t="str">
        <f>VLOOKUP(H671,人員與團隊!$A$4:$D$27,3,FALSE)</f>
        <v>線上服務</v>
      </c>
      <c r="J671" s="34" t="s">
        <v>215</v>
      </c>
      <c r="K671" s="33">
        <v>46186.783333333333</v>
      </c>
      <c r="L671" s="33">
        <v>46187.154755324074</v>
      </c>
      <c r="M671" s="36">
        <f t="shared" si="50"/>
        <v>94.000000002561137</v>
      </c>
      <c r="N671" s="37">
        <f t="shared" si="51"/>
        <v>10.480794444505591</v>
      </c>
      <c r="O671" s="36">
        <f>VLOOKUP(G671,SLA標準!$A$4:$C$7,2,FALSE)</f>
        <v>240</v>
      </c>
      <c r="P671" s="37">
        <f>VLOOKUP(G671,SLA標準!$A$4:$C$7,3,FALSE)</f>
        <v>24</v>
      </c>
      <c r="Q671" s="35" t="str">
        <f t="shared" si="52"/>
        <v>達標</v>
      </c>
      <c r="R671" s="34" t="s">
        <v>47</v>
      </c>
      <c r="S671" s="35" t="str">
        <f t="shared" si="53"/>
        <v>是</v>
      </c>
      <c r="T671" s="36">
        <f>IFERROR(VLOOKUP(A671,滿意度調查!$B$4:$D$570,3,FALSE),"")</f>
        <v>4</v>
      </c>
      <c r="U671" s="35" t="str">
        <f t="shared" si="54"/>
        <v>2026-06</v>
      </c>
      <c r="V671" s="38">
        <f>IF(J671="已結案",0,(使用說明!$B$7-B671)*24)</f>
        <v>0</v>
      </c>
    </row>
    <row r="672" spans="1:22">
      <c r="A672" s="32" t="s">
        <v>1215</v>
      </c>
      <c r="B672" s="33">
        <v>46186.822916666664</v>
      </c>
      <c r="C672" s="34" t="s">
        <v>1017</v>
      </c>
      <c r="D672" s="34" t="s">
        <v>218</v>
      </c>
      <c r="E672" s="34" t="s">
        <v>230</v>
      </c>
      <c r="F672" s="34" t="s">
        <v>272</v>
      </c>
      <c r="G672" s="34" t="s">
        <v>350</v>
      </c>
      <c r="H672" s="34" t="s">
        <v>237</v>
      </c>
      <c r="I672" s="35" t="str">
        <f>VLOOKUP(H672,人員與團隊!$A$4:$D$27,3,FALSE)</f>
        <v>北區服務</v>
      </c>
      <c r="J672" s="34" t="s">
        <v>774</v>
      </c>
      <c r="K672" s="33">
        <v>46186.856249999997</v>
      </c>
      <c r="L672" s="33"/>
      <c r="M672" s="36">
        <f t="shared" si="50"/>
        <v>47.999999999301508</v>
      </c>
      <c r="N672" s="37" t="str">
        <f t="shared" si="51"/>
        <v/>
      </c>
      <c r="O672" s="36">
        <f>VLOOKUP(G672,SLA標準!$A$4:$C$7,2,FALSE)</f>
        <v>30</v>
      </c>
      <c r="P672" s="37">
        <f>VLOOKUP(G672,SLA標準!$A$4:$C$7,3,FALSE)</f>
        <v>4</v>
      </c>
      <c r="Q672" s="35" t="str">
        <f t="shared" si="52"/>
        <v>逾期</v>
      </c>
      <c r="R672" s="34" t="s">
        <v>47</v>
      </c>
      <c r="S672" s="35" t="str">
        <f t="shared" si="53"/>
        <v>否</v>
      </c>
      <c r="T672" s="36" t="str">
        <f>IFERROR(VLOOKUP(A672,滿意度調查!$B$4:$D$570,3,FALSE),"")</f>
        <v/>
      </c>
      <c r="U672" s="35" t="str">
        <f t="shared" si="54"/>
        <v>2026-06</v>
      </c>
      <c r="V672" s="38">
        <f>IF(J672="已結案",0,(使用說明!$B$7-B672)*24)</f>
        <v>421.25000000005821</v>
      </c>
    </row>
    <row r="673" spans="1:22">
      <c r="A673" s="32" t="s">
        <v>1216</v>
      </c>
      <c r="B673" s="33">
        <v>46186.827777777777</v>
      </c>
      <c r="C673" s="34" t="s">
        <v>487</v>
      </c>
      <c r="D673" s="34" t="s">
        <v>225</v>
      </c>
      <c r="E673" s="34" t="s">
        <v>211</v>
      </c>
      <c r="F673" s="34" t="s">
        <v>226</v>
      </c>
      <c r="G673" s="34" t="s">
        <v>213</v>
      </c>
      <c r="H673" s="34" t="s">
        <v>250</v>
      </c>
      <c r="I673" s="35" t="str">
        <f>VLOOKUP(H673,人員與團隊!$A$4:$D$27,3,FALSE)</f>
        <v>南區服務</v>
      </c>
      <c r="J673" s="34" t="s">
        <v>215</v>
      </c>
      <c r="K673" s="33">
        <v>46187.038194444445</v>
      </c>
      <c r="L673" s="33">
        <v>46187.011640150464</v>
      </c>
      <c r="M673" s="36">
        <f t="shared" si="50"/>
        <v>303.00000000279397</v>
      </c>
      <c r="N673" s="37">
        <f t="shared" si="51"/>
        <v>4.4126969444914721</v>
      </c>
      <c r="O673" s="36">
        <f>VLOOKUP(G673,SLA標準!$A$4:$C$7,2,FALSE)</f>
        <v>480</v>
      </c>
      <c r="P673" s="37">
        <f>VLOOKUP(G673,SLA標準!$A$4:$C$7,3,FALSE)</f>
        <v>48</v>
      </c>
      <c r="Q673" s="35" t="str">
        <f t="shared" si="52"/>
        <v>達標</v>
      </c>
      <c r="R673" s="34" t="s">
        <v>47</v>
      </c>
      <c r="S673" s="35" t="str">
        <f t="shared" si="53"/>
        <v>是</v>
      </c>
      <c r="T673" s="36">
        <f>IFERROR(VLOOKUP(A673,滿意度調查!$B$4:$D$570,3,FALSE),"")</f>
        <v>5</v>
      </c>
      <c r="U673" s="35" t="str">
        <f t="shared" si="54"/>
        <v>2026-06</v>
      </c>
      <c r="V673" s="38">
        <f>IF(J673="已結案",0,(使用說明!$B$7-B673)*24)</f>
        <v>0</v>
      </c>
    </row>
    <row r="674" spans="1:22">
      <c r="A674" s="32" t="s">
        <v>1217</v>
      </c>
      <c r="B674" s="33">
        <v>46187.344444444447</v>
      </c>
      <c r="C674" s="34" t="s">
        <v>506</v>
      </c>
      <c r="D674" s="34" t="s">
        <v>225</v>
      </c>
      <c r="E674" s="34" t="s">
        <v>219</v>
      </c>
      <c r="F674" s="34" t="s">
        <v>257</v>
      </c>
      <c r="G674" s="34" t="s">
        <v>350</v>
      </c>
      <c r="H674" s="34" t="s">
        <v>232</v>
      </c>
      <c r="I674" s="35" t="str">
        <f>VLOOKUP(H674,人員與團隊!$A$4:$D$27,3,FALSE)</f>
        <v>北區服務</v>
      </c>
      <c r="J674" s="34" t="s">
        <v>215</v>
      </c>
      <c r="K674" s="33">
        <v>46187.355555555558</v>
      </c>
      <c r="L674" s="33">
        <v>46187.885948333336</v>
      </c>
      <c r="M674" s="36">
        <f t="shared" si="50"/>
        <v>15.999999999767169</v>
      </c>
      <c r="N674" s="37">
        <f t="shared" si="51"/>
        <v>12.996093333349563</v>
      </c>
      <c r="O674" s="36">
        <f>VLOOKUP(G674,SLA標準!$A$4:$C$7,2,FALSE)</f>
        <v>30</v>
      </c>
      <c r="P674" s="37">
        <f>VLOOKUP(G674,SLA標準!$A$4:$C$7,3,FALSE)</f>
        <v>4</v>
      </c>
      <c r="Q674" s="35" t="str">
        <f t="shared" si="52"/>
        <v>逾期</v>
      </c>
      <c r="R674" s="34" t="s">
        <v>47</v>
      </c>
      <c r="S674" s="35" t="str">
        <f t="shared" si="53"/>
        <v>是</v>
      </c>
      <c r="T674" s="36">
        <f>IFERROR(VLOOKUP(A674,滿意度調查!$B$4:$D$570,3,FALSE),"")</f>
        <v>3</v>
      </c>
      <c r="U674" s="35" t="str">
        <f t="shared" si="54"/>
        <v>2026-06</v>
      </c>
      <c r="V674" s="38">
        <f>IF(J674="已結案",0,(使用說明!$B$7-B674)*24)</f>
        <v>0</v>
      </c>
    </row>
    <row r="675" spans="1:22">
      <c r="A675" s="32" t="s">
        <v>1218</v>
      </c>
      <c r="B675" s="33">
        <v>46187.422222222223</v>
      </c>
      <c r="C675" s="34" t="s">
        <v>535</v>
      </c>
      <c r="D675" s="34" t="s">
        <v>240</v>
      </c>
      <c r="E675" s="34" t="s">
        <v>245</v>
      </c>
      <c r="F675" s="34" t="s">
        <v>246</v>
      </c>
      <c r="G675" s="34" t="s">
        <v>221</v>
      </c>
      <c r="H675" s="34" t="s">
        <v>328</v>
      </c>
      <c r="I675" s="35" t="str">
        <f>VLOOKUP(H675,人員與團隊!$A$4:$D$27,3,FALSE)</f>
        <v>北區服務</v>
      </c>
      <c r="J675" s="34" t="s">
        <v>215</v>
      </c>
      <c r="K675" s="33">
        <v>46187.48541666667</v>
      </c>
      <c r="L675" s="33">
        <v>46189.595696701392</v>
      </c>
      <c r="M675" s="36">
        <f t="shared" si="50"/>
        <v>91.000000003259629</v>
      </c>
      <c r="N675" s="37">
        <f t="shared" si="51"/>
        <v>52.163387500040699</v>
      </c>
      <c r="O675" s="36">
        <f>VLOOKUP(G675,SLA標準!$A$4:$C$7,2,FALSE)</f>
        <v>60</v>
      </c>
      <c r="P675" s="37">
        <f>VLOOKUP(G675,SLA標準!$A$4:$C$7,3,FALSE)</f>
        <v>8</v>
      </c>
      <c r="Q675" s="35" t="str">
        <f t="shared" si="52"/>
        <v>逾期</v>
      </c>
      <c r="R675" s="34" t="s">
        <v>47</v>
      </c>
      <c r="S675" s="35" t="str">
        <f t="shared" si="53"/>
        <v>否</v>
      </c>
      <c r="T675" s="36" t="str">
        <f>IFERROR(VLOOKUP(A675,滿意度調查!$B$4:$D$570,3,FALSE),"")</f>
        <v/>
      </c>
      <c r="U675" s="35" t="str">
        <f t="shared" si="54"/>
        <v>2026-06</v>
      </c>
      <c r="V675" s="38">
        <f>IF(J675="已結案",0,(使用說明!$B$7-B675)*24)</f>
        <v>0</v>
      </c>
    </row>
    <row r="676" spans="1:22">
      <c r="A676" s="32" t="s">
        <v>1219</v>
      </c>
      <c r="B676" s="33">
        <v>46187.468055555553</v>
      </c>
      <c r="C676" s="34" t="s">
        <v>1220</v>
      </c>
      <c r="D676" s="34" t="s">
        <v>225</v>
      </c>
      <c r="E676" s="34" t="s">
        <v>219</v>
      </c>
      <c r="F676" s="34" t="s">
        <v>220</v>
      </c>
      <c r="G676" s="34" t="s">
        <v>242</v>
      </c>
      <c r="H676" s="34" t="s">
        <v>361</v>
      </c>
      <c r="I676" s="35" t="str">
        <f>VLOOKUP(H676,人員與團隊!$A$4:$D$27,3,FALSE)</f>
        <v>南區服務</v>
      </c>
      <c r="J676" s="34" t="s">
        <v>215</v>
      </c>
      <c r="K676" s="33">
        <v>46187.57708333333</v>
      </c>
      <c r="L676" s="33">
        <v>46187.825311446759</v>
      </c>
      <c r="M676" s="36">
        <f t="shared" si="50"/>
        <v>156.99999999837019</v>
      </c>
      <c r="N676" s="37">
        <f t="shared" si="51"/>
        <v>8.57414138893364</v>
      </c>
      <c r="O676" s="36">
        <f>VLOOKUP(G676,SLA標準!$A$4:$C$7,2,FALSE)</f>
        <v>240</v>
      </c>
      <c r="P676" s="37">
        <f>VLOOKUP(G676,SLA標準!$A$4:$C$7,3,FALSE)</f>
        <v>24</v>
      </c>
      <c r="Q676" s="35" t="str">
        <f t="shared" si="52"/>
        <v>達標</v>
      </c>
      <c r="R676" s="34" t="s">
        <v>47</v>
      </c>
      <c r="S676" s="35" t="str">
        <f t="shared" si="53"/>
        <v>是</v>
      </c>
      <c r="T676" s="36">
        <f>IFERROR(VLOOKUP(A676,滿意度調查!$B$4:$D$570,3,FALSE),"")</f>
        <v>5</v>
      </c>
      <c r="U676" s="35" t="str">
        <f t="shared" si="54"/>
        <v>2026-06</v>
      </c>
      <c r="V676" s="38">
        <f>IF(J676="已結案",0,(使用說明!$B$7-B676)*24)</f>
        <v>0</v>
      </c>
    </row>
    <row r="677" spans="1:22">
      <c r="A677" s="32" t="s">
        <v>1221</v>
      </c>
      <c r="B677" s="33">
        <v>46187.479166666664</v>
      </c>
      <c r="C677" s="34" t="s">
        <v>629</v>
      </c>
      <c r="D677" s="34" t="s">
        <v>225</v>
      </c>
      <c r="E677" s="34" t="s">
        <v>245</v>
      </c>
      <c r="F677" s="34" t="s">
        <v>358</v>
      </c>
      <c r="G677" s="34" t="s">
        <v>242</v>
      </c>
      <c r="H677" s="34" t="s">
        <v>372</v>
      </c>
      <c r="I677" s="35" t="str">
        <f>VLOOKUP(H677,人員與團隊!$A$4:$D$27,3,FALSE)</f>
        <v>南區服務</v>
      </c>
      <c r="J677" s="34" t="s">
        <v>215</v>
      </c>
      <c r="K677" s="33">
        <v>46187.580555555556</v>
      </c>
      <c r="L677" s="33">
        <v>46189.230520138888</v>
      </c>
      <c r="M677" s="36">
        <f t="shared" si="50"/>
        <v>146.00000000442378</v>
      </c>
      <c r="N677" s="37">
        <f t="shared" si="51"/>
        <v>42.032483333372511</v>
      </c>
      <c r="O677" s="36">
        <f>VLOOKUP(G677,SLA標準!$A$4:$C$7,2,FALSE)</f>
        <v>240</v>
      </c>
      <c r="P677" s="37">
        <f>VLOOKUP(G677,SLA標準!$A$4:$C$7,3,FALSE)</f>
        <v>24</v>
      </c>
      <c r="Q677" s="35" t="str">
        <f t="shared" si="52"/>
        <v>逾期</v>
      </c>
      <c r="R677" s="34" t="s">
        <v>41</v>
      </c>
      <c r="S677" s="35" t="str">
        <f t="shared" si="53"/>
        <v>是</v>
      </c>
      <c r="T677" s="36">
        <f>IFERROR(VLOOKUP(A677,滿意度調查!$B$4:$D$570,3,FALSE),"")</f>
        <v>2</v>
      </c>
      <c r="U677" s="35" t="str">
        <f t="shared" si="54"/>
        <v>2026-06</v>
      </c>
      <c r="V677" s="38">
        <f>IF(J677="已結案",0,(使用說明!$B$7-B677)*24)</f>
        <v>0</v>
      </c>
    </row>
    <row r="678" spans="1:22">
      <c r="A678" s="32" t="s">
        <v>1222</v>
      </c>
      <c r="B678" s="33">
        <v>46187.575694444444</v>
      </c>
      <c r="C678" s="34" t="s">
        <v>786</v>
      </c>
      <c r="D678" s="34" t="s">
        <v>225</v>
      </c>
      <c r="E678" s="34" t="s">
        <v>245</v>
      </c>
      <c r="F678" s="34" t="s">
        <v>246</v>
      </c>
      <c r="G678" s="34" t="s">
        <v>242</v>
      </c>
      <c r="H678" s="34" t="s">
        <v>315</v>
      </c>
      <c r="I678" s="35" t="str">
        <f>VLOOKUP(H678,人員與團隊!$A$4:$D$27,3,FALSE)</f>
        <v>北區服務</v>
      </c>
      <c r="J678" s="34" t="s">
        <v>215</v>
      </c>
      <c r="K678" s="33">
        <v>46187.636111111111</v>
      </c>
      <c r="L678" s="33">
        <v>46189.220991087961</v>
      </c>
      <c r="M678" s="36">
        <f t="shared" si="50"/>
        <v>87.000000000698492</v>
      </c>
      <c r="N678" s="37">
        <f t="shared" si="51"/>
        <v>39.487119444413111</v>
      </c>
      <c r="O678" s="36">
        <f>VLOOKUP(G678,SLA標準!$A$4:$C$7,2,FALSE)</f>
        <v>240</v>
      </c>
      <c r="P678" s="37">
        <f>VLOOKUP(G678,SLA標準!$A$4:$C$7,3,FALSE)</f>
        <v>24</v>
      </c>
      <c r="Q678" s="35" t="str">
        <f t="shared" si="52"/>
        <v>逾期</v>
      </c>
      <c r="R678" s="34" t="s">
        <v>47</v>
      </c>
      <c r="S678" s="35" t="str">
        <f t="shared" si="53"/>
        <v>是</v>
      </c>
      <c r="T678" s="36">
        <f>IFERROR(VLOOKUP(A678,滿意度調查!$B$4:$D$570,3,FALSE),"")</f>
        <v>3</v>
      </c>
      <c r="U678" s="35" t="str">
        <f t="shared" si="54"/>
        <v>2026-06</v>
      </c>
      <c r="V678" s="38">
        <f>IF(J678="已結案",0,(使用說明!$B$7-B678)*24)</f>
        <v>0</v>
      </c>
    </row>
    <row r="679" spans="1:22">
      <c r="A679" s="32" t="s">
        <v>1223</v>
      </c>
      <c r="B679" s="33">
        <v>46187.578472222223</v>
      </c>
      <c r="C679" s="34" t="s">
        <v>1224</v>
      </c>
      <c r="D679" s="34" t="s">
        <v>225</v>
      </c>
      <c r="E679" s="34" t="s">
        <v>245</v>
      </c>
      <c r="F679" s="34" t="s">
        <v>246</v>
      </c>
      <c r="G679" s="34" t="s">
        <v>242</v>
      </c>
      <c r="H679" s="34" t="s">
        <v>267</v>
      </c>
      <c r="I679" s="35" t="str">
        <f>VLOOKUP(H679,人員與團隊!$A$4:$D$27,3,FALSE)</f>
        <v>南區服務</v>
      </c>
      <c r="J679" s="34" t="s">
        <v>215</v>
      </c>
      <c r="K679" s="33">
        <v>46188</v>
      </c>
      <c r="L679" s="33">
        <v>46189.068405208331</v>
      </c>
      <c r="M679" s="36">
        <f t="shared" si="50"/>
        <v>606.99999999837019</v>
      </c>
      <c r="N679" s="37">
        <f t="shared" si="51"/>
        <v>35.758391666575335</v>
      </c>
      <c r="O679" s="36">
        <f>VLOOKUP(G679,SLA標準!$A$4:$C$7,2,FALSE)</f>
        <v>240</v>
      </c>
      <c r="P679" s="37">
        <f>VLOOKUP(G679,SLA標準!$A$4:$C$7,3,FALSE)</f>
        <v>24</v>
      </c>
      <c r="Q679" s="35" t="str">
        <f t="shared" si="52"/>
        <v>逾期</v>
      </c>
      <c r="R679" s="34" t="s">
        <v>47</v>
      </c>
      <c r="S679" s="35" t="str">
        <f t="shared" si="53"/>
        <v>否</v>
      </c>
      <c r="T679" s="36" t="str">
        <f>IFERROR(VLOOKUP(A679,滿意度調查!$B$4:$D$570,3,FALSE),"")</f>
        <v/>
      </c>
      <c r="U679" s="35" t="str">
        <f t="shared" si="54"/>
        <v>2026-06</v>
      </c>
      <c r="V679" s="38">
        <f>IF(J679="已結案",0,(使用說明!$B$7-B679)*24)</f>
        <v>0</v>
      </c>
    </row>
    <row r="680" spans="1:22">
      <c r="A680" s="32" t="s">
        <v>1225</v>
      </c>
      <c r="B680" s="33">
        <v>46187.634722222225</v>
      </c>
      <c r="C680" s="34" t="s">
        <v>930</v>
      </c>
      <c r="D680" s="34" t="s">
        <v>210</v>
      </c>
      <c r="E680" s="34" t="s">
        <v>245</v>
      </c>
      <c r="F680" s="34" t="s">
        <v>282</v>
      </c>
      <c r="G680" s="34" t="s">
        <v>242</v>
      </c>
      <c r="H680" s="34" t="s">
        <v>305</v>
      </c>
      <c r="I680" s="35" t="str">
        <f>VLOOKUP(H680,人員與團隊!$A$4:$D$27,3,FALSE)</f>
        <v>線上服務</v>
      </c>
      <c r="J680" s="34" t="s">
        <v>215</v>
      </c>
      <c r="K680" s="33">
        <v>46187.701388888891</v>
      </c>
      <c r="L680" s="33">
        <v>46189.136578958336</v>
      </c>
      <c r="M680" s="36">
        <f t="shared" si="50"/>
        <v>95.999999998603016</v>
      </c>
      <c r="N680" s="37">
        <f t="shared" si="51"/>
        <v>36.044561666669324</v>
      </c>
      <c r="O680" s="36">
        <f>VLOOKUP(G680,SLA標準!$A$4:$C$7,2,FALSE)</f>
        <v>240</v>
      </c>
      <c r="P680" s="37">
        <f>VLOOKUP(G680,SLA標準!$A$4:$C$7,3,FALSE)</f>
        <v>24</v>
      </c>
      <c r="Q680" s="35" t="str">
        <f t="shared" si="52"/>
        <v>逾期</v>
      </c>
      <c r="R680" s="34" t="s">
        <v>47</v>
      </c>
      <c r="S680" s="35" t="str">
        <f t="shared" si="53"/>
        <v>是</v>
      </c>
      <c r="T680" s="36">
        <f>IFERROR(VLOOKUP(A680,滿意度調查!$B$4:$D$570,3,FALSE),"")</f>
        <v>3</v>
      </c>
      <c r="U680" s="35" t="str">
        <f t="shared" si="54"/>
        <v>2026-06</v>
      </c>
      <c r="V680" s="38">
        <f>IF(J680="已結案",0,(使用說明!$B$7-B680)*24)</f>
        <v>0</v>
      </c>
    </row>
    <row r="681" spans="1:22">
      <c r="A681" s="32" t="s">
        <v>1226</v>
      </c>
      <c r="B681" s="33">
        <v>46187.657638888886</v>
      </c>
      <c r="C681" s="34" t="s">
        <v>560</v>
      </c>
      <c r="D681" s="34" t="s">
        <v>225</v>
      </c>
      <c r="E681" s="34" t="s">
        <v>211</v>
      </c>
      <c r="F681" s="34" t="s">
        <v>334</v>
      </c>
      <c r="G681" s="34" t="s">
        <v>242</v>
      </c>
      <c r="H681" s="34" t="s">
        <v>279</v>
      </c>
      <c r="I681" s="35" t="str">
        <f>VLOOKUP(H681,人員與團隊!$A$4:$D$27,3,FALSE)</f>
        <v>南區服務</v>
      </c>
      <c r="J681" s="34" t="s">
        <v>215</v>
      </c>
      <c r="K681" s="33">
        <v>46187.736805555556</v>
      </c>
      <c r="L681" s="33">
        <v>46187.935354814814</v>
      </c>
      <c r="M681" s="36">
        <f t="shared" si="50"/>
        <v>114.00000000488944</v>
      </c>
      <c r="N681" s="37">
        <f t="shared" si="51"/>
        <v>6.6651822222629562</v>
      </c>
      <c r="O681" s="36">
        <f>VLOOKUP(G681,SLA標準!$A$4:$C$7,2,FALSE)</f>
        <v>240</v>
      </c>
      <c r="P681" s="37">
        <f>VLOOKUP(G681,SLA標準!$A$4:$C$7,3,FALSE)</f>
        <v>24</v>
      </c>
      <c r="Q681" s="35" t="str">
        <f t="shared" si="52"/>
        <v>達標</v>
      </c>
      <c r="R681" s="34" t="s">
        <v>47</v>
      </c>
      <c r="S681" s="35" t="str">
        <f t="shared" si="53"/>
        <v>否</v>
      </c>
      <c r="T681" s="36" t="str">
        <f>IFERROR(VLOOKUP(A681,滿意度調查!$B$4:$D$570,3,FALSE),"")</f>
        <v/>
      </c>
      <c r="U681" s="35" t="str">
        <f t="shared" si="54"/>
        <v>2026-06</v>
      </c>
      <c r="V681" s="38">
        <f>IF(J681="已結案",0,(使用說明!$B$7-B681)*24)</f>
        <v>0</v>
      </c>
    </row>
    <row r="682" spans="1:22">
      <c r="A682" s="32" t="s">
        <v>1227</v>
      </c>
      <c r="B682" s="33">
        <v>46187.662499999999</v>
      </c>
      <c r="C682" s="34" t="s">
        <v>1228</v>
      </c>
      <c r="D682" s="34" t="s">
        <v>210</v>
      </c>
      <c r="E682" s="34" t="s">
        <v>235</v>
      </c>
      <c r="F682" s="34" t="s">
        <v>253</v>
      </c>
      <c r="G682" s="34" t="s">
        <v>242</v>
      </c>
      <c r="H682" s="34" t="s">
        <v>243</v>
      </c>
      <c r="I682" s="35" t="str">
        <f>VLOOKUP(H682,人員與團隊!$A$4:$D$27,3,FALSE)</f>
        <v>南區服務</v>
      </c>
      <c r="J682" s="34" t="s">
        <v>215</v>
      </c>
      <c r="K682" s="33">
        <v>46187.746527777781</v>
      </c>
      <c r="L682" s="33">
        <v>46188.437511550925</v>
      </c>
      <c r="M682" s="36">
        <f t="shared" si="50"/>
        <v>121.00000000675209</v>
      </c>
      <c r="N682" s="37">
        <f t="shared" si="51"/>
        <v>18.600277222227305</v>
      </c>
      <c r="O682" s="36">
        <f>VLOOKUP(G682,SLA標準!$A$4:$C$7,2,FALSE)</f>
        <v>240</v>
      </c>
      <c r="P682" s="37">
        <f>VLOOKUP(G682,SLA標準!$A$4:$C$7,3,FALSE)</f>
        <v>24</v>
      </c>
      <c r="Q682" s="35" t="str">
        <f t="shared" si="52"/>
        <v>達標</v>
      </c>
      <c r="R682" s="34" t="s">
        <v>41</v>
      </c>
      <c r="S682" s="35" t="str">
        <f t="shared" si="53"/>
        <v>否</v>
      </c>
      <c r="T682" s="36" t="str">
        <f>IFERROR(VLOOKUP(A682,滿意度調查!$B$4:$D$570,3,FALSE),"")</f>
        <v/>
      </c>
      <c r="U682" s="35" t="str">
        <f t="shared" si="54"/>
        <v>2026-06</v>
      </c>
      <c r="V682" s="38">
        <f>IF(J682="已結案",0,(使用說明!$B$7-B682)*24)</f>
        <v>0</v>
      </c>
    </row>
    <row r="683" spans="1:22">
      <c r="A683" s="32" t="s">
        <v>1229</v>
      </c>
      <c r="B683" s="33">
        <v>46187.679861111108</v>
      </c>
      <c r="C683" s="34" t="s">
        <v>1230</v>
      </c>
      <c r="D683" s="34" t="s">
        <v>218</v>
      </c>
      <c r="E683" s="34" t="s">
        <v>265</v>
      </c>
      <c r="F683" s="34" t="s">
        <v>479</v>
      </c>
      <c r="G683" s="34" t="s">
        <v>213</v>
      </c>
      <c r="H683" s="34" t="s">
        <v>262</v>
      </c>
      <c r="I683" s="35" t="str">
        <f>VLOOKUP(H683,人員與團隊!$A$4:$D$27,3,FALSE)</f>
        <v>南區服務</v>
      </c>
      <c r="J683" s="34" t="s">
        <v>215</v>
      </c>
      <c r="K683" s="33">
        <v>46188.146527777775</v>
      </c>
      <c r="L683" s="33">
        <v>46188.809437511576</v>
      </c>
      <c r="M683" s="36">
        <f t="shared" si="50"/>
        <v>672.00000000069849</v>
      </c>
      <c r="N683" s="37">
        <f t="shared" si="51"/>
        <v>27.109833611233626</v>
      </c>
      <c r="O683" s="36">
        <f>VLOOKUP(G683,SLA標準!$A$4:$C$7,2,FALSE)</f>
        <v>480</v>
      </c>
      <c r="P683" s="37">
        <f>VLOOKUP(G683,SLA標準!$A$4:$C$7,3,FALSE)</f>
        <v>48</v>
      </c>
      <c r="Q683" s="35" t="str">
        <f t="shared" si="52"/>
        <v>逾期</v>
      </c>
      <c r="R683" s="34" t="s">
        <v>41</v>
      </c>
      <c r="S683" s="35" t="str">
        <f t="shared" si="53"/>
        <v>是</v>
      </c>
      <c r="T683" s="36">
        <f>IFERROR(VLOOKUP(A683,滿意度調查!$B$4:$D$570,3,FALSE),"")</f>
        <v>3</v>
      </c>
      <c r="U683" s="35" t="str">
        <f t="shared" si="54"/>
        <v>2026-06</v>
      </c>
      <c r="V683" s="38">
        <f>IF(J683="已結案",0,(使用說明!$B$7-B683)*24)</f>
        <v>0</v>
      </c>
    </row>
    <row r="684" spans="1:22">
      <c r="A684" s="32" t="s">
        <v>1231</v>
      </c>
      <c r="B684" s="33">
        <v>46187.72152777778</v>
      </c>
      <c r="C684" s="34" t="s">
        <v>691</v>
      </c>
      <c r="D684" s="34" t="s">
        <v>210</v>
      </c>
      <c r="E684" s="34" t="s">
        <v>265</v>
      </c>
      <c r="F684" s="34" t="s">
        <v>266</v>
      </c>
      <c r="G684" s="34" t="s">
        <v>213</v>
      </c>
      <c r="H684" s="34" t="s">
        <v>285</v>
      </c>
      <c r="I684" s="35" t="str">
        <f>VLOOKUP(H684,人員與團隊!$A$4:$D$27,3,FALSE)</f>
        <v>線上服務</v>
      </c>
      <c r="J684" s="34" t="s">
        <v>215</v>
      </c>
      <c r="K684" s="33">
        <v>46187.818055555559</v>
      </c>
      <c r="L684" s="33">
        <v>46188.515343113424</v>
      </c>
      <c r="M684" s="36">
        <f t="shared" si="50"/>
        <v>139.00000000256114</v>
      </c>
      <c r="N684" s="37">
        <f t="shared" si="51"/>
        <v>19.051568055467214</v>
      </c>
      <c r="O684" s="36">
        <f>VLOOKUP(G684,SLA標準!$A$4:$C$7,2,FALSE)</f>
        <v>480</v>
      </c>
      <c r="P684" s="37">
        <f>VLOOKUP(G684,SLA標準!$A$4:$C$7,3,FALSE)</f>
        <v>48</v>
      </c>
      <c r="Q684" s="35" t="str">
        <f t="shared" si="52"/>
        <v>達標</v>
      </c>
      <c r="R684" s="34" t="s">
        <v>47</v>
      </c>
      <c r="S684" s="35" t="str">
        <f t="shared" si="53"/>
        <v>否</v>
      </c>
      <c r="T684" s="36" t="str">
        <f>IFERROR(VLOOKUP(A684,滿意度調查!$B$4:$D$570,3,FALSE),"")</f>
        <v/>
      </c>
      <c r="U684" s="35" t="str">
        <f t="shared" si="54"/>
        <v>2026-06</v>
      </c>
      <c r="V684" s="38">
        <f>IF(J684="已結案",0,(使用說明!$B$7-B684)*24)</f>
        <v>0</v>
      </c>
    </row>
    <row r="685" spans="1:22">
      <c r="A685" s="32" t="s">
        <v>1232</v>
      </c>
      <c r="B685" s="33">
        <v>46187.729861111111</v>
      </c>
      <c r="C685" s="34" t="s">
        <v>1233</v>
      </c>
      <c r="D685" s="34" t="s">
        <v>225</v>
      </c>
      <c r="E685" s="34" t="s">
        <v>235</v>
      </c>
      <c r="F685" s="34" t="s">
        <v>298</v>
      </c>
      <c r="G685" s="34" t="s">
        <v>221</v>
      </c>
      <c r="H685" s="34" t="s">
        <v>384</v>
      </c>
      <c r="I685" s="35" t="str">
        <f>VLOOKUP(H685,人員與團隊!$A$4:$D$27,3,FALSE)</f>
        <v>線上服務</v>
      </c>
      <c r="J685" s="34" t="s">
        <v>356</v>
      </c>
      <c r="K685" s="33">
        <v>46187.761805555558</v>
      </c>
      <c r="L685" s="33"/>
      <c r="M685" s="36">
        <f t="shared" si="50"/>
        <v>46.000000003259629</v>
      </c>
      <c r="N685" s="37" t="str">
        <f t="shared" si="51"/>
        <v/>
      </c>
      <c r="O685" s="36">
        <f>VLOOKUP(G685,SLA標準!$A$4:$C$7,2,FALSE)</f>
        <v>60</v>
      </c>
      <c r="P685" s="37">
        <f>VLOOKUP(G685,SLA標準!$A$4:$C$7,3,FALSE)</f>
        <v>8</v>
      </c>
      <c r="Q685" s="35" t="str">
        <f t="shared" si="52"/>
        <v>逾期</v>
      </c>
      <c r="R685" s="34" t="s">
        <v>47</v>
      </c>
      <c r="S685" s="35" t="str">
        <f t="shared" si="53"/>
        <v>否</v>
      </c>
      <c r="T685" s="36" t="str">
        <f>IFERROR(VLOOKUP(A685,滿意度調查!$B$4:$D$570,3,FALSE),"")</f>
        <v/>
      </c>
      <c r="U685" s="35" t="str">
        <f t="shared" si="54"/>
        <v>2026-06</v>
      </c>
      <c r="V685" s="38">
        <f>IF(J685="已結案",0,(使用說明!$B$7-B685)*24)</f>
        <v>399.48333333333721</v>
      </c>
    </row>
    <row r="686" spans="1:22">
      <c r="A686" s="32" t="s">
        <v>1234</v>
      </c>
      <c r="B686" s="33">
        <v>46187.742361111108</v>
      </c>
      <c r="C686" s="34" t="s">
        <v>769</v>
      </c>
      <c r="D686" s="34" t="s">
        <v>210</v>
      </c>
      <c r="E686" s="34" t="s">
        <v>219</v>
      </c>
      <c r="F686" s="34" t="s">
        <v>257</v>
      </c>
      <c r="G686" s="34" t="s">
        <v>242</v>
      </c>
      <c r="H686" s="34" t="s">
        <v>214</v>
      </c>
      <c r="I686" s="35" t="str">
        <f>VLOOKUP(H686,人員與團隊!$A$4:$D$27,3,FALSE)</f>
        <v>北區服務</v>
      </c>
      <c r="J686" s="34" t="s">
        <v>215</v>
      </c>
      <c r="K686" s="33">
        <v>46187.85</v>
      </c>
      <c r="L686" s="33">
        <v>46188.541560821759</v>
      </c>
      <c r="M686" s="36">
        <f t="shared" si="50"/>
        <v>155.00000000232831</v>
      </c>
      <c r="N686" s="37">
        <f t="shared" si="51"/>
        <v>19.180793055624235</v>
      </c>
      <c r="O686" s="36">
        <f>VLOOKUP(G686,SLA標準!$A$4:$C$7,2,FALSE)</f>
        <v>240</v>
      </c>
      <c r="P686" s="37">
        <f>VLOOKUP(G686,SLA標準!$A$4:$C$7,3,FALSE)</f>
        <v>24</v>
      </c>
      <c r="Q686" s="35" t="str">
        <f t="shared" si="52"/>
        <v>達標</v>
      </c>
      <c r="R686" s="34" t="s">
        <v>41</v>
      </c>
      <c r="S686" s="35" t="str">
        <f t="shared" si="53"/>
        <v>是</v>
      </c>
      <c r="T686" s="36">
        <f>IFERROR(VLOOKUP(A686,滿意度調查!$B$4:$D$570,3,FALSE),"")</f>
        <v>4</v>
      </c>
      <c r="U686" s="35" t="str">
        <f t="shared" si="54"/>
        <v>2026-06</v>
      </c>
      <c r="V686" s="38">
        <f>IF(J686="已結案",0,(使用說明!$B$7-B686)*24)</f>
        <v>0</v>
      </c>
    </row>
    <row r="687" spans="1:22">
      <c r="A687" s="32" t="s">
        <v>1235</v>
      </c>
      <c r="B687" s="33">
        <v>46188.350694444445</v>
      </c>
      <c r="C687" s="34" t="s">
        <v>620</v>
      </c>
      <c r="D687" s="34" t="s">
        <v>210</v>
      </c>
      <c r="E687" s="34" t="s">
        <v>230</v>
      </c>
      <c r="F687" s="34" t="s">
        <v>272</v>
      </c>
      <c r="G687" s="34" t="s">
        <v>242</v>
      </c>
      <c r="H687" s="34" t="s">
        <v>262</v>
      </c>
      <c r="I687" s="35" t="str">
        <f>VLOOKUP(H687,人員與團隊!$A$4:$D$27,3,FALSE)</f>
        <v>南區服務</v>
      </c>
      <c r="J687" s="34" t="s">
        <v>215</v>
      </c>
      <c r="K687" s="33">
        <v>46188.397916666669</v>
      </c>
      <c r="L687" s="33">
        <v>46188.894353391202</v>
      </c>
      <c r="M687" s="36">
        <f t="shared" si="50"/>
        <v>68.000000001629815</v>
      </c>
      <c r="N687" s="37">
        <f t="shared" si="51"/>
        <v>13.047814722172916</v>
      </c>
      <c r="O687" s="36">
        <f>VLOOKUP(G687,SLA標準!$A$4:$C$7,2,FALSE)</f>
        <v>240</v>
      </c>
      <c r="P687" s="37">
        <f>VLOOKUP(G687,SLA標準!$A$4:$C$7,3,FALSE)</f>
        <v>24</v>
      </c>
      <c r="Q687" s="35" t="str">
        <f t="shared" si="52"/>
        <v>達標</v>
      </c>
      <c r="R687" s="34" t="s">
        <v>41</v>
      </c>
      <c r="S687" s="35" t="str">
        <f t="shared" si="53"/>
        <v>是</v>
      </c>
      <c r="T687" s="36">
        <f>IFERROR(VLOOKUP(A687,滿意度調查!$B$4:$D$570,3,FALSE),"")</f>
        <v>4</v>
      </c>
      <c r="U687" s="35" t="str">
        <f t="shared" si="54"/>
        <v>2026-06</v>
      </c>
      <c r="V687" s="38">
        <f>IF(J687="已結案",0,(使用說明!$B$7-B687)*24)</f>
        <v>0</v>
      </c>
    </row>
    <row r="688" spans="1:22">
      <c r="A688" s="32" t="s">
        <v>1236</v>
      </c>
      <c r="B688" s="33">
        <v>46188.363194444442</v>
      </c>
      <c r="C688" s="34" t="s">
        <v>966</v>
      </c>
      <c r="D688" s="34" t="s">
        <v>225</v>
      </c>
      <c r="E688" s="34" t="s">
        <v>211</v>
      </c>
      <c r="F688" s="34" t="s">
        <v>331</v>
      </c>
      <c r="G688" s="34" t="s">
        <v>221</v>
      </c>
      <c r="H688" s="34" t="s">
        <v>262</v>
      </c>
      <c r="I688" s="35" t="str">
        <f>VLOOKUP(H688,人員與團隊!$A$4:$D$27,3,FALSE)</f>
        <v>南區服務</v>
      </c>
      <c r="J688" s="34" t="s">
        <v>215</v>
      </c>
      <c r="K688" s="33">
        <v>46188.390972222223</v>
      </c>
      <c r="L688" s="33">
        <v>46188.582929918979</v>
      </c>
      <c r="M688" s="36">
        <f t="shared" si="50"/>
        <v>40.000000004656613</v>
      </c>
      <c r="N688" s="37">
        <f t="shared" si="51"/>
        <v>5.2736513888812624</v>
      </c>
      <c r="O688" s="36">
        <f>VLOOKUP(G688,SLA標準!$A$4:$C$7,2,FALSE)</f>
        <v>60</v>
      </c>
      <c r="P688" s="37">
        <f>VLOOKUP(G688,SLA標準!$A$4:$C$7,3,FALSE)</f>
        <v>8</v>
      </c>
      <c r="Q688" s="35" t="str">
        <f t="shared" si="52"/>
        <v>達標</v>
      </c>
      <c r="R688" s="34" t="s">
        <v>47</v>
      </c>
      <c r="S688" s="35" t="str">
        <f t="shared" si="53"/>
        <v>是</v>
      </c>
      <c r="T688" s="36">
        <f>IFERROR(VLOOKUP(A688,滿意度調查!$B$4:$D$570,3,FALSE),"")</f>
        <v>4</v>
      </c>
      <c r="U688" s="35" t="str">
        <f t="shared" si="54"/>
        <v>2026-06</v>
      </c>
      <c r="V688" s="38">
        <f>IF(J688="已結案",0,(使用說明!$B$7-B688)*24)</f>
        <v>0</v>
      </c>
    </row>
    <row r="689" spans="1:22">
      <c r="A689" s="32" t="s">
        <v>1237</v>
      </c>
      <c r="B689" s="33">
        <v>46188.390972222223</v>
      </c>
      <c r="C689" s="34" t="s">
        <v>754</v>
      </c>
      <c r="D689" s="34" t="s">
        <v>210</v>
      </c>
      <c r="E689" s="34" t="s">
        <v>211</v>
      </c>
      <c r="F689" s="34" t="s">
        <v>334</v>
      </c>
      <c r="G689" s="34" t="s">
        <v>242</v>
      </c>
      <c r="H689" s="34" t="s">
        <v>285</v>
      </c>
      <c r="I689" s="35" t="str">
        <f>VLOOKUP(H689,人員與團隊!$A$4:$D$27,3,FALSE)</f>
        <v>線上服務</v>
      </c>
      <c r="J689" s="34" t="s">
        <v>215</v>
      </c>
      <c r="K689" s="33">
        <v>46188.443749999999</v>
      </c>
      <c r="L689" s="33">
        <v>46188.492859351849</v>
      </c>
      <c r="M689" s="36">
        <f t="shared" si="50"/>
        <v>75.99999999627471</v>
      </c>
      <c r="N689" s="37">
        <f t="shared" si="51"/>
        <v>2.4452911110129207</v>
      </c>
      <c r="O689" s="36">
        <f>VLOOKUP(G689,SLA標準!$A$4:$C$7,2,FALSE)</f>
        <v>240</v>
      </c>
      <c r="P689" s="37">
        <f>VLOOKUP(G689,SLA標準!$A$4:$C$7,3,FALSE)</f>
        <v>24</v>
      </c>
      <c r="Q689" s="35" t="str">
        <f t="shared" si="52"/>
        <v>達標</v>
      </c>
      <c r="R689" s="34" t="s">
        <v>47</v>
      </c>
      <c r="S689" s="35" t="str">
        <f t="shared" si="53"/>
        <v>是</v>
      </c>
      <c r="T689" s="36">
        <f>IFERROR(VLOOKUP(A689,滿意度調查!$B$4:$D$570,3,FALSE),"")</f>
        <v>5</v>
      </c>
      <c r="U689" s="35" t="str">
        <f t="shared" si="54"/>
        <v>2026-06</v>
      </c>
      <c r="V689" s="38">
        <f>IF(J689="已結案",0,(使用說明!$B$7-B689)*24)</f>
        <v>0</v>
      </c>
    </row>
    <row r="690" spans="1:22">
      <c r="A690" s="32" t="s">
        <v>1238</v>
      </c>
      <c r="B690" s="33">
        <v>46188.400694444441</v>
      </c>
      <c r="C690" s="34" t="s">
        <v>789</v>
      </c>
      <c r="D690" s="34" t="s">
        <v>210</v>
      </c>
      <c r="E690" s="34" t="s">
        <v>265</v>
      </c>
      <c r="F690" s="34" t="s">
        <v>304</v>
      </c>
      <c r="G690" s="34" t="s">
        <v>221</v>
      </c>
      <c r="H690" s="34" t="s">
        <v>325</v>
      </c>
      <c r="I690" s="35" t="str">
        <f>VLOOKUP(H690,人員與團隊!$A$4:$D$27,3,FALSE)</f>
        <v>線上服務</v>
      </c>
      <c r="J690" s="34" t="s">
        <v>215</v>
      </c>
      <c r="K690" s="33">
        <v>46188.418749999997</v>
      </c>
      <c r="L690" s="33">
        <v>46189.201919375002</v>
      </c>
      <c r="M690" s="36">
        <f t="shared" si="50"/>
        <v>26.000000000931323</v>
      </c>
      <c r="N690" s="37">
        <f t="shared" si="51"/>
        <v>19.229398333467543</v>
      </c>
      <c r="O690" s="36">
        <f>VLOOKUP(G690,SLA標準!$A$4:$C$7,2,FALSE)</f>
        <v>60</v>
      </c>
      <c r="P690" s="37">
        <f>VLOOKUP(G690,SLA標準!$A$4:$C$7,3,FALSE)</f>
        <v>8</v>
      </c>
      <c r="Q690" s="35" t="str">
        <f t="shared" si="52"/>
        <v>逾期</v>
      </c>
      <c r="R690" s="34" t="s">
        <v>47</v>
      </c>
      <c r="S690" s="35" t="str">
        <f t="shared" si="53"/>
        <v>是</v>
      </c>
      <c r="T690" s="36">
        <f>IFERROR(VLOOKUP(A690,滿意度調查!$B$4:$D$570,3,FALSE),"")</f>
        <v>3</v>
      </c>
      <c r="U690" s="35" t="str">
        <f t="shared" si="54"/>
        <v>2026-06</v>
      </c>
      <c r="V690" s="38">
        <f>IF(J690="已結案",0,(使用說明!$B$7-B690)*24)</f>
        <v>0</v>
      </c>
    </row>
    <row r="691" spans="1:22">
      <c r="A691" s="32" t="s">
        <v>1239</v>
      </c>
      <c r="B691" s="33">
        <v>46188.486111111109</v>
      </c>
      <c r="C691" s="34" t="s">
        <v>964</v>
      </c>
      <c r="D691" s="34" t="s">
        <v>218</v>
      </c>
      <c r="E691" s="34" t="s">
        <v>211</v>
      </c>
      <c r="F691" s="34" t="s">
        <v>331</v>
      </c>
      <c r="G691" s="34" t="s">
        <v>350</v>
      </c>
      <c r="H691" s="34" t="s">
        <v>328</v>
      </c>
      <c r="I691" s="35" t="str">
        <f>VLOOKUP(H691,人員與團隊!$A$4:$D$27,3,FALSE)</f>
        <v>北區服務</v>
      </c>
      <c r="J691" s="34" t="s">
        <v>356</v>
      </c>
      <c r="K691" s="33">
        <v>46188.504166666666</v>
      </c>
      <c r="L691" s="33"/>
      <c r="M691" s="36">
        <f t="shared" si="50"/>
        <v>26.000000000931323</v>
      </c>
      <c r="N691" s="37" t="str">
        <f t="shared" si="51"/>
        <v/>
      </c>
      <c r="O691" s="36">
        <f>VLOOKUP(G691,SLA標準!$A$4:$C$7,2,FALSE)</f>
        <v>30</v>
      </c>
      <c r="P691" s="37">
        <f>VLOOKUP(G691,SLA標準!$A$4:$C$7,3,FALSE)</f>
        <v>4</v>
      </c>
      <c r="Q691" s="35" t="str">
        <f t="shared" si="52"/>
        <v>逾期</v>
      </c>
      <c r="R691" s="34" t="s">
        <v>47</v>
      </c>
      <c r="S691" s="35" t="str">
        <f t="shared" si="53"/>
        <v>否</v>
      </c>
      <c r="T691" s="36" t="str">
        <f>IFERROR(VLOOKUP(A691,滿意度調查!$B$4:$D$570,3,FALSE),"")</f>
        <v/>
      </c>
      <c r="U691" s="35" t="str">
        <f t="shared" si="54"/>
        <v>2026-06</v>
      </c>
      <c r="V691" s="38">
        <f>IF(J691="已結案",0,(使用說明!$B$7-B691)*24)</f>
        <v>381.33333333337214</v>
      </c>
    </row>
    <row r="692" spans="1:22">
      <c r="A692" s="32" t="s">
        <v>1240</v>
      </c>
      <c r="B692" s="33">
        <v>46188.515972222223</v>
      </c>
      <c r="C692" s="34" t="s">
        <v>344</v>
      </c>
      <c r="D692" s="34" t="s">
        <v>218</v>
      </c>
      <c r="E692" s="34" t="s">
        <v>211</v>
      </c>
      <c r="F692" s="34" t="s">
        <v>331</v>
      </c>
      <c r="G692" s="34" t="s">
        <v>242</v>
      </c>
      <c r="H692" s="34" t="s">
        <v>214</v>
      </c>
      <c r="I692" s="35" t="str">
        <f>VLOOKUP(H692,人員與團隊!$A$4:$D$27,3,FALSE)</f>
        <v>北區服務</v>
      </c>
      <c r="J692" s="34" t="s">
        <v>774</v>
      </c>
      <c r="K692" s="33">
        <v>46188.784722222219</v>
      </c>
      <c r="L692" s="33"/>
      <c r="M692" s="36">
        <f t="shared" si="50"/>
        <v>386.99999999371357</v>
      </c>
      <c r="N692" s="37" t="str">
        <f t="shared" si="51"/>
        <v/>
      </c>
      <c r="O692" s="36">
        <f>VLOOKUP(G692,SLA標準!$A$4:$C$7,2,FALSE)</f>
        <v>240</v>
      </c>
      <c r="P692" s="37">
        <f>VLOOKUP(G692,SLA標準!$A$4:$C$7,3,FALSE)</f>
        <v>24</v>
      </c>
      <c r="Q692" s="35" t="str">
        <f t="shared" si="52"/>
        <v>逾期</v>
      </c>
      <c r="R692" s="34" t="s">
        <v>47</v>
      </c>
      <c r="S692" s="35" t="str">
        <f t="shared" si="53"/>
        <v>否</v>
      </c>
      <c r="T692" s="36" t="str">
        <f>IFERROR(VLOOKUP(A692,滿意度調查!$B$4:$D$570,3,FALSE),"")</f>
        <v/>
      </c>
      <c r="U692" s="35" t="str">
        <f t="shared" si="54"/>
        <v>2026-06</v>
      </c>
      <c r="V692" s="38">
        <f>IF(J692="已結案",0,(使用說明!$B$7-B692)*24)</f>
        <v>380.6166666666395</v>
      </c>
    </row>
    <row r="693" spans="1:22">
      <c r="A693" s="32" t="s">
        <v>1241</v>
      </c>
      <c r="B693" s="33">
        <v>46188.552083333336</v>
      </c>
      <c r="C693" s="34" t="s">
        <v>354</v>
      </c>
      <c r="D693" s="34" t="s">
        <v>210</v>
      </c>
      <c r="E693" s="34" t="s">
        <v>230</v>
      </c>
      <c r="F693" s="34" t="s">
        <v>339</v>
      </c>
      <c r="G693" s="34" t="s">
        <v>242</v>
      </c>
      <c r="H693" s="34" t="s">
        <v>310</v>
      </c>
      <c r="I693" s="35" t="str">
        <f>VLOOKUP(H693,人員與團隊!$A$4:$D$27,3,FALSE)</f>
        <v>線上服務</v>
      </c>
      <c r="J693" s="34" t="s">
        <v>215</v>
      </c>
      <c r="K693" s="33">
        <v>46188.60833333333</v>
      </c>
      <c r="L693" s="33">
        <v>46189.202955046298</v>
      </c>
      <c r="M693" s="36">
        <f t="shared" si="50"/>
        <v>80.999999991618097</v>
      </c>
      <c r="N693" s="37">
        <f t="shared" si="51"/>
        <v>15.620921111083589</v>
      </c>
      <c r="O693" s="36">
        <f>VLOOKUP(G693,SLA標準!$A$4:$C$7,2,FALSE)</f>
        <v>240</v>
      </c>
      <c r="P693" s="37">
        <f>VLOOKUP(G693,SLA標準!$A$4:$C$7,3,FALSE)</f>
        <v>24</v>
      </c>
      <c r="Q693" s="35" t="str">
        <f t="shared" si="52"/>
        <v>達標</v>
      </c>
      <c r="R693" s="34" t="s">
        <v>41</v>
      </c>
      <c r="S693" s="35" t="str">
        <f t="shared" si="53"/>
        <v>是</v>
      </c>
      <c r="T693" s="36">
        <f>IFERROR(VLOOKUP(A693,滿意度調查!$B$4:$D$570,3,FALSE),"")</f>
        <v>4</v>
      </c>
      <c r="U693" s="35" t="str">
        <f t="shared" si="54"/>
        <v>2026-06</v>
      </c>
      <c r="V693" s="38">
        <f>IF(J693="已結案",0,(使用說明!$B$7-B693)*24)</f>
        <v>0</v>
      </c>
    </row>
    <row r="694" spans="1:22">
      <c r="A694" s="32" t="s">
        <v>1242</v>
      </c>
      <c r="B694" s="33">
        <v>46188.566666666666</v>
      </c>
      <c r="C694" s="34" t="s">
        <v>614</v>
      </c>
      <c r="D694" s="34" t="s">
        <v>218</v>
      </c>
      <c r="E694" s="34" t="s">
        <v>211</v>
      </c>
      <c r="F694" s="34" t="s">
        <v>212</v>
      </c>
      <c r="G694" s="34" t="s">
        <v>221</v>
      </c>
      <c r="H694" s="34" t="s">
        <v>267</v>
      </c>
      <c r="I694" s="35" t="str">
        <f>VLOOKUP(H694,人員與團隊!$A$4:$D$27,3,FALSE)</f>
        <v>南區服務</v>
      </c>
      <c r="J694" s="34" t="s">
        <v>215</v>
      </c>
      <c r="K694" s="33">
        <v>46188.62777777778</v>
      </c>
      <c r="L694" s="33">
        <v>46188.722994675925</v>
      </c>
      <c r="M694" s="36">
        <f t="shared" si="50"/>
        <v>88.000000003958121</v>
      </c>
      <c r="N694" s="37">
        <f t="shared" si="51"/>
        <v>3.751872222230304</v>
      </c>
      <c r="O694" s="36">
        <f>VLOOKUP(G694,SLA標準!$A$4:$C$7,2,FALSE)</f>
        <v>60</v>
      </c>
      <c r="P694" s="37">
        <f>VLOOKUP(G694,SLA標準!$A$4:$C$7,3,FALSE)</f>
        <v>8</v>
      </c>
      <c r="Q694" s="35" t="str">
        <f t="shared" si="52"/>
        <v>逾期</v>
      </c>
      <c r="R694" s="34" t="s">
        <v>47</v>
      </c>
      <c r="S694" s="35" t="str">
        <f t="shared" si="53"/>
        <v>是</v>
      </c>
      <c r="T694" s="36">
        <f>IFERROR(VLOOKUP(A694,滿意度調查!$B$4:$D$570,3,FALSE),"")</f>
        <v>3</v>
      </c>
      <c r="U694" s="35" t="str">
        <f t="shared" si="54"/>
        <v>2026-06</v>
      </c>
      <c r="V694" s="38">
        <f>IF(J694="已結案",0,(使用說明!$B$7-B694)*24)</f>
        <v>0</v>
      </c>
    </row>
    <row r="695" spans="1:22">
      <c r="A695" s="32" t="s">
        <v>1243</v>
      </c>
      <c r="B695" s="33">
        <v>46188.59652777778</v>
      </c>
      <c r="C695" s="34" t="s">
        <v>1244</v>
      </c>
      <c r="D695" s="34" t="s">
        <v>210</v>
      </c>
      <c r="E695" s="34" t="s">
        <v>235</v>
      </c>
      <c r="F695" s="34" t="s">
        <v>298</v>
      </c>
      <c r="G695" s="34" t="s">
        <v>242</v>
      </c>
      <c r="H695" s="34" t="s">
        <v>262</v>
      </c>
      <c r="I695" s="35" t="str">
        <f>VLOOKUP(H695,人員與團隊!$A$4:$D$27,3,FALSE)</f>
        <v>南區服務</v>
      </c>
      <c r="J695" s="34" t="s">
        <v>215</v>
      </c>
      <c r="K695" s="33">
        <v>46188.691666666666</v>
      </c>
      <c r="L695" s="33">
        <v>46188.870484490741</v>
      </c>
      <c r="M695" s="36">
        <f t="shared" si="50"/>
        <v>136.99999999604188</v>
      </c>
      <c r="N695" s="37">
        <f t="shared" si="51"/>
        <v>6.5749611110659316</v>
      </c>
      <c r="O695" s="36">
        <f>VLOOKUP(G695,SLA標準!$A$4:$C$7,2,FALSE)</f>
        <v>240</v>
      </c>
      <c r="P695" s="37">
        <f>VLOOKUP(G695,SLA標準!$A$4:$C$7,3,FALSE)</f>
        <v>24</v>
      </c>
      <c r="Q695" s="35" t="str">
        <f t="shared" si="52"/>
        <v>達標</v>
      </c>
      <c r="R695" s="34" t="s">
        <v>47</v>
      </c>
      <c r="S695" s="35" t="str">
        <f t="shared" si="53"/>
        <v>否</v>
      </c>
      <c r="T695" s="36" t="str">
        <f>IFERROR(VLOOKUP(A695,滿意度調查!$B$4:$D$570,3,FALSE),"")</f>
        <v/>
      </c>
      <c r="U695" s="35" t="str">
        <f t="shared" si="54"/>
        <v>2026-06</v>
      </c>
      <c r="V695" s="38">
        <f>IF(J695="已結案",0,(使用說明!$B$7-B695)*24)</f>
        <v>0</v>
      </c>
    </row>
    <row r="696" spans="1:22">
      <c r="A696" s="32" t="s">
        <v>1245</v>
      </c>
      <c r="B696" s="33">
        <v>46188.656944444447</v>
      </c>
      <c r="C696" s="34" t="s">
        <v>789</v>
      </c>
      <c r="D696" s="34" t="s">
        <v>240</v>
      </c>
      <c r="E696" s="34" t="s">
        <v>211</v>
      </c>
      <c r="F696" s="34" t="s">
        <v>334</v>
      </c>
      <c r="G696" s="34" t="s">
        <v>242</v>
      </c>
      <c r="H696" s="34" t="s">
        <v>372</v>
      </c>
      <c r="I696" s="35" t="str">
        <f>VLOOKUP(H696,人員與團隊!$A$4:$D$27,3,FALSE)</f>
        <v>南區服務</v>
      </c>
      <c r="J696" s="34" t="s">
        <v>215</v>
      </c>
      <c r="K696" s="33">
        <v>46188.861805555556</v>
      </c>
      <c r="L696" s="33">
        <v>46188.882978912035</v>
      </c>
      <c r="M696" s="36">
        <f t="shared" si="50"/>
        <v>294.99999999767169</v>
      </c>
      <c r="N696" s="37">
        <f t="shared" si="51"/>
        <v>5.4248272221302614</v>
      </c>
      <c r="O696" s="36">
        <f>VLOOKUP(G696,SLA標準!$A$4:$C$7,2,FALSE)</f>
        <v>240</v>
      </c>
      <c r="P696" s="37">
        <f>VLOOKUP(G696,SLA標準!$A$4:$C$7,3,FALSE)</f>
        <v>24</v>
      </c>
      <c r="Q696" s="35" t="str">
        <f t="shared" si="52"/>
        <v>逾期</v>
      </c>
      <c r="R696" s="34" t="s">
        <v>47</v>
      </c>
      <c r="S696" s="35" t="str">
        <f t="shared" si="53"/>
        <v>是</v>
      </c>
      <c r="T696" s="36">
        <f>IFERROR(VLOOKUP(A696,滿意度調查!$B$4:$D$570,3,FALSE),"")</f>
        <v>4</v>
      </c>
      <c r="U696" s="35" t="str">
        <f t="shared" si="54"/>
        <v>2026-06</v>
      </c>
      <c r="V696" s="38">
        <f>IF(J696="已結案",0,(使用說明!$B$7-B696)*24)</f>
        <v>0</v>
      </c>
    </row>
    <row r="697" spans="1:22">
      <c r="A697" s="32" t="s">
        <v>1246</v>
      </c>
      <c r="B697" s="33">
        <v>46188.676388888889</v>
      </c>
      <c r="C697" s="34" t="s">
        <v>998</v>
      </c>
      <c r="D697" s="34" t="s">
        <v>225</v>
      </c>
      <c r="E697" s="34" t="s">
        <v>211</v>
      </c>
      <c r="F697" s="34" t="s">
        <v>331</v>
      </c>
      <c r="G697" s="34" t="s">
        <v>242</v>
      </c>
      <c r="H697" s="34" t="s">
        <v>214</v>
      </c>
      <c r="I697" s="35" t="str">
        <f>VLOOKUP(H697,人員與團隊!$A$4:$D$27,3,FALSE)</f>
        <v>北區服務</v>
      </c>
      <c r="J697" s="34" t="s">
        <v>215</v>
      </c>
      <c r="K697" s="33">
        <v>46188.804166666669</v>
      </c>
      <c r="L697" s="33">
        <v>46188.903224733796</v>
      </c>
      <c r="M697" s="36">
        <f t="shared" si="50"/>
        <v>184.00000000256114</v>
      </c>
      <c r="N697" s="37">
        <f t="shared" si="51"/>
        <v>5.4440602777758613</v>
      </c>
      <c r="O697" s="36">
        <f>VLOOKUP(G697,SLA標準!$A$4:$C$7,2,FALSE)</f>
        <v>240</v>
      </c>
      <c r="P697" s="37">
        <f>VLOOKUP(G697,SLA標準!$A$4:$C$7,3,FALSE)</f>
        <v>24</v>
      </c>
      <c r="Q697" s="35" t="str">
        <f t="shared" si="52"/>
        <v>達標</v>
      </c>
      <c r="R697" s="34" t="s">
        <v>47</v>
      </c>
      <c r="S697" s="35" t="str">
        <f t="shared" si="53"/>
        <v>否</v>
      </c>
      <c r="T697" s="36" t="str">
        <f>IFERROR(VLOOKUP(A697,滿意度調查!$B$4:$D$570,3,FALSE),"")</f>
        <v/>
      </c>
      <c r="U697" s="35" t="str">
        <f t="shared" si="54"/>
        <v>2026-06</v>
      </c>
      <c r="V697" s="38">
        <f>IF(J697="已結案",0,(使用說明!$B$7-B697)*24)</f>
        <v>0</v>
      </c>
    </row>
    <row r="698" spans="1:22">
      <c r="A698" s="32" t="s">
        <v>1247</v>
      </c>
      <c r="B698" s="33">
        <v>46188.70416666667</v>
      </c>
      <c r="C698" s="34" t="s">
        <v>252</v>
      </c>
      <c r="D698" s="34" t="s">
        <v>218</v>
      </c>
      <c r="E698" s="34" t="s">
        <v>211</v>
      </c>
      <c r="F698" s="34" t="s">
        <v>331</v>
      </c>
      <c r="G698" s="34" t="s">
        <v>221</v>
      </c>
      <c r="H698" s="34" t="s">
        <v>408</v>
      </c>
      <c r="I698" s="35" t="str">
        <f>VLOOKUP(H698,人員與團隊!$A$4:$D$27,3,FALSE)</f>
        <v>線上服務</v>
      </c>
      <c r="J698" s="34" t="s">
        <v>215</v>
      </c>
      <c r="K698" s="33">
        <v>46188.767361111109</v>
      </c>
      <c r="L698" s="33">
        <v>46188.817950219905</v>
      </c>
      <c r="M698" s="36">
        <f t="shared" si="50"/>
        <v>90.99999999278225</v>
      </c>
      <c r="N698" s="37">
        <f t="shared" si="51"/>
        <v>2.7308052776497789</v>
      </c>
      <c r="O698" s="36">
        <f>VLOOKUP(G698,SLA標準!$A$4:$C$7,2,FALSE)</f>
        <v>60</v>
      </c>
      <c r="P698" s="37">
        <f>VLOOKUP(G698,SLA標準!$A$4:$C$7,3,FALSE)</f>
        <v>8</v>
      </c>
      <c r="Q698" s="35" t="str">
        <f t="shared" si="52"/>
        <v>逾期</v>
      </c>
      <c r="R698" s="34" t="s">
        <v>47</v>
      </c>
      <c r="S698" s="35" t="str">
        <f t="shared" si="53"/>
        <v>是</v>
      </c>
      <c r="T698" s="36">
        <f>IFERROR(VLOOKUP(A698,滿意度調查!$B$4:$D$570,3,FALSE),"")</f>
        <v>4</v>
      </c>
      <c r="U698" s="35" t="str">
        <f t="shared" si="54"/>
        <v>2026-06</v>
      </c>
      <c r="V698" s="38">
        <f>IF(J698="已結案",0,(使用說明!$B$7-B698)*24)</f>
        <v>0</v>
      </c>
    </row>
    <row r="699" spans="1:22">
      <c r="A699" s="32" t="s">
        <v>1248</v>
      </c>
      <c r="B699" s="33">
        <v>46188.760416666664</v>
      </c>
      <c r="C699" s="34" t="s">
        <v>376</v>
      </c>
      <c r="D699" s="34" t="s">
        <v>225</v>
      </c>
      <c r="E699" s="34" t="s">
        <v>211</v>
      </c>
      <c r="F699" s="34" t="s">
        <v>212</v>
      </c>
      <c r="G699" s="34" t="s">
        <v>242</v>
      </c>
      <c r="H699" s="34" t="s">
        <v>237</v>
      </c>
      <c r="I699" s="35" t="str">
        <f>VLOOKUP(H699,人員與團隊!$A$4:$D$27,3,FALSE)</f>
        <v>北區服務</v>
      </c>
      <c r="J699" s="34" t="s">
        <v>356</v>
      </c>
      <c r="K699" s="33">
        <v>46188.85</v>
      </c>
      <c r="L699" s="33"/>
      <c r="M699" s="36">
        <f t="shared" si="50"/>
        <v>129.00000000139698</v>
      </c>
      <c r="N699" s="37" t="str">
        <f t="shared" si="51"/>
        <v/>
      </c>
      <c r="O699" s="36">
        <f>VLOOKUP(G699,SLA標準!$A$4:$C$7,2,FALSE)</f>
        <v>240</v>
      </c>
      <c r="P699" s="37">
        <f>VLOOKUP(G699,SLA標準!$A$4:$C$7,3,FALSE)</f>
        <v>24</v>
      </c>
      <c r="Q699" s="35" t="str">
        <f t="shared" si="52"/>
        <v>逾期</v>
      </c>
      <c r="R699" s="34" t="s">
        <v>47</v>
      </c>
      <c r="S699" s="35" t="str">
        <f t="shared" si="53"/>
        <v>否</v>
      </c>
      <c r="T699" s="36" t="str">
        <f>IFERROR(VLOOKUP(A699,滿意度調查!$B$4:$D$570,3,FALSE),"")</f>
        <v/>
      </c>
      <c r="U699" s="35" t="str">
        <f t="shared" si="54"/>
        <v>2026-06</v>
      </c>
      <c r="V699" s="38">
        <f>IF(J699="已結案",0,(使用說明!$B$7-B699)*24)</f>
        <v>374.75000000005821</v>
      </c>
    </row>
    <row r="700" spans="1:22">
      <c r="A700" s="32" t="s">
        <v>1249</v>
      </c>
      <c r="B700" s="33">
        <v>46188.772916666669</v>
      </c>
      <c r="C700" s="34" t="s">
        <v>1250</v>
      </c>
      <c r="D700" s="34" t="s">
        <v>218</v>
      </c>
      <c r="E700" s="34" t="s">
        <v>230</v>
      </c>
      <c r="F700" s="34" t="s">
        <v>272</v>
      </c>
      <c r="G700" s="34" t="s">
        <v>242</v>
      </c>
      <c r="H700" s="34" t="s">
        <v>279</v>
      </c>
      <c r="I700" s="35" t="str">
        <f>VLOOKUP(H700,人員與團隊!$A$4:$D$27,3,FALSE)</f>
        <v>南區服務</v>
      </c>
      <c r="J700" s="34" t="s">
        <v>215</v>
      </c>
      <c r="K700" s="33">
        <v>46189.020138888889</v>
      </c>
      <c r="L700" s="33">
        <v>46190.076062187502</v>
      </c>
      <c r="M700" s="36">
        <f t="shared" si="50"/>
        <v>355.99999999743886</v>
      </c>
      <c r="N700" s="37">
        <f t="shared" si="51"/>
        <v>31.275492499989923</v>
      </c>
      <c r="O700" s="36">
        <f>VLOOKUP(G700,SLA標準!$A$4:$C$7,2,FALSE)</f>
        <v>240</v>
      </c>
      <c r="P700" s="37">
        <f>VLOOKUP(G700,SLA標準!$A$4:$C$7,3,FALSE)</f>
        <v>24</v>
      </c>
      <c r="Q700" s="35" t="str">
        <f t="shared" si="52"/>
        <v>逾期</v>
      </c>
      <c r="R700" s="34" t="s">
        <v>47</v>
      </c>
      <c r="S700" s="35" t="str">
        <f t="shared" si="53"/>
        <v>是</v>
      </c>
      <c r="T700" s="36">
        <f>IFERROR(VLOOKUP(A700,滿意度調查!$B$4:$D$570,3,FALSE),"")</f>
        <v>3</v>
      </c>
      <c r="U700" s="35" t="str">
        <f t="shared" si="54"/>
        <v>2026-06</v>
      </c>
      <c r="V700" s="38">
        <f>IF(J700="已結案",0,(使用說明!$B$7-B700)*24)</f>
        <v>0</v>
      </c>
    </row>
    <row r="701" spans="1:22">
      <c r="A701" s="32" t="s">
        <v>1251</v>
      </c>
      <c r="B701" s="33">
        <v>46188.802777777775</v>
      </c>
      <c r="C701" s="34" t="s">
        <v>368</v>
      </c>
      <c r="D701" s="34" t="s">
        <v>210</v>
      </c>
      <c r="E701" s="34" t="s">
        <v>265</v>
      </c>
      <c r="F701" s="34" t="s">
        <v>266</v>
      </c>
      <c r="G701" s="34" t="s">
        <v>242</v>
      </c>
      <c r="H701" s="34" t="s">
        <v>325</v>
      </c>
      <c r="I701" s="35" t="str">
        <f>VLOOKUP(H701,人員與團隊!$A$4:$D$27,3,FALSE)</f>
        <v>線上服務</v>
      </c>
      <c r="J701" s="34" t="s">
        <v>215</v>
      </c>
      <c r="K701" s="33">
        <v>46188.828472222223</v>
      </c>
      <c r="L701" s="33">
        <v>46189.439595497686</v>
      </c>
      <c r="M701" s="36">
        <f t="shared" si="50"/>
        <v>37.000000005355105</v>
      </c>
      <c r="N701" s="37">
        <f t="shared" si="51"/>
        <v>15.283625277865212</v>
      </c>
      <c r="O701" s="36">
        <f>VLOOKUP(G701,SLA標準!$A$4:$C$7,2,FALSE)</f>
        <v>240</v>
      </c>
      <c r="P701" s="37">
        <f>VLOOKUP(G701,SLA標準!$A$4:$C$7,3,FALSE)</f>
        <v>24</v>
      </c>
      <c r="Q701" s="35" t="str">
        <f t="shared" si="52"/>
        <v>達標</v>
      </c>
      <c r="R701" s="34" t="s">
        <v>47</v>
      </c>
      <c r="S701" s="35" t="str">
        <f t="shared" si="53"/>
        <v>是</v>
      </c>
      <c r="T701" s="36">
        <f>IFERROR(VLOOKUP(A701,滿意度調查!$B$4:$D$570,3,FALSE),"")</f>
        <v>5</v>
      </c>
      <c r="U701" s="35" t="str">
        <f t="shared" si="54"/>
        <v>2026-06</v>
      </c>
      <c r="V701" s="38">
        <f>IF(J701="已結案",0,(使用說明!$B$7-B701)*24)</f>
        <v>0</v>
      </c>
    </row>
    <row r="702" spans="1:22">
      <c r="A702" s="32" t="s">
        <v>1252</v>
      </c>
      <c r="B702" s="33">
        <v>46188.868055555555</v>
      </c>
      <c r="C702" s="34" t="s">
        <v>576</v>
      </c>
      <c r="D702" s="34" t="s">
        <v>225</v>
      </c>
      <c r="E702" s="34" t="s">
        <v>211</v>
      </c>
      <c r="F702" s="34" t="s">
        <v>226</v>
      </c>
      <c r="G702" s="34" t="s">
        <v>242</v>
      </c>
      <c r="H702" s="34" t="s">
        <v>372</v>
      </c>
      <c r="I702" s="35" t="str">
        <f>VLOOKUP(H702,人員與團隊!$A$4:$D$27,3,FALSE)</f>
        <v>南區服務</v>
      </c>
      <c r="J702" s="34" t="s">
        <v>215</v>
      </c>
      <c r="K702" s="33">
        <v>46188.995138888888</v>
      </c>
      <c r="L702" s="33">
        <v>46189.155929004628</v>
      </c>
      <c r="M702" s="36">
        <f t="shared" si="50"/>
        <v>182.99999999930151</v>
      </c>
      <c r="N702" s="37">
        <f t="shared" si="51"/>
        <v>6.9089627777575515</v>
      </c>
      <c r="O702" s="36">
        <f>VLOOKUP(G702,SLA標準!$A$4:$C$7,2,FALSE)</f>
        <v>240</v>
      </c>
      <c r="P702" s="37">
        <f>VLOOKUP(G702,SLA標準!$A$4:$C$7,3,FALSE)</f>
        <v>24</v>
      </c>
      <c r="Q702" s="35" t="str">
        <f t="shared" si="52"/>
        <v>達標</v>
      </c>
      <c r="R702" s="34" t="s">
        <v>47</v>
      </c>
      <c r="S702" s="35" t="str">
        <f t="shared" si="53"/>
        <v>是</v>
      </c>
      <c r="T702" s="36">
        <f>IFERROR(VLOOKUP(A702,滿意度調查!$B$4:$D$570,3,FALSE),"")</f>
        <v>5</v>
      </c>
      <c r="U702" s="35" t="str">
        <f t="shared" si="54"/>
        <v>2026-06</v>
      </c>
      <c r="V702" s="38">
        <f>IF(J702="已結案",0,(使用說明!$B$7-B702)*24)</f>
        <v>0</v>
      </c>
    </row>
    <row r="703" spans="1:22">
      <c r="A703" s="32" t="s">
        <v>1253</v>
      </c>
      <c r="B703" s="33">
        <v>46189.42291666667</v>
      </c>
      <c r="C703" s="34" t="s">
        <v>1254</v>
      </c>
      <c r="D703" s="34" t="s">
        <v>210</v>
      </c>
      <c r="E703" s="34" t="s">
        <v>245</v>
      </c>
      <c r="F703" s="34" t="s">
        <v>358</v>
      </c>
      <c r="G703" s="34" t="s">
        <v>242</v>
      </c>
      <c r="H703" s="34" t="s">
        <v>254</v>
      </c>
      <c r="I703" s="35" t="str">
        <f>VLOOKUP(H703,人員與團隊!$A$4:$D$27,3,FALSE)</f>
        <v>線上服務</v>
      </c>
      <c r="J703" s="34" t="s">
        <v>215</v>
      </c>
      <c r="K703" s="33">
        <v>46189.513888888891</v>
      </c>
      <c r="L703" s="33">
        <v>46191.180363125</v>
      </c>
      <c r="M703" s="36">
        <f t="shared" si="50"/>
        <v>130.99999999743886</v>
      </c>
      <c r="N703" s="37">
        <f t="shared" si="51"/>
        <v>42.17871499992907</v>
      </c>
      <c r="O703" s="36">
        <f>VLOOKUP(G703,SLA標準!$A$4:$C$7,2,FALSE)</f>
        <v>240</v>
      </c>
      <c r="P703" s="37">
        <f>VLOOKUP(G703,SLA標準!$A$4:$C$7,3,FALSE)</f>
        <v>24</v>
      </c>
      <c r="Q703" s="35" t="str">
        <f t="shared" si="52"/>
        <v>逾期</v>
      </c>
      <c r="R703" s="34" t="s">
        <v>47</v>
      </c>
      <c r="S703" s="35" t="str">
        <f t="shared" si="53"/>
        <v>是</v>
      </c>
      <c r="T703" s="36">
        <f>IFERROR(VLOOKUP(A703,滿意度調查!$B$4:$D$570,3,FALSE),"")</f>
        <v>3</v>
      </c>
      <c r="U703" s="35" t="str">
        <f t="shared" si="54"/>
        <v>2026-06</v>
      </c>
      <c r="V703" s="38">
        <f>IF(J703="已結案",0,(使用說明!$B$7-B703)*24)</f>
        <v>0</v>
      </c>
    </row>
    <row r="704" spans="1:22">
      <c r="A704" s="32" t="s">
        <v>1255</v>
      </c>
      <c r="B704" s="33">
        <v>46189.445833333331</v>
      </c>
      <c r="C704" s="34" t="s">
        <v>642</v>
      </c>
      <c r="D704" s="34" t="s">
        <v>210</v>
      </c>
      <c r="E704" s="34" t="s">
        <v>211</v>
      </c>
      <c r="F704" s="34" t="s">
        <v>226</v>
      </c>
      <c r="G704" s="34" t="s">
        <v>221</v>
      </c>
      <c r="H704" s="34" t="s">
        <v>310</v>
      </c>
      <c r="I704" s="35" t="str">
        <f>VLOOKUP(H704,人員與團隊!$A$4:$D$27,3,FALSE)</f>
        <v>線上服務</v>
      </c>
      <c r="J704" s="34" t="s">
        <v>215</v>
      </c>
      <c r="K704" s="33">
        <v>46189.461111111108</v>
      </c>
      <c r="L704" s="33">
        <v>46189.667254004627</v>
      </c>
      <c r="M704" s="36">
        <f t="shared" si="50"/>
        <v>21.999999998370185</v>
      </c>
      <c r="N704" s="37">
        <f t="shared" si="51"/>
        <v>5.314096111105755</v>
      </c>
      <c r="O704" s="36">
        <f>VLOOKUP(G704,SLA標準!$A$4:$C$7,2,FALSE)</f>
        <v>60</v>
      </c>
      <c r="P704" s="37">
        <f>VLOOKUP(G704,SLA標準!$A$4:$C$7,3,FALSE)</f>
        <v>8</v>
      </c>
      <c r="Q704" s="35" t="str">
        <f t="shared" si="52"/>
        <v>達標</v>
      </c>
      <c r="R704" s="34" t="s">
        <v>47</v>
      </c>
      <c r="S704" s="35" t="str">
        <f t="shared" si="53"/>
        <v>是</v>
      </c>
      <c r="T704" s="36">
        <f>IFERROR(VLOOKUP(A704,滿意度調查!$B$4:$D$570,3,FALSE),"")</f>
        <v>5</v>
      </c>
      <c r="U704" s="35" t="str">
        <f t="shared" si="54"/>
        <v>2026-06</v>
      </c>
      <c r="V704" s="38">
        <f>IF(J704="已結案",0,(使用說明!$B$7-B704)*24)</f>
        <v>0</v>
      </c>
    </row>
    <row r="705" spans="1:22">
      <c r="A705" s="32" t="s">
        <v>1256</v>
      </c>
      <c r="B705" s="33">
        <v>46189.452777777777</v>
      </c>
      <c r="C705" s="34" t="s">
        <v>467</v>
      </c>
      <c r="D705" s="34" t="s">
        <v>210</v>
      </c>
      <c r="E705" s="34" t="s">
        <v>245</v>
      </c>
      <c r="F705" s="34" t="s">
        <v>358</v>
      </c>
      <c r="G705" s="34" t="s">
        <v>242</v>
      </c>
      <c r="H705" s="34" t="s">
        <v>279</v>
      </c>
      <c r="I705" s="35" t="str">
        <f>VLOOKUP(H705,人員與團隊!$A$4:$D$27,3,FALSE)</f>
        <v>南區服務</v>
      </c>
      <c r="J705" s="34" t="s">
        <v>215</v>
      </c>
      <c r="K705" s="33">
        <v>46189.51458333333</v>
      </c>
      <c r="L705" s="33">
        <v>46190.238089606479</v>
      </c>
      <c r="M705" s="36">
        <f t="shared" si="50"/>
        <v>88.999999996740371</v>
      </c>
      <c r="N705" s="37">
        <f t="shared" si="51"/>
        <v>18.847483888850547</v>
      </c>
      <c r="O705" s="36">
        <f>VLOOKUP(G705,SLA標準!$A$4:$C$7,2,FALSE)</f>
        <v>240</v>
      </c>
      <c r="P705" s="37">
        <f>VLOOKUP(G705,SLA標準!$A$4:$C$7,3,FALSE)</f>
        <v>24</v>
      </c>
      <c r="Q705" s="35" t="str">
        <f t="shared" si="52"/>
        <v>達標</v>
      </c>
      <c r="R705" s="34" t="s">
        <v>47</v>
      </c>
      <c r="S705" s="35" t="str">
        <f t="shared" si="53"/>
        <v>是</v>
      </c>
      <c r="T705" s="36">
        <f>IFERROR(VLOOKUP(A705,滿意度調查!$B$4:$D$570,3,FALSE),"")</f>
        <v>5</v>
      </c>
      <c r="U705" s="35" t="str">
        <f t="shared" si="54"/>
        <v>2026-06</v>
      </c>
      <c r="V705" s="38">
        <f>IF(J705="已結案",0,(使用說明!$B$7-B705)*24)</f>
        <v>0</v>
      </c>
    </row>
    <row r="706" spans="1:22">
      <c r="A706" s="32" t="s">
        <v>1257</v>
      </c>
      <c r="B706" s="33">
        <v>46189.479861111111</v>
      </c>
      <c r="C706" s="34" t="s">
        <v>697</v>
      </c>
      <c r="D706" s="34" t="s">
        <v>210</v>
      </c>
      <c r="E706" s="34" t="s">
        <v>211</v>
      </c>
      <c r="F706" s="34" t="s">
        <v>331</v>
      </c>
      <c r="G706" s="34" t="s">
        <v>242</v>
      </c>
      <c r="H706" s="34" t="s">
        <v>250</v>
      </c>
      <c r="I706" s="35" t="str">
        <f>VLOOKUP(H706,人員與團隊!$A$4:$D$27,3,FALSE)</f>
        <v>南區服務</v>
      </c>
      <c r="J706" s="34" t="s">
        <v>215</v>
      </c>
      <c r="K706" s="33">
        <v>46189.55972222222</v>
      </c>
      <c r="L706" s="33">
        <v>46189.70329662037</v>
      </c>
      <c r="M706" s="36">
        <f t="shared" si="50"/>
        <v>114.99999999767169</v>
      </c>
      <c r="N706" s="37">
        <f t="shared" si="51"/>
        <v>5.3624522222089581</v>
      </c>
      <c r="O706" s="36">
        <f>VLOOKUP(G706,SLA標準!$A$4:$C$7,2,FALSE)</f>
        <v>240</v>
      </c>
      <c r="P706" s="37">
        <f>VLOOKUP(G706,SLA標準!$A$4:$C$7,3,FALSE)</f>
        <v>24</v>
      </c>
      <c r="Q706" s="35" t="str">
        <f t="shared" si="52"/>
        <v>達標</v>
      </c>
      <c r="R706" s="34" t="s">
        <v>41</v>
      </c>
      <c r="S706" s="35" t="str">
        <f t="shared" si="53"/>
        <v>否</v>
      </c>
      <c r="T706" s="36" t="str">
        <f>IFERROR(VLOOKUP(A706,滿意度調查!$B$4:$D$570,3,FALSE),"")</f>
        <v/>
      </c>
      <c r="U706" s="35" t="str">
        <f t="shared" si="54"/>
        <v>2026-06</v>
      </c>
      <c r="V706" s="38">
        <f>IF(J706="已結案",0,(使用說明!$B$7-B706)*24)</f>
        <v>0</v>
      </c>
    </row>
    <row r="707" spans="1:22">
      <c r="A707" s="32" t="s">
        <v>1258</v>
      </c>
      <c r="B707" s="33">
        <v>46189.509027777778</v>
      </c>
      <c r="C707" s="34" t="s">
        <v>935</v>
      </c>
      <c r="D707" s="34" t="s">
        <v>240</v>
      </c>
      <c r="E707" s="34" t="s">
        <v>235</v>
      </c>
      <c r="F707" s="34" t="s">
        <v>241</v>
      </c>
      <c r="G707" s="34" t="s">
        <v>242</v>
      </c>
      <c r="H707" s="34" t="s">
        <v>361</v>
      </c>
      <c r="I707" s="35" t="str">
        <f>VLOOKUP(H707,人員與團隊!$A$4:$D$27,3,FALSE)</f>
        <v>南區服務</v>
      </c>
      <c r="J707" s="34" t="s">
        <v>215</v>
      </c>
      <c r="K707" s="33">
        <v>46189.73541666667</v>
      </c>
      <c r="L707" s="33">
        <v>46190.156896747685</v>
      </c>
      <c r="M707" s="36">
        <f t="shared" si="50"/>
        <v>326.00000000442378</v>
      </c>
      <c r="N707" s="37">
        <f t="shared" si="51"/>
        <v>15.548855277767871</v>
      </c>
      <c r="O707" s="36">
        <f>VLOOKUP(G707,SLA標準!$A$4:$C$7,2,FALSE)</f>
        <v>240</v>
      </c>
      <c r="P707" s="37">
        <f>VLOOKUP(G707,SLA標準!$A$4:$C$7,3,FALSE)</f>
        <v>24</v>
      </c>
      <c r="Q707" s="35" t="str">
        <f t="shared" si="52"/>
        <v>逾期</v>
      </c>
      <c r="R707" s="34" t="s">
        <v>47</v>
      </c>
      <c r="S707" s="35" t="str">
        <f t="shared" si="53"/>
        <v>否</v>
      </c>
      <c r="T707" s="36" t="str">
        <f>IFERROR(VLOOKUP(A707,滿意度調查!$B$4:$D$570,3,FALSE),"")</f>
        <v/>
      </c>
      <c r="U707" s="35" t="str">
        <f t="shared" si="54"/>
        <v>2026-06</v>
      </c>
      <c r="V707" s="38">
        <f>IF(J707="已結案",0,(使用說明!$B$7-B707)*24)</f>
        <v>0</v>
      </c>
    </row>
    <row r="708" spans="1:22">
      <c r="A708" s="32" t="s">
        <v>1259</v>
      </c>
      <c r="B708" s="33">
        <v>46189.533333333333</v>
      </c>
      <c r="C708" s="34" t="s">
        <v>664</v>
      </c>
      <c r="D708" s="34" t="s">
        <v>210</v>
      </c>
      <c r="E708" s="34" t="s">
        <v>211</v>
      </c>
      <c r="F708" s="34" t="s">
        <v>212</v>
      </c>
      <c r="G708" s="34" t="s">
        <v>350</v>
      </c>
      <c r="H708" s="34" t="s">
        <v>384</v>
      </c>
      <c r="I708" s="35" t="str">
        <f>VLOOKUP(H708,人員與團隊!$A$4:$D$27,3,FALSE)</f>
        <v>線上服務</v>
      </c>
      <c r="J708" s="34" t="s">
        <v>215</v>
      </c>
      <c r="K708" s="33">
        <v>46189.543749999997</v>
      </c>
      <c r="L708" s="33">
        <v>46189.674685127313</v>
      </c>
      <c r="M708" s="36">
        <f t="shared" ref="M708:M771" si="55">IF(K708="","",(K708-B708)*1440)</f>
        <v>14.99999999650754</v>
      </c>
      <c r="N708" s="37">
        <f t="shared" ref="N708:N771" si="56">IF(L708="","",(L708-B708)*24)</f>
        <v>3.3924430555198342</v>
      </c>
      <c r="O708" s="36">
        <f>VLOOKUP(G708,SLA標準!$A$4:$C$7,2,FALSE)</f>
        <v>30</v>
      </c>
      <c r="P708" s="37">
        <f>VLOOKUP(G708,SLA標準!$A$4:$C$7,3,FALSE)</f>
        <v>4</v>
      </c>
      <c r="Q708" s="35" t="str">
        <f t="shared" ref="Q708:Q771" si="57">IF(J708="已結案",IF(AND(M708&lt;=O708,N708&lt;=P708),"達標","逾期"),IF(OR(M708&gt;O708,V708&gt;P708),"逾期","進行中"))</f>
        <v>達標</v>
      </c>
      <c r="R708" s="34" t="s">
        <v>41</v>
      </c>
      <c r="S708" s="35" t="str">
        <f t="shared" ref="S708:S771" si="58">IF(T708="","否","是")</f>
        <v>否</v>
      </c>
      <c r="T708" s="36" t="str">
        <f>IFERROR(VLOOKUP(A708,滿意度調查!$B$4:$D$570,3,FALSE),"")</f>
        <v/>
      </c>
      <c r="U708" s="35" t="str">
        <f t="shared" ref="U708:U771" si="59">TEXT(B708,"yyyy-mm")</f>
        <v>2026-06</v>
      </c>
      <c r="V708" s="38">
        <f>IF(J708="已結案",0,(使用說明!$B$7-B708)*24)</f>
        <v>0</v>
      </c>
    </row>
    <row r="709" spans="1:22">
      <c r="A709" s="32" t="s">
        <v>1260</v>
      </c>
      <c r="B709" s="33">
        <v>46189.541666666664</v>
      </c>
      <c r="C709" s="34" t="s">
        <v>297</v>
      </c>
      <c r="D709" s="34" t="s">
        <v>210</v>
      </c>
      <c r="E709" s="34" t="s">
        <v>245</v>
      </c>
      <c r="F709" s="34" t="s">
        <v>282</v>
      </c>
      <c r="G709" s="34" t="s">
        <v>213</v>
      </c>
      <c r="H709" s="34" t="s">
        <v>267</v>
      </c>
      <c r="I709" s="35" t="str">
        <f>VLOOKUP(H709,人員與團隊!$A$4:$D$27,3,FALSE)</f>
        <v>南區服務</v>
      </c>
      <c r="J709" s="34" t="s">
        <v>215</v>
      </c>
      <c r="K709" s="33">
        <v>46189.732638888891</v>
      </c>
      <c r="L709" s="33">
        <v>46191.072359710648</v>
      </c>
      <c r="M709" s="36">
        <f t="shared" si="55"/>
        <v>275.00000000582077</v>
      </c>
      <c r="N709" s="37">
        <f t="shared" si="56"/>
        <v>36.736633055610582</v>
      </c>
      <c r="O709" s="36">
        <f>VLOOKUP(G709,SLA標準!$A$4:$C$7,2,FALSE)</f>
        <v>480</v>
      </c>
      <c r="P709" s="37">
        <f>VLOOKUP(G709,SLA標準!$A$4:$C$7,3,FALSE)</f>
        <v>48</v>
      </c>
      <c r="Q709" s="35" t="str">
        <f t="shared" si="57"/>
        <v>達標</v>
      </c>
      <c r="R709" s="34" t="s">
        <v>47</v>
      </c>
      <c r="S709" s="35" t="str">
        <f t="shared" si="58"/>
        <v>是</v>
      </c>
      <c r="T709" s="36">
        <f>IFERROR(VLOOKUP(A709,滿意度調查!$B$4:$D$570,3,FALSE),"")</f>
        <v>5</v>
      </c>
      <c r="U709" s="35" t="str">
        <f t="shared" si="59"/>
        <v>2026-06</v>
      </c>
      <c r="V709" s="38">
        <f>IF(J709="已結案",0,(使用說明!$B$7-B709)*24)</f>
        <v>0</v>
      </c>
    </row>
    <row r="710" spans="1:22">
      <c r="A710" s="32" t="s">
        <v>1261</v>
      </c>
      <c r="B710" s="33">
        <v>46189.668749999997</v>
      </c>
      <c r="C710" s="34" t="s">
        <v>1003</v>
      </c>
      <c r="D710" s="34" t="s">
        <v>218</v>
      </c>
      <c r="E710" s="34" t="s">
        <v>211</v>
      </c>
      <c r="F710" s="34" t="s">
        <v>331</v>
      </c>
      <c r="G710" s="34" t="s">
        <v>242</v>
      </c>
      <c r="H710" s="34" t="s">
        <v>243</v>
      </c>
      <c r="I710" s="35" t="str">
        <f>VLOOKUP(H710,人員與團隊!$A$4:$D$27,3,FALSE)</f>
        <v>南區服務</v>
      </c>
      <c r="J710" s="34" t="s">
        <v>215</v>
      </c>
      <c r="K710" s="33">
        <v>46189.833333333336</v>
      </c>
      <c r="L710" s="33">
        <v>46189.969529201386</v>
      </c>
      <c r="M710" s="36">
        <f t="shared" si="55"/>
        <v>237.00000000768341</v>
      </c>
      <c r="N710" s="37">
        <f t="shared" si="56"/>
        <v>7.2187008333276026</v>
      </c>
      <c r="O710" s="36">
        <f>VLOOKUP(G710,SLA標準!$A$4:$C$7,2,FALSE)</f>
        <v>240</v>
      </c>
      <c r="P710" s="37">
        <f>VLOOKUP(G710,SLA標準!$A$4:$C$7,3,FALSE)</f>
        <v>24</v>
      </c>
      <c r="Q710" s="35" t="str">
        <f t="shared" si="57"/>
        <v>達標</v>
      </c>
      <c r="R710" s="34" t="s">
        <v>41</v>
      </c>
      <c r="S710" s="35" t="str">
        <f t="shared" si="58"/>
        <v>是</v>
      </c>
      <c r="T710" s="36">
        <f>IFERROR(VLOOKUP(A710,滿意度調查!$B$4:$D$570,3,FALSE),"")</f>
        <v>4</v>
      </c>
      <c r="U710" s="35" t="str">
        <f t="shared" si="59"/>
        <v>2026-06</v>
      </c>
      <c r="V710" s="38">
        <f>IF(J710="已結案",0,(使用說明!$B$7-B710)*24)</f>
        <v>0</v>
      </c>
    </row>
    <row r="711" spans="1:22">
      <c r="A711" s="32" t="s">
        <v>1262</v>
      </c>
      <c r="B711" s="33">
        <v>46189.678472222222</v>
      </c>
      <c r="C711" s="34" t="s">
        <v>607</v>
      </c>
      <c r="D711" s="34" t="s">
        <v>240</v>
      </c>
      <c r="E711" s="34" t="s">
        <v>211</v>
      </c>
      <c r="F711" s="34" t="s">
        <v>226</v>
      </c>
      <c r="G711" s="34" t="s">
        <v>221</v>
      </c>
      <c r="H711" s="34" t="s">
        <v>267</v>
      </c>
      <c r="I711" s="35" t="str">
        <f>VLOOKUP(H711,人員與團隊!$A$4:$D$27,3,FALSE)</f>
        <v>南區服務</v>
      </c>
      <c r="J711" s="34" t="s">
        <v>215</v>
      </c>
      <c r="K711" s="33">
        <v>46189.724305555559</v>
      </c>
      <c r="L711" s="33">
        <v>46189.811265856479</v>
      </c>
      <c r="M711" s="36">
        <f t="shared" si="55"/>
        <v>66.000000005587935</v>
      </c>
      <c r="N711" s="37">
        <f t="shared" si="56"/>
        <v>3.1870472221635282</v>
      </c>
      <c r="O711" s="36">
        <f>VLOOKUP(G711,SLA標準!$A$4:$C$7,2,FALSE)</f>
        <v>60</v>
      </c>
      <c r="P711" s="37">
        <f>VLOOKUP(G711,SLA標準!$A$4:$C$7,3,FALSE)</f>
        <v>8</v>
      </c>
      <c r="Q711" s="35" t="str">
        <f t="shared" si="57"/>
        <v>逾期</v>
      </c>
      <c r="R711" s="34" t="s">
        <v>47</v>
      </c>
      <c r="S711" s="35" t="str">
        <f t="shared" si="58"/>
        <v>是</v>
      </c>
      <c r="T711" s="36">
        <f>IFERROR(VLOOKUP(A711,滿意度調查!$B$4:$D$570,3,FALSE),"")</f>
        <v>3</v>
      </c>
      <c r="U711" s="35" t="str">
        <f t="shared" si="59"/>
        <v>2026-06</v>
      </c>
      <c r="V711" s="38">
        <f>IF(J711="已結案",0,(使用說明!$B$7-B711)*24)</f>
        <v>0</v>
      </c>
    </row>
    <row r="712" spans="1:22">
      <c r="A712" s="32" t="s">
        <v>1263</v>
      </c>
      <c r="B712" s="33">
        <v>46189.700694444444</v>
      </c>
      <c r="C712" s="34" t="s">
        <v>473</v>
      </c>
      <c r="D712" s="34" t="s">
        <v>210</v>
      </c>
      <c r="E712" s="34" t="s">
        <v>265</v>
      </c>
      <c r="F712" s="34" t="s">
        <v>266</v>
      </c>
      <c r="G712" s="34" t="s">
        <v>213</v>
      </c>
      <c r="H712" s="34" t="s">
        <v>315</v>
      </c>
      <c r="I712" s="35" t="str">
        <f>VLOOKUP(H712,人員與團隊!$A$4:$D$27,3,FALSE)</f>
        <v>北區服務</v>
      </c>
      <c r="J712" s="34" t="s">
        <v>356</v>
      </c>
      <c r="K712" s="33">
        <v>46189.793749999997</v>
      </c>
      <c r="L712" s="33"/>
      <c r="M712" s="36">
        <f t="shared" si="55"/>
        <v>133.99999999674037</v>
      </c>
      <c r="N712" s="37" t="str">
        <f t="shared" si="56"/>
        <v/>
      </c>
      <c r="O712" s="36">
        <f>VLOOKUP(G712,SLA標準!$A$4:$C$7,2,FALSE)</f>
        <v>480</v>
      </c>
      <c r="P712" s="37">
        <f>VLOOKUP(G712,SLA標準!$A$4:$C$7,3,FALSE)</f>
        <v>48</v>
      </c>
      <c r="Q712" s="35" t="str">
        <f t="shared" si="57"/>
        <v>逾期</v>
      </c>
      <c r="R712" s="34" t="s">
        <v>47</v>
      </c>
      <c r="S712" s="35" t="str">
        <f t="shared" si="58"/>
        <v>否</v>
      </c>
      <c r="T712" s="36" t="str">
        <f>IFERROR(VLOOKUP(A712,滿意度調查!$B$4:$D$570,3,FALSE),"")</f>
        <v/>
      </c>
      <c r="U712" s="35" t="str">
        <f t="shared" si="59"/>
        <v>2026-06</v>
      </c>
      <c r="V712" s="38">
        <f>IF(J712="已結案",0,(使用說明!$B$7-B712)*24)</f>
        <v>352.18333333334886</v>
      </c>
    </row>
    <row r="713" spans="1:22">
      <c r="A713" s="32" t="s">
        <v>1264</v>
      </c>
      <c r="B713" s="33">
        <v>46189.848611111112</v>
      </c>
      <c r="C713" s="34" t="s">
        <v>644</v>
      </c>
      <c r="D713" s="34" t="s">
        <v>225</v>
      </c>
      <c r="E713" s="34" t="s">
        <v>245</v>
      </c>
      <c r="F713" s="34" t="s">
        <v>278</v>
      </c>
      <c r="G713" s="34" t="s">
        <v>242</v>
      </c>
      <c r="H713" s="34" t="s">
        <v>254</v>
      </c>
      <c r="I713" s="35" t="str">
        <f>VLOOKUP(H713,人員與團隊!$A$4:$D$27,3,FALSE)</f>
        <v>線上服務</v>
      </c>
      <c r="J713" s="34" t="s">
        <v>215</v>
      </c>
      <c r="K713" s="33">
        <v>46189.989583333336</v>
      </c>
      <c r="L713" s="33">
        <v>46191.16301059028</v>
      </c>
      <c r="M713" s="36">
        <f t="shared" si="55"/>
        <v>203.00000000162981</v>
      </c>
      <c r="N713" s="37">
        <f t="shared" si="56"/>
        <v>31.545587500033434</v>
      </c>
      <c r="O713" s="36">
        <f>VLOOKUP(G713,SLA標準!$A$4:$C$7,2,FALSE)</f>
        <v>240</v>
      </c>
      <c r="P713" s="37">
        <f>VLOOKUP(G713,SLA標準!$A$4:$C$7,3,FALSE)</f>
        <v>24</v>
      </c>
      <c r="Q713" s="35" t="str">
        <f t="shared" si="57"/>
        <v>逾期</v>
      </c>
      <c r="R713" s="34" t="s">
        <v>47</v>
      </c>
      <c r="S713" s="35" t="str">
        <f t="shared" si="58"/>
        <v>是</v>
      </c>
      <c r="T713" s="36">
        <f>IFERROR(VLOOKUP(A713,滿意度調查!$B$4:$D$570,3,FALSE),"")</f>
        <v>3</v>
      </c>
      <c r="U713" s="35" t="str">
        <f t="shared" si="59"/>
        <v>2026-06</v>
      </c>
      <c r="V713" s="38">
        <f>IF(J713="已結案",0,(使用說明!$B$7-B713)*24)</f>
        <v>0</v>
      </c>
    </row>
    <row r="714" spans="1:22">
      <c r="A714" s="32" t="s">
        <v>1265</v>
      </c>
      <c r="B714" s="33">
        <v>46190.343055555553</v>
      </c>
      <c r="C714" s="34" t="s">
        <v>380</v>
      </c>
      <c r="D714" s="34" t="s">
        <v>210</v>
      </c>
      <c r="E714" s="34" t="s">
        <v>235</v>
      </c>
      <c r="F714" s="34" t="s">
        <v>236</v>
      </c>
      <c r="G714" s="34" t="s">
        <v>213</v>
      </c>
      <c r="H714" s="34" t="s">
        <v>305</v>
      </c>
      <c r="I714" s="35" t="str">
        <f>VLOOKUP(H714,人員與團隊!$A$4:$D$27,3,FALSE)</f>
        <v>線上服務</v>
      </c>
      <c r="J714" s="34" t="s">
        <v>215</v>
      </c>
      <c r="K714" s="33">
        <v>46190.40625</v>
      </c>
      <c r="L714" s="33">
        <v>46190.73756361111</v>
      </c>
      <c r="M714" s="36">
        <f t="shared" si="55"/>
        <v>91.000000003259629</v>
      </c>
      <c r="N714" s="37">
        <f t="shared" si="56"/>
        <v>9.4681933333631605</v>
      </c>
      <c r="O714" s="36">
        <f>VLOOKUP(G714,SLA標準!$A$4:$C$7,2,FALSE)</f>
        <v>480</v>
      </c>
      <c r="P714" s="37">
        <f>VLOOKUP(G714,SLA標準!$A$4:$C$7,3,FALSE)</f>
        <v>48</v>
      </c>
      <c r="Q714" s="35" t="str">
        <f t="shared" si="57"/>
        <v>達標</v>
      </c>
      <c r="R714" s="34" t="s">
        <v>47</v>
      </c>
      <c r="S714" s="35" t="str">
        <f t="shared" si="58"/>
        <v>是</v>
      </c>
      <c r="T714" s="36">
        <f>IFERROR(VLOOKUP(A714,滿意度調查!$B$4:$D$570,3,FALSE),"")</f>
        <v>5</v>
      </c>
      <c r="U714" s="35" t="str">
        <f t="shared" si="59"/>
        <v>2026-06</v>
      </c>
      <c r="V714" s="38">
        <f>IF(J714="已結案",0,(使用說明!$B$7-B714)*24)</f>
        <v>0</v>
      </c>
    </row>
    <row r="715" spans="1:22">
      <c r="A715" s="32" t="s">
        <v>1266</v>
      </c>
      <c r="B715" s="33">
        <v>46190.36041666667</v>
      </c>
      <c r="C715" s="34" t="s">
        <v>642</v>
      </c>
      <c r="D715" s="34" t="s">
        <v>225</v>
      </c>
      <c r="E715" s="34" t="s">
        <v>211</v>
      </c>
      <c r="F715" s="34" t="s">
        <v>334</v>
      </c>
      <c r="G715" s="34" t="s">
        <v>242</v>
      </c>
      <c r="H715" s="34" t="s">
        <v>361</v>
      </c>
      <c r="I715" s="35" t="str">
        <f>VLOOKUP(H715,人員與團隊!$A$4:$D$27,3,FALSE)</f>
        <v>南區服務</v>
      </c>
      <c r="J715" s="34" t="s">
        <v>215</v>
      </c>
      <c r="K715" s="33">
        <v>46190.429166666669</v>
      </c>
      <c r="L715" s="33">
        <v>46190.475333495371</v>
      </c>
      <c r="M715" s="36">
        <f t="shared" si="55"/>
        <v>98.999999997904524</v>
      </c>
      <c r="N715" s="37">
        <f t="shared" si="56"/>
        <v>2.7580038888263516</v>
      </c>
      <c r="O715" s="36">
        <f>VLOOKUP(G715,SLA標準!$A$4:$C$7,2,FALSE)</f>
        <v>240</v>
      </c>
      <c r="P715" s="37">
        <f>VLOOKUP(G715,SLA標準!$A$4:$C$7,3,FALSE)</f>
        <v>24</v>
      </c>
      <c r="Q715" s="35" t="str">
        <f t="shared" si="57"/>
        <v>達標</v>
      </c>
      <c r="R715" s="34" t="s">
        <v>47</v>
      </c>
      <c r="S715" s="35" t="str">
        <f t="shared" si="58"/>
        <v>是</v>
      </c>
      <c r="T715" s="36">
        <f>IFERROR(VLOOKUP(A715,滿意度調查!$B$4:$D$570,3,FALSE),"")</f>
        <v>5</v>
      </c>
      <c r="U715" s="35" t="str">
        <f t="shared" si="59"/>
        <v>2026-06</v>
      </c>
      <c r="V715" s="38">
        <f>IF(J715="已結案",0,(使用說明!$B$7-B715)*24)</f>
        <v>0</v>
      </c>
    </row>
    <row r="716" spans="1:22">
      <c r="A716" s="32" t="s">
        <v>1267</v>
      </c>
      <c r="B716" s="33">
        <v>46190.38958333333</v>
      </c>
      <c r="C716" s="34" t="s">
        <v>569</v>
      </c>
      <c r="D716" s="34" t="s">
        <v>218</v>
      </c>
      <c r="E716" s="34" t="s">
        <v>230</v>
      </c>
      <c r="F716" s="34" t="s">
        <v>231</v>
      </c>
      <c r="G716" s="34" t="s">
        <v>242</v>
      </c>
      <c r="H716" s="34" t="s">
        <v>372</v>
      </c>
      <c r="I716" s="35" t="str">
        <f>VLOOKUP(H716,人員與團隊!$A$4:$D$27,3,FALSE)</f>
        <v>南區服務</v>
      </c>
      <c r="J716" s="34" t="s">
        <v>215</v>
      </c>
      <c r="K716" s="33">
        <v>46190.561805555553</v>
      </c>
      <c r="L716" s="33">
        <v>46191.623082650462</v>
      </c>
      <c r="M716" s="36">
        <f t="shared" si="55"/>
        <v>248.00000000162981</v>
      </c>
      <c r="N716" s="37">
        <f t="shared" si="56"/>
        <v>29.603983611159492</v>
      </c>
      <c r="O716" s="36">
        <f>VLOOKUP(G716,SLA標準!$A$4:$C$7,2,FALSE)</f>
        <v>240</v>
      </c>
      <c r="P716" s="37">
        <f>VLOOKUP(G716,SLA標準!$A$4:$C$7,3,FALSE)</f>
        <v>24</v>
      </c>
      <c r="Q716" s="35" t="str">
        <f t="shared" si="57"/>
        <v>逾期</v>
      </c>
      <c r="R716" s="34" t="s">
        <v>47</v>
      </c>
      <c r="S716" s="35" t="str">
        <f t="shared" si="58"/>
        <v>否</v>
      </c>
      <c r="T716" s="36" t="str">
        <f>IFERROR(VLOOKUP(A716,滿意度調查!$B$4:$D$570,3,FALSE),"")</f>
        <v/>
      </c>
      <c r="U716" s="35" t="str">
        <f t="shared" si="59"/>
        <v>2026-06</v>
      </c>
      <c r="V716" s="38">
        <f>IF(J716="已結案",0,(使用說明!$B$7-B716)*24)</f>
        <v>0</v>
      </c>
    </row>
    <row r="717" spans="1:22">
      <c r="A717" s="32" t="s">
        <v>1268</v>
      </c>
      <c r="B717" s="33">
        <v>46190.45416666667</v>
      </c>
      <c r="C717" s="34" t="s">
        <v>432</v>
      </c>
      <c r="D717" s="34" t="s">
        <v>225</v>
      </c>
      <c r="E717" s="34" t="s">
        <v>211</v>
      </c>
      <c r="F717" s="34" t="s">
        <v>331</v>
      </c>
      <c r="G717" s="34" t="s">
        <v>242</v>
      </c>
      <c r="H717" s="34" t="s">
        <v>340</v>
      </c>
      <c r="I717" s="35" t="str">
        <f>VLOOKUP(H717,人員與團隊!$A$4:$D$27,3,FALSE)</f>
        <v>北區服務</v>
      </c>
      <c r="J717" s="34" t="s">
        <v>215</v>
      </c>
      <c r="K717" s="33">
        <v>46190.6</v>
      </c>
      <c r="L717" s="33">
        <v>46190.647252777781</v>
      </c>
      <c r="M717" s="36">
        <f t="shared" si="55"/>
        <v>209.99999999301508</v>
      </c>
      <c r="N717" s="37">
        <f t="shared" si="56"/>
        <v>4.6340666666510515</v>
      </c>
      <c r="O717" s="36">
        <f>VLOOKUP(G717,SLA標準!$A$4:$C$7,2,FALSE)</f>
        <v>240</v>
      </c>
      <c r="P717" s="37">
        <f>VLOOKUP(G717,SLA標準!$A$4:$C$7,3,FALSE)</f>
        <v>24</v>
      </c>
      <c r="Q717" s="35" t="str">
        <f t="shared" si="57"/>
        <v>達標</v>
      </c>
      <c r="R717" s="34" t="s">
        <v>47</v>
      </c>
      <c r="S717" s="35" t="str">
        <f t="shared" si="58"/>
        <v>否</v>
      </c>
      <c r="T717" s="36" t="str">
        <f>IFERROR(VLOOKUP(A717,滿意度調查!$B$4:$D$570,3,FALSE),"")</f>
        <v/>
      </c>
      <c r="U717" s="35" t="str">
        <f t="shared" si="59"/>
        <v>2026-06</v>
      </c>
      <c r="V717" s="38">
        <f>IF(J717="已結案",0,(使用說明!$B$7-B717)*24)</f>
        <v>0</v>
      </c>
    </row>
    <row r="718" spans="1:22">
      <c r="A718" s="32" t="s">
        <v>1269</v>
      </c>
      <c r="B718" s="33">
        <v>46190.454861111109</v>
      </c>
      <c r="C718" s="34" t="s">
        <v>1270</v>
      </c>
      <c r="D718" s="34" t="s">
        <v>210</v>
      </c>
      <c r="E718" s="34" t="s">
        <v>211</v>
      </c>
      <c r="F718" s="34" t="s">
        <v>334</v>
      </c>
      <c r="G718" s="34" t="s">
        <v>221</v>
      </c>
      <c r="H718" s="34" t="s">
        <v>243</v>
      </c>
      <c r="I718" s="35" t="str">
        <f>VLOOKUP(H718,人員與團隊!$A$4:$D$27,3,FALSE)</f>
        <v>南區服務</v>
      </c>
      <c r="J718" s="34" t="s">
        <v>774</v>
      </c>
      <c r="K718" s="33">
        <v>46190.477777777778</v>
      </c>
      <c r="L718" s="33"/>
      <c r="M718" s="36">
        <f t="shared" si="55"/>
        <v>33.000000002793968</v>
      </c>
      <c r="N718" s="37" t="str">
        <f t="shared" si="56"/>
        <v/>
      </c>
      <c r="O718" s="36">
        <f>VLOOKUP(G718,SLA標準!$A$4:$C$7,2,FALSE)</f>
        <v>60</v>
      </c>
      <c r="P718" s="37">
        <f>VLOOKUP(G718,SLA標準!$A$4:$C$7,3,FALSE)</f>
        <v>8</v>
      </c>
      <c r="Q718" s="35" t="str">
        <f t="shared" si="57"/>
        <v>逾期</v>
      </c>
      <c r="R718" s="34" t="s">
        <v>47</v>
      </c>
      <c r="S718" s="35" t="str">
        <f t="shared" si="58"/>
        <v>否</v>
      </c>
      <c r="T718" s="36" t="str">
        <f>IFERROR(VLOOKUP(A718,滿意度調查!$B$4:$D$570,3,FALSE),"")</f>
        <v/>
      </c>
      <c r="U718" s="35" t="str">
        <f t="shared" si="59"/>
        <v>2026-06</v>
      </c>
      <c r="V718" s="38">
        <f>IF(J718="已結案",0,(使用說明!$B$7-B718)*24)</f>
        <v>334.08333333337214</v>
      </c>
    </row>
    <row r="719" spans="1:22">
      <c r="A719" s="32" t="s">
        <v>1271</v>
      </c>
      <c r="B719" s="33">
        <v>46190.498611111114</v>
      </c>
      <c r="C719" s="34" t="s">
        <v>543</v>
      </c>
      <c r="D719" s="34" t="s">
        <v>225</v>
      </c>
      <c r="E719" s="34" t="s">
        <v>265</v>
      </c>
      <c r="F719" s="34" t="s">
        <v>301</v>
      </c>
      <c r="G719" s="34" t="s">
        <v>221</v>
      </c>
      <c r="H719" s="34" t="s">
        <v>361</v>
      </c>
      <c r="I719" s="35" t="str">
        <f>VLOOKUP(H719,人員與團隊!$A$4:$D$27,3,FALSE)</f>
        <v>南區服務</v>
      </c>
      <c r="J719" s="34" t="s">
        <v>215</v>
      </c>
      <c r="K719" s="33">
        <v>46190.509722222225</v>
      </c>
      <c r="L719" s="33">
        <v>46191.268866377315</v>
      </c>
      <c r="M719" s="36">
        <f t="shared" si="55"/>
        <v>15.999999999767169</v>
      </c>
      <c r="N719" s="37">
        <f t="shared" si="56"/>
        <v>18.486126388830598</v>
      </c>
      <c r="O719" s="36">
        <f>VLOOKUP(G719,SLA標準!$A$4:$C$7,2,FALSE)</f>
        <v>60</v>
      </c>
      <c r="P719" s="37">
        <f>VLOOKUP(G719,SLA標準!$A$4:$C$7,3,FALSE)</f>
        <v>8</v>
      </c>
      <c r="Q719" s="35" t="str">
        <f t="shared" si="57"/>
        <v>逾期</v>
      </c>
      <c r="R719" s="34" t="s">
        <v>47</v>
      </c>
      <c r="S719" s="35" t="str">
        <f t="shared" si="58"/>
        <v>是</v>
      </c>
      <c r="T719" s="36">
        <f>IFERROR(VLOOKUP(A719,滿意度調查!$B$4:$D$570,3,FALSE),"")</f>
        <v>3</v>
      </c>
      <c r="U719" s="35" t="str">
        <f t="shared" si="59"/>
        <v>2026-06</v>
      </c>
      <c r="V719" s="38">
        <f>IF(J719="已結案",0,(使用說明!$B$7-B719)*24)</f>
        <v>0</v>
      </c>
    </row>
    <row r="720" spans="1:22">
      <c r="A720" s="32" t="s">
        <v>1272</v>
      </c>
      <c r="B720" s="33">
        <v>46190.509027777778</v>
      </c>
      <c r="C720" s="34" t="s">
        <v>827</v>
      </c>
      <c r="D720" s="34" t="s">
        <v>240</v>
      </c>
      <c r="E720" s="34" t="s">
        <v>265</v>
      </c>
      <c r="F720" s="34" t="s">
        <v>266</v>
      </c>
      <c r="G720" s="34" t="s">
        <v>213</v>
      </c>
      <c r="H720" s="34" t="s">
        <v>315</v>
      </c>
      <c r="I720" s="35" t="str">
        <f>VLOOKUP(H720,人員與團隊!$A$4:$D$27,3,FALSE)</f>
        <v>北區服務</v>
      </c>
      <c r="J720" s="34" t="s">
        <v>215</v>
      </c>
      <c r="K720" s="33">
        <v>46191.003472222219</v>
      </c>
      <c r="L720" s="33">
        <v>46191.235719502314</v>
      </c>
      <c r="M720" s="36">
        <f t="shared" si="55"/>
        <v>711.99999999487773</v>
      </c>
      <c r="N720" s="37">
        <f t="shared" si="56"/>
        <v>17.440601388865616</v>
      </c>
      <c r="O720" s="36">
        <f>VLOOKUP(G720,SLA標準!$A$4:$C$7,2,FALSE)</f>
        <v>480</v>
      </c>
      <c r="P720" s="37">
        <f>VLOOKUP(G720,SLA標準!$A$4:$C$7,3,FALSE)</f>
        <v>48</v>
      </c>
      <c r="Q720" s="35" t="str">
        <f t="shared" si="57"/>
        <v>逾期</v>
      </c>
      <c r="R720" s="34" t="s">
        <v>47</v>
      </c>
      <c r="S720" s="35" t="str">
        <f t="shared" si="58"/>
        <v>是</v>
      </c>
      <c r="T720" s="36">
        <f>IFERROR(VLOOKUP(A720,滿意度調查!$B$4:$D$570,3,FALSE),"")</f>
        <v>3</v>
      </c>
      <c r="U720" s="35" t="str">
        <f t="shared" si="59"/>
        <v>2026-06</v>
      </c>
      <c r="V720" s="38">
        <f>IF(J720="已結案",0,(使用說明!$B$7-B720)*24)</f>
        <v>0</v>
      </c>
    </row>
    <row r="721" spans="1:22">
      <c r="A721" s="32" t="s">
        <v>1273</v>
      </c>
      <c r="B721" s="33">
        <v>46190.559027777781</v>
      </c>
      <c r="C721" s="34" t="s">
        <v>569</v>
      </c>
      <c r="D721" s="34" t="s">
        <v>225</v>
      </c>
      <c r="E721" s="34" t="s">
        <v>235</v>
      </c>
      <c r="F721" s="34" t="s">
        <v>241</v>
      </c>
      <c r="G721" s="34" t="s">
        <v>221</v>
      </c>
      <c r="H721" s="34" t="s">
        <v>279</v>
      </c>
      <c r="I721" s="35" t="str">
        <f>VLOOKUP(H721,人員與團隊!$A$4:$D$27,3,FALSE)</f>
        <v>南區服務</v>
      </c>
      <c r="J721" s="34" t="s">
        <v>215</v>
      </c>
      <c r="K721" s="33">
        <v>46190.570833333331</v>
      </c>
      <c r="L721" s="33">
        <v>46190.923676226848</v>
      </c>
      <c r="M721" s="36">
        <f t="shared" si="55"/>
        <v>16.999999992549419</v>
      </c>
      <c r="N721" s="37">
        <f t="shared" si="56"/>
        <v>8.751562777615618</v>
      </c>
      <c r="O721" s="36">
        <f>VLOOKUP(G721,SLA標準!$A$4:$C$7,2,FALSE)</f>
        <v>60</v>
      </c>
      <c r="P721" s="37">
        <f>VLOOKUP(G721,SLA標準!$A$4:$C$7,3,FALSE)</f>
        <v>8</v>
      </c>
      <c r="Q721" s="35" t="str">
        <f t="shared" si="57"/>
        <v>逾期</v>
      </c>
      <c r="R721" s="34" t="s">
        <v>41</v>
      </c>
      <c r="S721" s="35" t="str">
        <f t="shared" si="58"/>
        <v>是</v>
      </c>
      <c r="T721" s="36">
        <f>IFERROR(VLOOKUP(A721,滿意度調查!$B$4:$D$570,3,FALSE),"")</f>
        <v>3</v>
      </c>
      <c r="U721" s="35" t="str">
        <f t="shared" si="59"/>
        <v>2026-06</v>
      </c>
      <c r="V721" s="38">
        <f>IF(J721="已結案",0,(使用說明!$B$7-B721)*24)</f>
        <v>0</v>
      </c>
    </row>
    <row r="722" spans="1:22">
      <c r="A722" s="32" t="s">
        <v>1274</v>
      </c>
      <c r="B722" s="33">
        <v>46190.581250000003</v>
      </c>
      <c r="C722" s="34" t="s">
        <v>683</v>
      </c>
      <c r="D722" s="34" t="s">
        <v>240</v>
      </c>
      <c r="E722" s="34" t="s">
        <v>211</v>
      </c>
      <c r="F722" s="34" t="s">
        <v>331</v>
      </c>
      <c r="G722" s="34" t="s">
        <v>221</v>
      </c>
      <c r="H722" s="34" t="s">
        <v>214</v>
      </c>
      <c r="I722" s="35" t="str">
        <f>VLOOKUP(H722,人員與團隊!$A$4:$D$27,3,FALSE)</f>
        <v>北區服務</v>
      </c>
      <c r="J722" s="34" t="s">
        <v>356</v>
      </c>
      <c r="K722" s="33">
        <v>46190.632638888892</v>
      </c>
      <c r="L722" s="33"/>
      <c r="M722" s="36">
        <f t="shared" si="55"/>
        <v>74.000000000232831</v>
      </c>
      <c r="N722" s="37" t="str">
        <f t="shared" si="56"/>
        <v/>
      </c>
      <c r="O722" s="36">
        <f>VLOOKUP(G722,SLA標準!$A$4:$C$7,2,FALSE)</f>
        <v>60</v>
      </c>
      <c r="P722" s="37">
        <f>VLOOKUP(G722,SLA標準!$A$4:$C$7,3,FALSE)</f>
        <v>8</v>
      </c>
      <c r="Q722" s="35" t="str">
        <f t="shared" si="57"/>
        <v>逾期</v>
      </c>
      <c r="R722" s="34" t="s">
        <v>47</v>
      </c>
      <c r="S722" s="35" t="str">
        <f t="shared" si="58"/>
        <v>否</v>
      </c>
      <c r="T722" s="36" t="str">
        <f>IFERROR(VLOOKUP(A722,滿意度調查!$B$4:$D$570,3,FALSE),"")</f>
        <v/>
      </c>
      <c r="U722" s="35" t="str">
        <f t="shared" si="59"/>
        <v>2026-06</v>
      </c>
      <c r="V722" s="38">
        <f>IF(J722="已結案",0,(使用說明!$B$7-B722)*24)</f>
        <v>331.04999999993015</v>
      </c>
    </row>
    <row r="723" spans="1:22">
      <c r="A723" s="32" t="s">
        <v>1275</v>
      </c>
      <c r="B723" s="33">
        <v>46190.740277777775</v>
      </c>
      <c r="C723" s="34" t="s">
        <v>295</v>
      </c>
      <c r="D723" s="34" t="s">
        <v>218</v>
      </c>
      <c r="E723" s="34" t="s">
        <v>211</v>
      </c>
      <c r="F723" s="34" t="s">
        <v>334</v>
      </c>
      <c r="G723" s="34" t="s">
        <v>242</v>
      </c>
      <c r="H723" s="34" t="s">
        <v>279</v>
      </c>
      <c r="I723" s="35" t="str">
        <f>VLOOKUP(H723,人員與團隊!$A$4:$D$27,3,FALSE)</f>
        <v>南區服務</v>
      </c>
      <c r="J723" s="34" t="s">
        <v>215</v>
      </c>
      <c r="K723" s="33">
        <v>46190.963194444441</v>
      </c>
      <c r="L723" s="33">
        <v>46190.923669537035</v>
      </c>
      <c r="M723" s="36">
        <f t="shared" si="55"/>
        <v>320.99999999860302</v>
      </c>
      <c r="N723" s="37">
        <f t="shared" si="56"/>
        <v>4.4014022222254425</v>
      </c>
      <c r="O723" s="36">
        <f>VLOOKUP(G723,SLA標準!$A$4:$C$7,2,FALSE)</f>
        <v>240</v>
      </c>
      <c r="P723" s="37">
        <f>VLOOKUP(G723,SLA標準!$A$4:$C$7,3,FALSE)</f>
        <v>24</v>
      </c>
      <c r="Q723" s="35" t="str">
        <f t="shared" si="57"/>
        <v>逾期</v>
      </c>
      <c r="R723" s="34" t="s">
        <v>41</v>
      </c>
      <c r="S723" s="35" t="str">
        <f t="shared" si="58"/>
        <v>是</v>
      </c>
      <c r="T723" s="36">
        <f>IFERROR(VLOOKUP(A723,滿意度調查!$B$4:$D$570,3,FALSE),"")</f>
        <v>3</v>
      </c>
      <c r="U723" s="35" t="str">
        <f t="shared" si="59"/>
        <v>2026-06</v>
      </c>
      <c r="V723" s="38">
        <f>IF(J723="已結案",0,(使用說明!$B$7-B723)*24)</f>
        <v>0</v>
      </c>
    </row>
    <row r="724" spans="1:22">
      <c r="A724" s="32" t="s">
        <v>1276</v>
      </c>
      <c r="B724" s="33">
        <v>46190.74722222222</v>
      </c>
      <c r="C724" s="34" t="s">
        <v>629</v>
      </c>
      <c r="D724" s="34" t="s">
        <v>218</v>
      </c>
      <c r="E724" s="34" t="s">
        <v>211</v>
      </c>
      <c r="F724" s="34" t="s">
        <v>226</v>
      </c>
      <c r="G724" s="34" t="s">
        <v>221</v>
      </c>
      <c r="H724" s="34" t="s">
        <v>214</v>
      </c>
      <c r="I724" s="35" t="str">
        <f>VLOOKUP(H724,人員與團隊!$A$4:$D$27,3,FALSE)</f>
        <v>北區服務</v>
      </c>
      <c r="J724" s="34" t="s">
        <v>356</v>
      </c>
      <c r="K724" s="33">
        <v>46190.8125</v>
      </c>
      <c r="L724" s="33"/>
      <c r="M724" s="36">
        <f t="shared" si="55"/>
        <v>94.000000002561137</v>
      </c>
      <c r="N724" s="37" t="str">
        <f t="shared" si="56"/>
        <v/>
      </c>
      <c r="O724" s="36">
        <f>VLOOKUP(G724,SLA標準!$A$4:$C$7,2,FALSE)</f>
        <v>60</v>
      </c>
      <c r="P724" s="37">
        <f>VLOOKUP(G724,SLA標準!$A$4:$C$7,3,FALSE)</f>
        <v>8</v>
      </c>
      <c r="Q724" s="35" t="str">
        <f t="shared" si="57"/>
        <v>逾期</v>
      </c>
      <c r="R724" s="34" t="s">
        <v>47</v>
      </c>
      <c r="S724" s="35" t="str">
        <f t="shared" si="58"/>
        <v>否</v>
      </c>
      <c r="T724" s="36" t="str">
        <f>IFERROR(VLOOKUP(A724,滿意度調查!$B$4:$D$570,3,FALSE),"")</f>
        <v/>
      </c>
      <c r="U724" s="35" t="str">
        <f t="shared" si="59"/>
        <v>2026-06</v>
      </c>
      <c r="V724" s="38">
        <f>IF(J724="已結案",0,(使用說明!$B$7-B724)*24)</f>
        <v>327.06666666670935</v>
      </c>
    </row>
    <row r="725" spans="1:22">
      <c r="A725" s="32" t="s">
        <v>1277</v>
      </c>
      <c r="B725" s="33">
        <v>46190.819444444445</v>
      </c>
      <c r="C725" s="34" t="s">
        <v>535</v>
      </c>
      <c r="D725" s="34" t="s">
        <v>210</v>
      </c>
      <c r="E725" s="34" t="s">
        <v>211</v>
      </c>
      <c r="F725" s="34" t="s">
        <v>331</v>
      </c>
      <c r="G725" s="34" t="s">
        <v>350</v>
      </c>
      <c r="H725" s="34" t="s">
        <v>232</v>
      </c>
      <c r="I725" s="35" t="str">
        <f>VLOOKUP(H725,人員與團隊!$A$4:$D$27,3,FALSE)</f>
        <v>北區服務</v>
      </c>
      <c r="J725" s="34" t="s">
        <v>215</v>
      </c>
      <c r="K725" s="33">
        <v>46190.828472222223</v>
      </c>
      <c r="L725" s="33">
        <v>46191.095810289349</v>
      </c>
      <c r="M725" s="36">
        <f t="shared" si="55"/>
        <v>13.000000000465661</v>
      </c>
      <c r="N725" s="37">
        <f t="shared" si="56"/>
        <v>6.6327802776941098</v>
      </c>
      <c r="O725" s="36">
        <f>VLOOKUP(G725,SLA標準!$A$4:$C$7,2,FALSE)</f>
        <v>30</v>
      </c>
      <c r="P725" s="37">
        <f>VLOOKUP(G725,SLA標準!$A$4:$C$7,3,FALSE)</f>
        <v>4</v>
      </c>
      <c r="Q725" s="35" t="str">
        <f t="shared" si="57"/>
        <v>逾期</v>
      </c>
      <c r="R725" s="34" t="s">
        <v>47</v>
      </c>
      <c r="S725" s="35" t="str">
        <f t="shared" si="58"/>
        <v>是</v>
      </c>
      <c r="T725" s="36">
        <f>IFERROR(VLOOKUP(A725,滿意度調查!$B$4:$D$570,3,FALSE),"")</f>
        <v>3</v>
      </c>
      <c r="U725" s="35" t="str">
        <f t="shared" si="59"/>
        <v>2026-06</v>
      </c>
      <c r="V725" s="38">
        <f>IF(J725="已結案",0,(使用說明!$B$7-B725)*24)</f>
        <v>0</v>
      </c>
    </row>
    <row r="726" spans="1:22">
      <c r="A726" s="32" t="s">
        <v>1278</v>
      </c>
      <c r="B726" s="33">
        <v>46190.824999999997</v>
      </c>
      <c r="C726" s="34" t="s">
        <v>327</v>
      </c>
      <c r="D726" s="34" t="s">
        <v>240</v>
      </c>
      <c r="E726" s="34" t="s">
        <v>265</v>
      </c>
      <c r="F726" s="34" t="s">
        <v>266</v>
      </c>
      <c r="G726" s="34" t="s">
        <v>213</v>
      </c>
      <c r="H726" s="34" t="s">
        <v>214</v>
      </c>
      <c r="I726" s="35" t="str">
        <f>VLOOKUP(H726,人員與團隊!$A$4:$D$27,3,FALSE)</f>
        <v>北區服務</v>
      </c>
      <c r="J726" s="34" t="s">
        <v>215</v>
      </c>
      <c r="K726" s="33">
        <v>46191.095138888886</v>
      </c>
      <c r="L726" s="33">
        <v>46192.167615393519</v>
      </c>
      <c r="M726" s="36">
        <f t="shared" si="55"/>
        <v>389.00000000023283</v>
      </c>
      <c r="N726" s="37">
        <f t="shared" si="56"/>
        <v>32.222769444517326</v>
      </c>
      <c r="O726" s="36">
        <f>VLOOKUP(G726,SLA標準!$A$4:$C$7,2,FALSE)</f>
        <v>480</v>
      </c>
      <c r="P726" s="37">
        <f>VLOOKUP(G726,SLA標準!$A$4:$C$7,3,FALSE)</f>
        <v>48</v>
      </c>
      <c r="Q726" s="35" t="str">
        <f t="shared" si="57"/>
        <v>達標</v>
      </c>
      <c r="R726" s="34" t="s">
        <v>47</v>
      </c>
      <c r="S726" s="35" t="str">
        <f t="shared" si="58"/>
        <v>是</v>
      </c>
      <c r="T726" s="36">
        <f>IFERROR(VLOOKUP(A726,滿意度調查!$B$4:$D$570,3,FALSE),"")</f>
        <v>4</v>
      </c>
      <c r="U726" s="35" t="str">
        <f t="shared" si="59"/>
        <v>2026-06</v>
      </c>
      <c r="V726" s="38">
        <f>IF(J726="已結案",0,(使用說明!$B$7-B726)*24)</f>
        <v>0</v>
      </c>
    </row>
    <row r="727" spans="1:22">
      <c r="A727" s="32" t="s">
        <v>1279</v>
      </c>
      <c r="B727" s="33">
        <v>46190.831250000003</v>
      </c>
      <c r="C727" s="34" t="s">
        <v>1036</v>
      </c>
      <c r="D727" s="34" t="s">
        <v>210</v>
      </c>
      <c r="E727" s="34" t="s">
        <v>211</v>
      </c>
      <c r="F727" s="34" t="s">
        <v>212</v>
      </c>
      <c r="G727" s="34" t="s">
        <v>350</v>
      </c>
      <c r="H727" s="34" t="s">
        <v>328</v>
      </c>
      <c r="I727" s="35" t="str">
        <f>VLOOKUP(H727,人員與團隊!$A$4:$D$27,3,FALSE)</f>
        <v>北區服務</v>
      </c>
      <c r="J727" s="34" t="s">
        <v>215</v>
      </c>
      <c r="K727" s="33">
        <v>46190.836111111108</v>
      </c>
      <c r="L727" s="33">
        <v>46191.111134953702</v>
      </c>
      <c r="M727" s="36">
        <f t="shared" si="55"/>
        <v>6.9999999913852662</v>
      </c>
      <c r="N727" s="37">
        <f t="shared" si="56"/>
        <v>6.7172388887847774</v>
      </c>
      <c r="O727" s="36">
        <f>VLOOKUP(G727,SLA標準!$A$4:$C$7,2,FALSE)</f>
        <v>30</v>
      </c>
      <c r="P727" s="37">
        <f>VLOOKUP(G727,SLA標準!$A$4:$C$7,3,FALSE)</f>
        <v>4</v>
      </c>
      <c r="Q727" s="35" t="str">
        <f t="shared" si="57"/>
        <v>逾期</v>
      </c>
      <c r="R727" s="34" t="s">
        <v>41</v>
      </c>
      <c r="S727" s="35" t="str">
        <f t="shared" si="58"/>
        <v>是</v>
      </c>
      <c r="T727" s="36">
        <f>IFERROR(VLOOKUP(A727,滿意度調查!$B$4:$D$570,3,FALSE),"")</f>
        <v>3</v>
      </c>
      <c r="U727" s="35" t="str">
        <f t="shared" si="59"/>
        <v>2026-06</v>
      </c>
      <c r="V727" s="38">
        <f>IF(J727="已結案",0,(使用說明!$B$7-B727)*24)</f>
        <v>0</v>
      </c>
    </row>
    <row r="728" spans="1:22">
      <c r="A728" s="32" t="s">
        <v>1280</v>
      </c>
      <c r="B728" s="33">
        <v>46190.835416666669</v>
      </c>
      <c r="C728" s="34" t="s">
        <v>855</v>
      </c>
      <c r="D728" s="34" t="s">
        <v>210</v>
      </c>
      <c r="E728" s="34" t="s">
        <v>211</v>
      </c>
      <c r="F728" s="34" t="s">
        <v>331</v>
      </c>
      <c r="G728" s="34" t="s">
        <v>213</v>
      </c>
      <c r="H728" s="34" t="s">
        <v>285</v>
      </c>
      <c r="I728" s="35" t="str">
        <f>VLOOKUP(H728,人員與團隊!$A$4:$D$27,3,FALSE)</f>
        <v>線上服務</v>
      </c>
      <c r="J728" s="34" t="s">
        <v>215</v>
      </c>
      <c r="K728" s="33">
        <v>46191.030555555553</v>
      </c>
      <c r="L728" s="33">
        <v>46191.120336817126</v>
      </c>
      <c r="M728" s="36">
        <f t="shared" si="55"/>
        <v>280.9999999939464</v>
      </c>
      <c r="N728" s="37">
        <f t="shared" si="56"/>
        <v>6.8380836109863594</v>
      </c>
      <c r="O728" s="36">
        <f>VLOOKUP(G728,SLA標準!$A$4:$C$7,2,FALSE)</f>
        <v>480</v>
      </c>
      <c r="P728" s="37">
        <f>VLOOKUP(G728,SLA標準!$A$4:$C$7,3,FALSE)</f>
        <v>48</v>
      </c>
      <c r="Q728" s="35" t="str">
        <f t="shared" si="57"/>
        <v>達標</v>
      </c>
      <c r="R728" s="34" t="s">
        <v>47</v>
      </c>
      <c r="S728" s="35" t="str">
        <f t="shared" si="58"/>
        <v>是</v>
      </c>
      <c r="T728" s="36">
        <f>IFERROR(VLOOKUP(A728,滿意度調查!$B$4:$D$570,3,FALSE),"")</f>
        <v>4</v>
      </c>
      <c r="U728" s="35" t="str">
        <f t="shared" si="59"/>
        <v>2026-06</v>
      </c>
      <c r="V728" s="38">
        <f>IF(J728="已結案",0,(使用說明!$B$7-B728)*24)</f>
        <v>0</v>
      </c>
    </row>
    <row r="729" spans="1:22">
      <c r="A729" s="32" t="s">
        <v>1281</v>
      </c>
      <c r="B729" s="33">
        <v>46190.852083333331</v>
      </c>
      <c r="C729" s="34" t="s">
        <v>309</v>
      </c>
      <c r="D729" s="34" t="s">
        <v>210</v>
      </c>
      <c r="E729" s="34" t="s">
        <v>211</v>
      </c>
      <c r="F729" s="34" t="s">
        <v>212</v>
      </c>
      <c r="G729" s="34" t="s">
        <v>242</v>
      </c>
      <c r="H729" s="34" t="s">
        <v>384</v>
      </c>
      <c r="I729" s="35" t="str">
        <f>VLOOKUP(H729,人員與團隊!$A$4:$D$27,3,FALSE)</f>
        <v>線上服務</v>
      </c>
      <c r="J729" s="34" t="s">
        <v>215</v>
      </c>
      <c r="K729" s="33">
        <v>46190.90347222222</v>
      </c>
      <c r="L729" s="33">
        <v>46190.986112523147</v>
      </c>
      <c r="M729" s="36">
        <f t="shared" si="55"/>
        <v>74.000000000232831</v>
      </c>
      <c r="N729" s="37">
        <f t="shared" si="56"/>
        <v>3.2167005555820651</v>
      </c>
      <c r="O729" s="36">
        <f>VLOOKUP(G729,SLA標準!$A$4:$C$7,2,FALSE)</f>
        <v>240</v>
      </c>
      <c r="P729" s="37">
        <f>VLOOKUP(G729,SLA標準!$A$4:$C$7,3,FALSE)</f>
        <v>24</v>
      </c>
      <c r="Q729" s="35" t="str">
        <f t="shared" si="57"/>
        <v>達標</v>
      </c>
      <c r="R729" s="34" t="s">
        <v>41</v>
      </c>
      <c r="S729" s="35" t="str">
        <f t="shared" si="58"/>
        <v>否</v>
      </c>
      <c r="T729" s="36" t="str">
        <f>IFERROR(VLOOKUP(A729,滿意度調查!$B$4:$D$570,3,FALSE),"")</f>
        <v/>
      </c>
      <c r="U729" s="35" t="str">
        <f t="shared" si="59"/>
        <v>2026-06</v>
      </c>
      <c r="V729" s="38">
        <f>IF(J729="已結案",0,(使用說明!$B$7-B729)*24)</f>
        <v>0</v>
      </c>
    </row>
    <row r="730" spans="1:22">
      <c r="A730" s="32" t="s">
        <v>1282</v>
      </c>
      <c r="B730" s="33">
        <v>46191.425694444442</v>
      </c>
      <c r="C730" s="34" t="s">
        <v>644</v>
      </c>
      <c r="D730" s="34" t="s">
        <v>240</v>
      </c>
      <c r="E730" s="34" t="s">
        <v>211</v>
      </c>
      <c r="F730" s="34" t="s">
        <v>331</v>
      </c>
      <c r="G730" s="34" t="s">
        <v>242</v>
      </c>
      <c r="H730" s="34" t="s">
        <v>214</v>
      </c>
      <c r="I730" s="35" t="str">
        <f>VLOOKUP(H730,人員與團隊!$A$4:$D$27,3,FALSE)</f>
        <v>北區服務</v>
      </c>
      <c r="J730" s="34" t="s">
        <v>215</v>
      </c>
      <c r="K730" s="33">
        <v>46191.59375</v>
      </c>
      <c r="L730" s="33">
        <v>46191.600011620372</v>
      </c>
      <c r="M730" s="36">
        <f t="shared" si="55"/>
        <v>242.0000000030268</v>
      </c>
      <c r="N730" s="37">
        <f t="shared" si="56"/>
        <v>4.1836122223176062</v>
      </c>
      <c r="O730" s="36">
        <f>VLOOKUP(G730,SLA標準!$A$4:$C$7,2,FALSE)</f>
        <v>240</v>
      </c>
      <c r="P730" s="37">
        <f>VLOOKUP(G730,SLA標準!$A$4:$C$7,3,FALSE)</f>
        <v>24</v>
      </c>
      <c r="Q730" s="35" t="str">
        <f t="shared" si="57"/>
        <v>逾期</v>
      </c>
      <c r="R730" s="34" t="s">
        <v>47</v>
      </c>
      <c r="S730" s="35" t="str">
        <f t="shared" si="58"/>
        <v>是</v>
      </c>
      <c r="T730" s="36">
        <f>IFERROR(VLOOKUP(A730,滿意度調查!$B$4:$D$570,3,FALSE),"")</f>
        <v>4</v>
      </c>
      <c r="U730" s="35" t="str">
        <f t="shared" si="59"/>
        <v>2026-06</v>
      </c>
      <c r="V730" s="38">
        <f>IF(J730="已結案",0,(使用說明!$B$7-B730)*24)</f>
        <v>0</v>
      </c>
    </row>
    <row r="731" spans="1:22">
      <c r="A731" s="32" t="s">
        <v>1283</v>
      </c>
      <c r="B731" s="33">
        <v>46191.456250000003</v>
      </c>
      <c r="C731" s="34" t="s">
        <v>515</v>
      </c>
      <c r="D731" s="34" t="s">
        <v>218</v>
      </c>
      <c r="E731" s="34" t="s">
        <v>211</v>
      </c>
      <c r="F731" s="34" t="s">
        <v>331</v>
      </c>
      <c r="G731" s="34" t="s">
        <v>221</v>
      </c>
      <c r="H731" s="34" t="s">
        <v>361</v>
      </c>
      <c r="I731" s="35" t="str">
        <f>VLOOKUP(H731,人員與團隊!$A$4:$D$27,3,FALSE)</f>
        <v>南區服務</v>
      </c>
      <c r="J731" s="34" t="s">
        <v>356</v>
      </c>
      <c r="K731" s="33">
        <v>46191.498611111114</v>
      </c>
      <c r="L731" s="33"/>
      <c r="M731" s="36">
        <f t="shared" si="55"/>
        <v>60.999999999767169</v>
      </c>
      <c r="N731" s="37" t="str">
        <f t="shared" si="56"/>
        <v/>
      </c>
      <c r="O731" s="36">
        <f>VLOOKUP(G731,SLA標準!$A$4:$C$7,2,FALSE)</f>
        <v>60</v>
      </c>
      <c r="P731" s="37">
        <f>VLOOKUP(G731,SLA標準!$A$4:$C$7,3,FALSE)</f>
        <v>8</v>
      </c>
      <c r="Q731" s="35" t="str">
        <f t="shared" si="57"/>
        <v>逾期</v>
      </c>
      <c r="R731" s="34" t="s">
        <v>47</v>
      </c>
      <c r="S731" s="35" t="str">
        <f t="shared" si="58"/>
        <v>否</v>
      </c>
      <c r="T731" s="36" t="str">
        <f>IFERROR(VLOOKUP(A731,滿意度調查!$B$4:$D$570,3,FALSE),"")</f>
        <v/>
      </c>
      <c r="U731" s="35" t="str">
        <f t="shared" si="59"/>
        <v>2026-06</v>
      </c>
      <c r="V731" s="38">
        <f>IF(J731="已結案",0,(使用說明!$B$7-B731)*24)</f>
        <v>310.04999999993015</v>
      </c>
    </row>
    <row r="732" spans="1:22">
      <c r="A732" s="32" t="s">
        <v>1284</v>
      </c>
      <c r="B732" s="33">
        <v>46191.488888888889</v>
      </c>
      <c r="C732" s="34" t="s">
        <v>951</v>
      </c>
      <c r="D732" s="34" t="s">
        <v>225</v>
      </c>
      <c r="E732" s="34" t="s">
        <v>235</v>
      </c>
      <c r="F732" s="34" t="s">
        <v>298</v>
      </c>
      <c r="G732" s="34" t="s">
        <v>213</v>
      </c>
      <c r="H732" s="34" t="s">
        <v>232</v>
      </c>
      <c r="I732" s="35" t="str">
        <f>VLOOKUP(H732,人員與團隊!$A$4:$D$27,3,FALSE)</f>
        <v>北區服務</v>
      </c>
      <c r="J732" s="34" t="s">
        <v>215</v>
      </c>
      <c r="K732" s="33">
        <v>46191.705555555556</v>
      </c>
      <c r="L732" s="33">
        <v>46192.5201069213</v>
      </c>
      <c r="M732" s="36">
        <f t="shared" si="55"/>
        <v>312.00000000069849</v>
      </c>
      <c r="N732" s="37">
        <f t="shared" si="56"/>
        <v>24.749232777860016</v>
      </c>
      <c r="O732" s="36">
        <f>VLOOKUP(G732,SLA標準!$A$4:$C$7,2,FALSE)</f>
        <v>480</v>
      </c>
      <c r="P732" s="37">
        <f>VLOOKUP(G732,SLA標準!$A$4:$C$7,3,FALSE)</f>
        <v>48</v>
      </c>
      <c r="Q732" s="35" t="str">
        <f t="shared" si="57"/>
        <v>達標</v>
      </c>
      <c r="R732" s="34" t="s">
        <v>47</v>
      </c>
      <c r="S732" s="35" t="str">
        <f t="shared" si="58"/>
        <v>是</v>
      </c>
      <c r="T732" s="36">
        <f>IFERROR(VLOOKUP(A732,滿意度調查!$B$4:$D$570,3,FALSE),"")</f>
        <v>5</v>
      </c>
      <c r="U732" s="35" t="str">
        <f t="shared" si="59"/>
        <v>2026-06</v>
      </c>
      <c r="V732" s="38">
        <f>IF(J732="已結案",0,(使用說明!$B$7-B732)*24)</f>
        <v>0</v>
      </c>
    </row>
    <row r="733" spans="1:22">
      <c r="A733" s="32" t="s">
        <v>1285</v>
      </c>
      <c r="B733" s="33">
        <v>46191.525694444441</v>
      </c>
      <c r="C733" s="34" t="s">
        <v>217</v>
      </c>
      <c r="D733" s="34" t="s">
        <v>210</v>
      </c>
      <c r="E733" s="34" t="s">
        <v>245</v>
      </c>
      <c r="F733" s="34" t="s">
        <v>282</v>
      </c>
      <c r="G733" s="34" t="s">
        <v>242</v>
      </c>
      <c r="H733" s="34" t="s">
        <v>372</v>
      </c>
      <c r="I733" s="35" t="str">
        <f>VLOOKUP(H733,人員與團隊!$A$4:$D$27,3,FALSE)</f>
        <v>南區服務</v>
      </c>
      <c r="J733" s="34" t="s">
        <v>215</v>
      </c>
      <c r="K733" s="33">
        <v>46191.64166666667</v>
      </c>
      <c r="L733" s="33">
        <v>46192.731771331019</v>
      </c>
      <c r="M733" s="36">
        <f t="shared" si="55"/>
        <v>167.00000001001172</v>
      </c>
      <c r="N733" s="37">
        <f t="shared" si="56"/>
        <v>28.945845277863555</v>
      </c>
      <c r="O733" s="36">
        <f>VLOOKUP(G733,SLA標準!$A$4:$C$7,2,FALSE)</f>
        <v>240</v>
      </c>
      <c r="P733" s="37">
        <f>VLOOKUP(G733,SLA標準!$A$4:$C$7,3,FALSE)</f>
        <v>24</v>
      </c>
      <c r="Q733" s="35" t="str">
        <f t="shared" si="57"/>
        <v>逾期</v>
      </c>
      <c r="R733" s="34" t="s">
        <v>47</v>
      </c>
      <c r="S733" s="35" t="str">
        <f t="shared" si="58"/>
        <v>是</v>
      </c>
      <c r="T733" s="36">
        <f>IFERROR(VLOOKUP(A733,滿意度調查!$B$4:$D$570,3,FALSE),"")</f>
        <v>3</v>
      </c>
      <c r="U733" s="35" t="str">
        <f t="shared" si="59"/>
        <v>2026-06</v>
      </c>
      <c r="V733" s="38">
        <f>IF(J733="已結案",0,(使用說明!$B$7-B733)*24)</f>
        <v>0</v>
      </c>
    </row>
    <row r="734" spans="1:22">
      <c r="A734" s="32" t="s">
        <v>1286</v>
      </c>
      <c r="B734" s="33">
        <v>46191.565972222219</v>
      </c>
      <c r="C734" s="34" t="s">
        <v>427</v>
      </c>
      <c r="D734" s="34" t="s">
        <v>218</v>
      </c>
      <c r="E734" s="34" t="s">
        <v>230</v>
      </c>
      <c r="F734" s="34" t="s">
        <v>272</v>
      </c>
      <c r="G734" s="34" t="s">
        <v>242</v>
      </c>
      <c r="H734" s="34" t="s">
        <v>243</v>
      </c>
      <c r="I734" s="35" t="str">
        <f>VLOOKUP(H734,人員與團隊!$A$4:$D$27,3,FALSE)</f>
        <v>南區服務</v>
      </c>
      <c r="J734" s="34" t="s">
        <v>215</v>
      </c>
      <c r="K734" s="33">
        <v>46191.724999999999</v>
      </c>
      <c r="L734" s="33">
        <v>46192.253951076389</v>
      </c>
      <c r="M734" s="36">
        <f t="shared" si="55"/>
        <v>229.00000000256114</v>
      </c>
      <c r="N734" s="37">
        <f t="shared" si="56"/>
        <v>16.511492500081658</v>
      </c>
      <c r="O734" s="36">
        <f>VLOOKUP(G734,SLA標準!$A$4:$C$7,2,FALSE)</f>
        <v>240</v>
      </c>
      <c r="P734" s="37">
        <f>VLOOKUP(G734,SLA標準!$A$4:$C$7,3,FALSE)</f>
        <v>24</v>
      </c>
      <c r="Q734" s="35" t="str">
        <f t="shared" si="57"/>
        <v>達標</v>
      </c>
      <c r="R734" s="34" t="s">
        <v>47</v>
      </c>
      <c r="S734" s="35" t="str">
        <f t="shared" si="58"/>
        <v>是</v>
      </c>
      <c r="T734" s="36">
        <f>IFERROR(VLOOKUP(A734,滿意度調查!$B$4:$D$570,3,FALSE),"")</f>
        <v>5</v>
      </c>
      <c r="U734" s="35" t="str">
        <f t="shared" si="59"/>
        <v>2026-06</v>
      </c>
      <c r="V734" s="38">
        <f>IF(J734="已結案",0,(使用說明!$B$7-B734)*24)</f>
        <v>0</v>
      </c>
    </row>
    <row r="735" spans="1:22">
      <c r="A735" s="32" t="s">
        <v>1287</v>
      </c>
      <c r="B735" s="33">
        <v>46191.682638888888</v>
      </c>
      <c r="C735" s="34" t="s">
        <v>1220</v>
      </c>
      <c r="D735" s="34" t="s">
        <v>218</v>
      </c>
      <c r="E735" s="34" t="s">
        <v>245</v>
      </c>
      <c r="F735" s="34" t="s">
        <v>358</v>
      </c>
      <c r="G735" s="34" t="s">
        <v>242</v>
      </c>
      <c r="H735" s="34" t="s">
        <v>214</v>
      </c>
      <c r="I735" s="35" t="str">
        <f>VLOOKUP(H735,人員與團隊!$A$4:$D$27,3,FALSE)</f>
        <v>北區服務</v>
      </c>
      <c r="J735" s="34" t="s">
        <v>215</v>
      </c>
      <c r="K735" s="33">
        <v>46192.024305555555</v>
      </c>
      <c r="L735" s="33">
        <v>46194.145237094905</v>
      </c>
      <c r="M735" s="36">
        <f t="shared" si="55"/>
        <v>492.00000000069849</v>
      </c>
      <c r="N735" s="37">
        <f t="shared" si="56"/>
        <v>59.102356944407802</v>
      </c>
      <c r="O735" s="36">
        <f>VLOOKUP(G735,SLA標準!$A$4:$C$7,2,FALSE)</f>
        <v>240</v>
      </c>
      <c r="P735" s="37">
        <f>VLOOKUP(G735,SLA標準!$A$4:$C$7,3,FALSE)</f>
        <v>24</v>
      </c>
      <c r="Q735" s="35" t="str">
        <f t="shared" si="57"/>
        <v>逾期</v>
      </c>
      <c r="R735" s="34" t="s">
        <v>47</v>
      </c>
      <c r="S735" s="35" t="str">
        <f t="shared" si="58"/>
        <v>是</v>
      </c>
      <c r="T735" s="36">
        <f>IFERROR(VLOOKUP(A735,滿意度調查!$B$4:$D$570,3,FALSE),"")</f>
        <v>3</v>
      </c>
      <c r="U735" s="35" t="str">
        <f t="shared" si="59"/>
        <v>2026-06</v>
      </c>
      <c r="V735" s="38">
        <f>IF(J735="已結案",0,(使用說明!$B$7-B735)*24)</f>
        <v>0</v>
      </c>
    </row>
    <row r="736" spans="1:22">
      <c r="A736" s="32" t="s">
        <v>1288</v>
      </c>
      <c r="B736" s="33">
        <v>46191.710416666669</v>
      </c>
      <c r="C736" s="34" t="s">
        <v>441</v>
      </c>
      <c r="D736" s="34" t="s">
        <v>210</v>
      </c>
      <c r="E736" s="34" t="s">
        <v>211</v>
      </c>
      <c r="F736" s="34" t="s">
        <v>334</v>
      </c>
      <c r="G736" s="34" t="s">
        <v>221</v>
      </c>
      <c r="H736" s="34" t="s">
        <v>305</v>
      </c>
      <c r="I736" s="35" t="str">
        <f>VLOOKUP(H736,人員與團隊!$A$4:$D$27,3,FALSE)</f>
        <v>線上服務</v>
      </c>
      <c r="J736" s="34" t="s">
        <v>356</v>
      </c>
      <c r="K736" s="33">
        <v>46191.720833333333</v>
      </c>
      <c r="L736" s="33"/>
      <c r="M736" s="36">
        <f t="shared" si="55"/>
        <v>14.99999999650754</v>
      </c>
      <c r="N736" s="37" t="str">
        <f t="shared" si="56"/>
        <v/>
      </c>
      <c r="O736" s="36">
        <f>VLOOKUP(G736,SLA標準!$A$4:$C$7,2,FALSE)</f>
        <v>60</v>
      </c>
      <c r="P736" s="37">
        <f>VLOOKUP(G736,SLA標準!$A$4:$C$7,3,FALSE)</f>
        <v>8</v>
      </c>
      <c r="Q736" s="35" t="str">
        <f t="shared" si="57"/>
        <v>逾期</v>
      </c>
      <c r="R736" s="34" t="s">
        <v>47</v>
      </c>
      <c r="S736" s="35" t="str">
        <f t="shared" si="58"/>
        <v>否</v>
      </c>
      <c r="T736" s="36" t="str">
        <f>IFERROR(VLOOKUP(A736,滿意度調查!$B$4:$D$570,3,FALSE),"")</f>
        <v/>
      </c>
      <c r="U736" s="35" t="str">
        <f t="shared" si="59"/>
        <v>2026-06</v>
      </c>
      <c r="V736" s="38">
        <f>IF(J736="已結案",0,(使用說明!$B$7-B736)*24)</f>
        <v>303.94999999995343</v>
      </c>
    </row>
    <row r="737" spans="1:22">
      <c r="A737" s="32" t="s">
        <v>1289</v>
      </c>
      <c r="B737" s="33">
        <v>46191.738888888889</v>
      </c>
      <c r="C737" s="34" t="s">
        <v>543</v>
      </c>
      <c r="D737" s="34" t="s">
        <v>210</v>
      </c>
      <c r="E737" s="34" t="s">
        <v>245</v>
      </c>
      <c r="F737" s="34" t="s">
        <v>282</v>
      </c>
      <c r="G737" s="34" t="s">
        <v>242</v>
      </c>
      <c r="H737" s="34" t="s">
        <v>285</v>
      </c>
      <c r="I737" s="35" t="str">
        <f>VLOOKUP(H737,人員與團隊!$A$4:$D$27,3,FALSE)</f>
        <v>線上服務</v>
      </c>
      <c r="J737" s="34" t="s">
        <v>774</v>
      </c>
      <c r="K737" s="33">
        <v>46191.818749999999</v>
      </c>
      <c r="L737" s="33"/>
      <c r="M737" s="36">
        <f t="shared" si="55"/>
        <v>114.99999999767169</v>
      </c>
      <c r="N737" s="37" t="str">
        <f t="shared" si="56"/>
        <v/>
      </c>
      <c r="O737" s="36">
        <f>VLOOKUP(G737,SLA標準!$A$4:$C$7,2,FALSE)</f>
        <v>240</v>
      </c>
      <c r="P737" s="37">
        <f>VLOOKUP(G737,SLA標準!$A$4:$C$7,3,FALSE)</f>
        <v>24</v>
      </c>
      <c r="Q737" s="35" t="str">
        <f t="shared" si="57"/>
        <v>逾期</v>
      </c>
      <c r="R737" s="34" t="s">
        <v>47</v>
      </c>
      <c r="S737" s="35" t="str">
        <f t="shared" si="58"/>
        <v>否</v>
      </c>
      <c r="T737" s="36" t="str">
        <f>IFERROR(VLOOKUP(A737,滿意度調查!$B$4:$D$570,3,FALSE),"")</f>
        <v/>
      </c>
      <c r="U737" s="35" t="str">
        <f t="shared" si="59"/>
        <v>2026-06</v>
      </c>
      <c r="V737" s="38">
        <f>IF(J737="已結案",0,(使用說明!$B$7-B737)*24)</f>
        <v>303.26666666666279</v>
      </c>
    </row>
    <row r="738" spans="1:22">
      <c r="A738" s="32" t="s">
        <v>1290</v>
      </c>
      <c r="B738" s="33">
        <v>46191.76458333333</v>
      </c>
      <c r="C738" s="34" t="s">
        <v>868</v>
      </c>
      <c r="D738" s="34" t="s">
        <v>225</v>
      </c>
      <c r="E738" s="34" t="s">
        <v>235</v>
      </c>
      <c r="F738" s="34" t="s">
        <v>253</v>
      </c>
      <c r="G738" s="34" t="s">
        <v>350</v>
      </c>
      <c r="H738" s="34" t="s">
        <v>361</v>
      </c>
      <c r="I738" s="35" t="str">
        <f>VLOOKUP(H738,人員與團隊!$A$4:$D$27,3,FALSE)</f>
        <v>南區服務</v>
      </c>
      <c r="J738" s="34" t="s">
        <v>215</v>
      </c>
      <c r="K738" s="33">
        <v>46191.77847222222</v>
      </c>
      <c r="L738" s="33">
        <v>46192.007550706017</v>
      </c>
      <c r="M738" s="36">
        <f t="shared" si="55"/>
        <v>20.000000002328306</v>
      </c>
      <c r="N738" s="37">
        <f t="shared" si="56"/>
        <v>5.83121694449801</v>
      </c>
      <c r="O738" s="36">
        <f>VLOOKUP(G738,SLA標準!$A$4:$C$7,2,FALSE)</f>
        <v>30</v>
      </c>
      <c r="P738" s="37">
        <f>VLOOKUP(G738,SLA標準!$A$4:$C$7,3,FALSE)</f>
        <v>4</v>
      </c>
      <c r="Q738" s="35" t="str">
        <f t="shared" si="57"/>
        <v>逾期</v>
      </c>
      <c r="R738" s="34" t="s">
        <v>47</v>
      </c>
      <c r="S738" s="35" t="str">
        <f t="shared" si="58"/>
        <v>是</v>
      </c>
      <c r="T738" s="36">
        <f>IFERROR(VLOOKUP(A738,滿意度調查!$B$4:$D$570,3,FALSE),"")</f>
        <v>3</v>
      </c>
      <c r="U738" s="35" t="str">
        <f t="shared" si="59"/>
        <v>2026-06</v>
      </c>
      <c r="V738" s="38">
        <f>IF(J738="已結案",0,(使用說明!$B$7-B738)*24)</f>
        <v>0</v>
      </c>
    </row>
    <row r="739" spans="1:22">
      <c r="A739" s="32" t="s">
        <v>1291</v>
      </c>
      <c r="B739" s="33">
        <v>46191.830555555556</v>
      </c>
      <c r="C739" s="34" t="s">
        <v>1292</v>
      </c>
      <c r="D739" s="34" t="s">
        <v>225</v>
      </c>
      <c r="E739" s="34" t="s">
        <v>211</v>
      </c>
      <c r="F739" s="34" t="s">
        <v>334</v>
      </c>
      <c r="G739" s="34" t="s">
        <v>350</v>
      </c>
      <c r="H739" s="34" t="s">
        <v>262</v>
      </c>
      <c r="I739" s="35" t="str">
        <f>VLOOKUP(H739,人員與團隊!$A$4:$D$27,3,FALSE)</f>
        <v>南區服務</v>
      </c>
      <c r="J739" s="34" t="s">
        <v>215</v>
      </c>
      <c r="K739" s="33">
        <v>46191.836111111108</v>
      </c>
      <c r="L739" s="33">
        <v>46192.000994895832</v>
      </c>
      <c r="M739" s="36">
        <f t="shared" si="55"/>
        <v>7.9999999946448952</v>
      </c>
      <c r="N739" s="37">
        <f t="shared" si="56"/>
        <v>4.0905441666254774</v>
      </c>
      <c r="O739" s="36">
        <f>VLOOKUP(G739,SLA標準!$A$4:$C$7,2,FALSE)</f>
        <v>30</v>
      </c>
      <c r="P739" s="37">
        <f>VLOOKUP(G739,SLA標準!$A$4:$C$7,3,FALSE)</f>
        <v>4</v>
      </c>
      <c r="Q739" s="35" t="str">
        <f t="shared" si="57"/>
        <v>逾期</v>
      </c>
      <c r="R739" s="34" t="s">
        <v>47</v>
      </c>
      <c r="S739" s="35" t="str">
        <f t="shared" si="58"/>
        <v>否</v>
      </c>
      <c r="T739" s="36" t="str">
        <f>IFERROR(VLOOKUP(A739,滿意度調查!$B$4:$D$570,3,FALSE),"")</f>
        <v/>
      </c>
      <c r="U739" s="35" t="str">
        <f t="shared" si="59"/>
        <v>2026-06</v>
      </c>
      <c r="V739" s="38">
        <f>IF(J739="已結案",0,(使用說明!$B$7-B739)*24)</f>
        <v>0</v>
      </c>
    </row>
    <row r="740" spans="1:22">
      <c r="A740" s="32" t="s">
        <v>1293</v>
      </c>
      <c r="B740" s="33">
        <v>46192.34097222222</v>
      </c>
      <c r="C740" s="34" t="s">
        <v>1294</v>
      </c>
      <c r="D740" s="34" t="s">
        <v>210</v>
      </c>
      <c r="E740" s="34" t="s">
        <v>211</v>
      </c>
      <c r="F740" s="34" t="s">
        <v>212</v>
      </c>
      <c r="G740" s="34" t="s">
        <v>213</v>
      </c>
      <c r="H740" s="34" t="s">
        <v>325</v>
      </c>
      <c r="I740" s="35" t="str">
        <f>VLOOKUP(H740,人員與團隊!$A$4:$D$27,3,FALSE)</f>
        <v>線上服務</v>
      </c>
      <c r="J740" s="34" t="s">
        <v>215</v>
      </c>
      <c r="K740" s="33">
        <v>46192.519444444442</v>
      </c>
      <c r="L740" s="33">
        <v>46192.571555798611</v>
      </c>
      <c r="M740" s="36">
        <f t="shared" si="55"/>
        <v>256.99999999953434</v>
      </c>
      <c r="N740" s="37">
        <f t="shared" si="56"/>
        <v>5.5340058333822526</v>
      </c>
      <c r="O740" s="36">
        <f>VLOOKUP(G740,SLA標準!$A$4:$C$7,2,FALSE)</f>
        <v>480</v>
      </c>
      <c r="P740" s="37">
        <f>VLOOKUP(G740,SLA標準!$A$4:$C$7,3,FALSE)</f>
        <v>48</v>
      </c>
      <c r="Q740" s="35" t="str">
        <f t="shared" si="57"/>
        <v>達標</v>
      </c>
      <c r="R740" s="34" t="s">
        <v>47</v>
      </c>
      <c r="S740" s="35" t="str">
        <f t="shared" si="58"/>
        <v>是</v>
      </c>
      <c r="T740" s="36">
        <f>IFERROR(VLOOKUP(A740,滿意度調查!$B$4:$D$570,3,FALSE),"")</f>
        <v>5</v>
      </c>
      <c r="U740" s="35" t="str">
        <f t="shared" si="59"/>
        <v>2026-06</v>
      </c>
      <c r="V740" s="38">
        <f>IF(J740="已結案",0,(使用說明!$B$7-B740)*24)</f>
        <v>0</v>
      </c>
    </row>
    <row r="741" spans="1:22">
      <c r="A741" s="32" t="s">
        <v>1295</v>
      </c>
      <c r="B741" s="33">
        <v>46192.347222222219</v>
      </c>
      <c r="C741" s="34" t="s">
        <v>944</v>
      </c>
      <c r="D741" s="34" t="s">
        <v>210</v>
      </c>
      <c r="E741" s="34" t="s">
        <v>211</v>
      </c>
      <c r="F741" s="34" t="s">
        <v>334</v>
      </c>
      <c r="G741" s="34" t="s">
        <v>242</v>
      </c>
      <c r="H741" s="34" t="s">
        <v>408</v>
      </c>
      <c r="I741" s="35" t="str">
        <f>VLOOKUP(H741,人員與團隊!$A$4:$D$27,3,FALSE)</f>
        <v>線上服務</v>
      </c>
      <c r="J741" s="34" t="s">
        <v>275</v>
      </c>
      <c r="K741" s="33">
        <v>46192.376388888886</v>
      </c>
      <c r="L741" s="33"/>
      <c r="M741" s="36">
        <f t="shared" si="55"/>
        <v>42.000000000698492</v>
      </c>
      <c r="N741" s="37" t="str">
        <f t="shared" si="56"/>
        <v/>
      </c>
      <c r="O741" s="36">
        <f>VLOOKUP(G741,SLA標準!$A$4:$C$7,2,FALSE)</f>
        <v>240</v>
      </c>
      <c r="P741" s="37">
        <f>VLOOKUP(G741,SLA標準!$A$4:$C$7,3,FALSE)</f>
        <v>24</v>
      </c>
      <c r="Q741" s="35" t="str">
        <f t="shared" si="57"/>
        <v>逾期</v>
      </c>
      <c r="R741" s="34" t="s">
        <v>47</v>
      </c>
      <c r="S741" s="35" t="str">
        <f t="shared" si="58"/>
        <v>否</v>
      </c>
      <c r="T741" s="36" t="str">
        <f>IFERROR(VLOOKUP(A741,滿意度調查!$B$4:$D$570,3,FALSE),"")</f>
        <v/>
      </c>
      <c r="U741" s="35" t="str">
        <f t="shared" si="59"/>
        <v>2026-06</v>
      </c>
      <c r="V741" s="38">
        <f>IF(J741="已結案",0,(使用說明!$B$7-B741)*24)</f>
        <v>288.66666666674428</v>
      </c>
    </row>
    <row r="742" spans="1:22">
      <c r="A742" s="32" t="s">
        <v>1296</v>
      </c>
      <c r="B742" s="33">
        <v>46192.395138888889</v>
      </c>
      <c r="C742" s="34" t="s">
        <v>264</v>
      </c>
      <c r="D742" s="34" t="s">
        <v>218</v>
      </c>
      <c r="E742" s="34" t="s">
        <v>265</v>
      </c>
      <c r="F742" s="34" t="s">
        <v>304</v>
      </c>
      <c r="G742" s="34" t="s">
        <v>242</v>
      </c>
      <c r="H742" s="34" t="s">
        <v>315</v>
      </c>
      <c r="I742" s="35" t="str">
        <f>VLOOKUP(H742,人員與團隊!$A$4:$D$27,3,FALSE)</f>
        <v>北區服務</v>
      </c>
      <c r="J742" s="34" t="s">
        <v>275</v>
      </c>
      <c r="K742" s="33">
        <v>46192.587500000001</v>
      </c>
      <c r="L742" s="33"/>
      <c r="M742" s="36">
        <f t="shared" si="55"/>
        <v>277.00000000186265</v>
      </c>
      <c r="N742" s="37" t="str">
        <f t="shared" si="56"/>
        <v/>
      </c>
      <c r="O742" s="36">
        <f>VLOOKUP(G742,SLA標準!$A$4:$C$7,2,FALSE)</f>
        <v>240</v>
      </c>
      <c r="P742" s="37">
        <f>VLOOKUP(G742,SLA標準!$A$4:$C$7,3,FALSE)</f>
        <v>24</v>
      </c>
      <c r="Q742" s="35" t="str">
        <f t="shared" si="57"/>
        <v>逾期</v>
      </c>
      <c r="R742" s="34" t="s">
        <v>47</v>
      </c>
      <c r="S742" s="35" t="str">
        <f t="shared" si="58"/>
        <v>否</v>
      </c>
      <c r="T742" s="36" t="str">
        <f>IFERROR(VLOOKUP(A742,滿意度調查!$B$4:$D$570,3,FALSE),"")</f>
        <v/>
      </c>
      <c r="U742" s="35" t="str">
        <f t="shared" si="59"/>
        <v>2026-06</v>
      </c>
      <c r="V742" s="38">
        <f>IF(J742="已結案",0,(使用說明!$B$7-B742)*24)</f>
        <v>287.51666666666279</v>
      </c>
    </row>
    <row r="743" spans="1:22">
      <c r="A743" s="32" t="s">
        <v>1297</v>
      </c>
      <c r="B743" s="33">
        <v>46192.476388888892</v>
      </c>
      <c r="C743" s="34" t="s">
        <v>920</v>
      </c>
      <c r="D743" s="34" t="s">
        <v>240</v>
      </c>
      <c r="E743" s="34" t="s">
        <v>211</v>
      </c>
      <c r="F743" s="34" t="s">
        <v>212</v>
      </c>
      <c r="G743" s="34" t="s">
        <v>221</v>
      </c>
      <c r="H743" s="34" t="s">
        <v>232</v>
      </c>
      <c r="I743" s="35" t="str">
        <f>VLOOKUP(H743,人員與團隊!$A$4:$D$27,3,FALSE)</f>
        <v>北區服務</v>
      </c>
      <c r="J743" s="34" t="s">
        <v>356</v>
      </c>
      <c r="K743" s="33">
        <v>46192.515277777777</v>
      </c>
      <c r="L743" s="33"/>
      <c r="M743" s="36">
        <f t="shared" si="55"/>
        <v>55.999999993946403</v>
      </c>
      <c r="N743" s="37" t="str">
        <f t="shared" si="56"/>
        <v/>
      </c>
      <c r="O743" s="36">
        <f>VLOOKUP(G743,SLA標準!$A$4:$C$7,2,FALSE)</f>
        <v>60</v>
      </c>
      <c r="P743" s="37">
        <f>VLOOKUP(G743,SLA標準!$A$4:$C$7,3,FALSE)</f>
        <v>8</v>
      </c>
      <c r="Q743" s="35" t="str">
        <f t="shared" si="57"/>
        <v>逾期</v>
      </c>
      <c r="R743" s="34" t="s">
        <v>41</v>
      </c>
      <c r="S743" s="35" t="str">
        <f t="shared" si="58"/>
        <v>否</v>
      </c>
      <c r="T743" s="36" t="str">
        <f>IFERROR(VLOOKUP(A743,滿意度調查!$B$4:$D$570,3,FALSE),"")</f>
        <v/>
      </c>
      <c r="U743" s="35" t="str">
        <f t="shared" si="59"/>
        <v>2026-06</v>
      </c>
      <c r="V743" s="38">
        <f>IF(J743="已結案",0,(使用說明!$B$7-B743)*24)</f>
        <v>285.56666666659294</v>
      </c>
    </row>
    <row r="744" spans="1:22">
      <c r="A744" s="32" t="s">
        <v>1298</v>
      </c>
      <c r="B744" s="33">
        <v>46192.479166666664</v>
      </c>
      <c r="C744" s="34" t="s">
        <v>269</v>
      </c>
      <c r="D744" s="34" t="s">
        <v>225</v>
      </c>
      <c r="E744" s="34" t="s">
        <v>230</v>
      </c>
      <c r="F744" s="34" t="s">
        <v>339</v>
      </c>
      <c r="G744" s="34" t="s">
        <v>242</v>
      </c>
      <c r="H744" s="34" t="s">
        <v>232</v>
      </c>
      <c r="I744" s="35" t="str">
        <f>VLOOKUP(H744,人員與團隊!$A$4:$D$27,3,FALSE)</f>
        <v>北區服務</v>
      </c>
      <c r="J744" s="34" t="s">
        <v>215</v>
      </c>
      <c r="K744" s="33">
        <v>46192.539583333331</v>
      </c>
      <c r="L744" s="33">
        <v>46194.212307476853</v>
      </c>
      <c r="M744" s="36">
        <f t="shared" si="55"/>
        <v>87.000000000698492</v>
      </c>
      <c r="N744" s="37">
        <f t="shared" si="56"/>
        <v>41.595379444537684</v>
      </c>
      <c r="O744" s="36">
        <f>VLOOKUP(G744,SLA標準!$A$4:$C$7,2,FALSE)</f>
        <v>240</v>
      </c>
      <c r="P744" s="37">
        <f>VLOOKUP(G744,SLA標準!$A$4:$C$7,3,FALSE)</f>
        <v>24</v>
      </c>
      <c r="Q744" s="35" t="str">
        <f t="shared" si="57"/>
        <v>逾期</v>
      </c>
      <c r="R744" s="34" t="s">
        <v>47</v>
      </c>
      <c r="S744" s="35" t="str">
        <f t="shared" si="58"/>
        <v>是</v>
      </c>
      <c r="T744" s="36">
        <f>IFERROR(VLOOKUP(A744,滿意度調查!$B$4:$D$570,3,FALSE),"")</f>
        <v>3</v>
      </c>
      <c r="U744" s="35" t="str">
        <f t="shared" si="59"/>
        <v>2026-06</v>
      </c>
      <c r="V744" s="38">
        <f>IF(J744="已結案",0,(使用說明!$B$7-B744)*24)</f>
        <v>0</v>
      </c>
    </row>
    <row r="745" spans="1:22">
      <c r="A745" s="32" t="s">
        <v>1299</v>
      </c>
      <c r="B745" s="33">
        <v>46192.527777777781</v>
      </c>
      <c r="C745" s="34" t="s">
        <v>1003</v>
      </c>
      <c r="D745" s="34" t="s">
        <v>210</v>
      </c>
      <c r="E745" s="34" t="s">
        <v>265</v>
      </c>
      <c r="F745" s="34" t="s">
        <v>301</v>
      </c>
      <c r="G745" s="34" t="s">
        <v>242</v>
      </c>
      <c r="H745" s="34" t="s">
        <v>305</v>
      </c>
      <c r="I745" s="35" t="str">
        <f>VLOOKUP(H745,人員與團隊!$A$4:$D$27,3,FALSE)</f>
        <v>線上服務</v>
      </c>
      <c r="J745" s="34" t="s">
        <v>215</v>
      </c>
      <c r="K745" s="33">
        <v>46192.563888888886</v>
      </c>
      <c r="L745" s="33">
        <v>46193.438014594911</v>
      </c>
      <c r="M745" s="36">
        <f t="shared" si="55"/>
        <v>51.999999991385266</v>
      </c>
      <c r="N745" s="37">
        <f t="shared" si="56"/>
        <v>21.845683611114509</v>
      </c>
      <c r="O745" s="36">
        <f>VLOOKUP(G745,SLA標準!$A$4:$C$7,2,FALSE)</f>
        <v>240</v>
      </c>
      <c r="P745" s="37">
        <f>VLOOKUP(G745,SLA標準!$A$4:$C$7,3,FALSE)</f>
        <v>24</v>
      </c>
      <c r="Q745" s="35" t="str">
        <f t="shared" si="57"/>
        <v>達標</v>
      </c>
      <c r="R745" s="34" t="s">
        <v>47</v>
      </c>
      <c r="S745" s="35" t="str">
        <f t="shared" si="58"/>
        <v>是</v>
      </c>
      <c r="T745" s="36">
        <f>IFERROR(VLOOKUP(A745,滿意度調查!$B$4:$D$570,3,FALSE),"")</f>
        <v>5</v>
      </c>
      <c r="U745" s="35" t="str">
        <f t="shared" si="59"/>
        <v>2026-06</v>
      </c>
      <c r="V745" s="38">
        <f>IF(J745="已結案",0,(使用說明!$B$7-B745)*24)</f>
        <v>0</v>
      </c>
    </row>
    <row r="746" spans="1:22">
      <c r="A746" s="32" t="s">
        <v>1300</v>
      </c>
      <c r="B746" s="33">
        <v>46192.544444444444</v>
      </c>
      <c r="C746" s="34" t="s">
        <v>330</v>
      </c>
      <c r="D746" s="34" t="s">
        <v>240</v>
      </c>
      <c r="E746" s="34" t="s">
        <v>211</v>
      </c>
      <c r="F746" s="34" t="s">
        <v>334</v>
      </c>
      <c r="G746" s="34" t="s">
        <v>242</v>
      </c>
      <c r="H746" s="34" t="s">
        <v>361</v>
      </c>
      <c r="I746" s="35" t="str">
        <f>VLOOKUP(H746,人員與團隊!$A$4:$D$27,3,FALSE)</f>
        <v>南區服務</v>
      </c>
      <c r="J746" s="34" t="s">
        <v>215</v>
      </c>
      <c r="K746" s="33">
        <v>46192.759027777778</v>
      </c>
      <c r="L746" s="33">
        <v>46192.697102511571</v>
      </c>
      <c r="M746" s="36">
        <f t="shared" si="55"/>
        <v>309.00000000139698</v>
      </c>
      <c r="N746" s="37">
        <f t="shared" si="56"/>
        <v>3.6637936110491864</v>
      </c>
      <c r="O746" s="36">
        <f>VLOOKUP(G746,SLA標準!$A$4:$C$7,2,FALSE)</f>
        <v>240</v>
      </c>
      <c r="P746" s="37">
        <f>VLOOKUP(G746,SLA標準!$A$4:$C$7,3,FALSE)</f>
        <v>24</v>
      </c>
      <c r="Q746" s="35" t="str">
        <f t="shared" si="57"/>
        <v>逾期</v>
      </c>
      <c r="R746" s="34" t="s">
        <v>47</v>
      </c>
      <c r="S746" s="35" t="str">
        <f t="shared" si="58"/>
        <v>是</v>
      </c>
      <c r="T746" s="36">
        <f>IFERROR(VLOOKUP(A746,滿意度調查!$B$4:$D$570,3,FALSE),"")</f>
        <v>3</v>
      </c>
      <c r="U746" s="35" t="str">
        <f t="shared" si="59"/>
        <v>2026-06</v>
      </c>
      <c r="V746" s="38">
        <f>IF(J746="已結案",0,(使用說明!$B$7-B746)*24)</f>
        <v>0</v>
      </c>
    </row>
    <row r="747" spans="1:22">
      <c r="A747" s="32" t="s">
        <v>1301</v>
      </c>
      <c r="B747" s="33">
        <v>46192.573611111111</v>
      </c>
      <c r="C747" s="34" t="s">
        <v>370</v>
      </c>
      <c r="D747" s="34" t="s">
        <v>210</v>
      </c>
      <c r="E747" s="34" t="s">
        <v>219</v>
      </c>
      <c r="F747" s="34" t="s">
        <v>220</v>
      </c>
      <c r="G747" s="34" t="s">
        <v>221</v>
      </c>
      <c r="H747" s="34" t="s">
        <v>372</v>
      </c>
      <c r="I747" s="35" t="str">
        <f>VLOOKUP(H747,人員與團隊!$A$4:$D$27,3,FALSE)</f>
        <v>南區服務</v>
      </c>
      <c r="J747" s="34" t="s">
        <v>215</v>
      </c>
      <c r="K747" s="33">
        <v>46192.597222222219</v>
      </c>
      <c r="L747" s="33">
        <v>46192.889620150461</v>
      </c>
      <c r="M747" s="36">
        <f t="shared" si="55"/>
        <v>33.999999995576218</v>
      </c>
      <c r="N747" s="37">
        <f t="shared" si="56"/>
        <v>7.5842169444076717</v>
      </c>
      <c r="O747" s="36">
        <f>VLOOKUP(G747,SLA標準!$A$4:$C$7,2,FALSE)</f>
        <v>60</v>
      </c>
      <c r="P747" s="37">
        <f>VLOOKUP(G747,SLA標準!$A$4:$C$7,3,FALSE)</f>
        <v>8</v>
      </c>
      <c r="Q747" s="35" t="str">
        <f t="shared" si="57"/>
        <v>達標</v>
      </c>
      <c r="R747" s="34" t="s">
        <v>47</v>
      </c>
      <c r="S747" s="35" t="str">
        <f t="shared" si="58"/>
        <v>是</v>
      </c>
      <c r="T747" s="36">
        <f>IFERROR(VLOOKUP(A747,滿意度調查!$B$4:$D$570,3,FALSE),"")</f>
        <v>5</v>
      </c>
      <c r="U747" s="35" t="str">
        <f t="shared" si="59"/>
        <v>2026-06</v>
      </c>
      <c r="V747" s="38">
        <f>IF(J747="已結案",0,(使用說明!$B$7-B747)*24)</f>
        <v>0</v>
      </c>
    </row>
    <row r="748" spans="1:22">
      <c r="A748" s="32" t="s">
        <v>1302</v>
      </c>
      <c r="B748" s="33">
        <v>46192.574305555558</v>
      </c>
      <c r="C748" s="34" t="s">
        <v>481</v>
      </c>
      <c r="D748" s="34" t="s">
        <v>210</v>
      </c>
      <c r="E748" s="34" t="s">
        <v>219</v>
      </c>
      <c r="F748" s="34" t="s">
        <v>249</v>
      </c>
      <c r="G748" s="34" t="s">
        <v>242</v>
      </c>
      <c r="H748" s="34" t="s">
        <v>267</v>
      </c>
      <c r="I748" s="35" t="str">
        <f>VLOOKUP(H748,人員與團隊!$A$4:$D$27,3,FALSE)</f>
        <v>南區服務</v>
      </c>
      <c r="J748" s="34" t="s">
        <v>215</v>
      </c>
      <c r="K748" s="33">
        <v>46192.640972222223</v>
      </c>
      <c r="L748" s="33">
        <v>46193.353923298608</v>
      </c>
      <c r="M748" s="36">
        <f t="shared" si="55"/>
        <v>95.999999998603016</v>
      </c>
      <c r="N748" s="37">
        <f t="shared" si="56"/>
        <v>18.710825833200943</v>
      </c>
      <c r="O748" s="36">
        <f>VLOOKUP(G748,SLA標準!$A$4:$C$7,2,FALSE)</f>
        <v>240</v>
      </c>
      <c r="P748" s="37">
        <f>VLOOKUP(G748,SLA標準!$A$4:$C$7,3,FALSE)</f>
        <v>24</v>
      </c>
      <c r="Q748" s="35" t="str">
        <f t="shared" si="57"/>
        <v>達標</v>
      </c>
      <c r="R748" s="34" t="s">
        <v>41</v>
      </c>
      <c r="S748" s="35" t="str">
        <f t="shared" si="58"/>
        <v>是</v>
      </c>
      <c r="T748" s="36">
        <f>IFERROR(VLOOKUP(A748,滿意度調查!$B$4:$D$570,3,FALSE),"")</f>
        <v>4</v>
      </c>
      <c r="U748" s="35" t="str">
        <f t="shared" si="59"/>
        <v>2026-06</v>
      </c>
      <c r="V748" s="38">
        <f>IF(J748="已結案",0,(使用說明!$B$7-B748)*24)</f>
        <v>0</v>
      </c>
    </row>
    <row r="749" spans="1:22">
      <c r="A749" s="32" t="s">
        <v>1303</v>
      </c>
      <c r="B749" s="33">
        <v>46192.59097222222</v>
      </c>
      <c r="C749" s="34" t="s">
        <v>432</v>
      </c>
      <c r="D749" s="34" t="s">
        <v>210</v>
      </c>
      <c r="E749" s="34" t="s">
        <v>265</v>
      </c>
      <c r="F749" s="34" t="s">
        <v>301</v>
      </c>
      <c r="G749" s="34" t="s">
        <v>221</v>
      </c>
      <c r="H749" s="34" t="s">
        <v>381</v>
      </c>
      <c r="I749" s="35" t="str">
        <f>VLOOKUP(H749,人員與團隊!$A$4:$D$27,3,FALSE)</f>
        <v>線上服務</v>
      </c>
      <c r="J749" s="34" t="s">
        <v>215</v>
      </c>
      <c r="K749" s="33">
        <v>46192.605555555558</v>
      </c>
      <c r="L749" s="33">
        <v>46192.953920231485</v>
      </c>
      <c r="M749" s="36">
        <f t="shared" si="55"/>
        <v>21.000000005587935</v>
      </c>
      <c r="N749" s="37">
        <f t="shared" si="56"/>
        <v>8.71075222233776</v>
      </c>
      <c r="O749" s="36">
        <f>VLOOKUP(G749,SLA標準!$A$4:$C$7,2,FALSE)</f>
        <v>60</v>
      </c>
      <c r="P749" s="37">
        <f>VLOOKUP(G749,SLA標準!$A$4:$C$7,3,FALSE)</f>
        <v>8</v>
      </c>
      <c r="Q749" s="35" t="str">
        <f t="shared" si="57"/>
        <v>逾期</v>
      </c>
      <c r="R749" s="34" t="s">
        <v>47</v>
      </c>
      <c r="S749" s="35" t="str">
        <f t="shared" si="58"/>
        <v>是</v>
      </c>
      <c r="T749" s="36">
        <f>IFERROR(VLOOKUP(A749,滿意度調查!$B$4:$D$570,3,FALSE),"")</f>
        <v>4</v>
      </c>
      <c r="U749" s="35" t="str">
        <f t="shared" si="59"/>
        <v>2026-06</v>
      </c>
      <c r="V749" s="38">
        <f>IF(J749="已結案",0,(使用說明!$B$7-B749)*24)</f>
        <v>0</v>
      </c>
    </row>
    <row r="750" spans="1:22">
      <c r="A750" s="32" t="s">
        <v>1304</v>
      </c>
      <c r="B750" s="33">
        <v>46192.606249999997</v>
      </c>
      <c r="C750" s="34" t="s">
        <v>271</v>
      </c>
      <c r="D750" s="34" t="s">
        <v>210</v>
      </c>
      <c r="E750" s="34" t="s">
        <v>211</v>
      </c>
      <c r="F750" s="34" t="s">
        <v>226</v>
      </c>
      <c r="G750" s="34" t="s">
        <v>221</v>
      </c>
      <c r="H750" s="34" t="s">
        <v>232</v>
      </c>
      <c r="I750" s="35" t="str">
        <f>VLOOKUP(H750,人員與團隊!$A$4:$D$27,3,FALSE)</f>
        <v>北區服務</v>
      </c>
      <c r="J750" s="34" t="s">
        <v>215</v>
      </c>
      <c r="K750" s="33">
        <v>46192.615972222222</v>
      </c>
      <c r="L750" s="33">
        <v>46192.959707337963</v>
      </c>
      <c r="M750" s="36">
        <f t="shared" si="55"/>
        <v>14.00000000372529</v>
      </c>
      <c r="N750" s="37">
        <f t="shared" si="56"/>
        <v>8.4829761111759581</v>
      </c>
      <c r="O750" s="36">
        <f>VLOOKUP(G750,SLA標準!$A$4:$C$7,2,FALSE)</f>
        <v>60</v>
      </c>
      <c r="P750" s="37">
        <f>VLOOKUP(G750,SLA標準!$A$4:$C$7,3,FALSE)</f>
        <v>8</v>
      </c>
      <c r="Q750" s="35" t="str">
        <f t="shared" si="57"/>
        <v>逾期</v>
      </c>
      <c r="R750" s="34" t="s">
        <v>47</v>
      </c>
      <c r="S750" s="35" t="str">
        <f t="shared" si="58"/>
        <v>否</v>
      </c>
      <c r="T750" s="36" t="str">
        <f>IFERROR(VLOOKUP(A750,滿意度調查!$B$4:$D$570,3,FALSE),"")</f>
        <v/>
      </c>
      <c r="U750" s="35" t="str">
        <f t="shared" si="59"/>
        <v>2026-06</v>
      </c>
      <c r="V750" s="38">
        <f>IF(J750="已結案",0,(使用說明!$B$7-B750)*24)</f>
        <v>0</v>
      </c>
    </row>
    <row r="751" spans="1:22">
      <c r="A751" s="32" t="s">
        <v>1305</v>
      </c>
      <c r="B751" s="33">
        <v>46192.634722222225</v>
      </c>
      <c r="C751" s="34" t="s">
        <v>602</v>
      </c>
      <c r="D751" s="34" t="s">
        <v>210</v>
      </c>
      <c r="E751" s="34" t="s">
        <v>211</v>
      </c>
      <c r="F751" s="34" t="s">
        <v>226</v>
      </c>
      <c r="G751" s="34" t="s">
        <v>242</v>
      </c>
      <c r="H751" s="34" t="s">
        <v>408</v>
      </c>
      <c r="I751" s="35" t="str">
        <f>VLOOKUP(H751,人員與團隊!$A$4:$D$27,3,FALSE)</f>
        <v>線上服務</v>
      </c>
      <c r="J751" s="34" t="s">
        <v>356</v>
      </c>
      <c r="K751" s="33">
        <v>46192.68472222222</v>
      </c>
      <c r="L751" s="33"/>
      <c r="M751" s="36">
        <f t="shared" si="55"/>
        <v>71.999999993713573</v>
      </c>
      <c r="N751" s="37" t="str">
        <f t="shared" si="56"/>
        <v/>
      </c>
      <c r="O751" s="36">
        <f>VLOOKUP(G751,SLA標準!$A$4:$C$7,2,FALSE)</f>
        <v>240</v>
      </c>
      <c r="P751" s="37">
        <f>VLOOKUP(G751,SLA標準!$A$4:$C$7,3,FALSE)</f>
        <v>24</v>
      </c>
      <c r="Q751" s="35" t="str">
        <f t="shared" si="57"/>
        <v>逾期</v>
      </c>
      <c r="R751" s="34" t="s">
        <v>47</v>
      </c>
      <c r="S751" s="35" t="str">
        <f t="shared" si="58"/>
        <v>否</v>
      </c>
      <c r="T751" s="36" t="str">
        <f>IFERROR(VLOOKUP(A751,滿意度調查!$B$4:$D$570,3,FALSE),"")</f>
        <v/>
      </c>
      <c r="U751" s="35" t="str">
        <f t="shared" si="59"/>
        <v>2026-06</v>
      </c>
      <c r="V751" s="38">
        <f>IF(J751="已結案",0,(使用說明!$B$7-B751)*24)</f>
        <v>281.76666666660458</v>
      </c>
    </row>
    <row r="752" spans="1:22">
      <c r="A752" s="32" t="s">
        <v>1306</v>
      </c>
      <c r="B752" s="33">
        <v>46192.652777777781</v>
      </c>
      <c r="C752" s="34" t="s">
        <v>779</v>
      </c>
      <c r="D752" s="34" t="s">
        <v>218</v>
      </c>
      <c r="E752" s="34" t="s">
        <v>245</v>
      </c>
      <c r="F752" s="34" t="s">
        <v>358</v>
      </c>
      <c r="G752" s="34" t="s">
        <v>242</v>
      </c>
      <c r="H752" s="34" t="s">
        <v>279</v>
      </c>
      <c r="I752" s="35" t="str">
        <f>VLOOKUP(H752,人員與團隊!$A$4:$D$27,3,FALSE)</f>
        <v>南區服務</v>
      </c>
      <c r="J752" s="34" t="s">
        <v>215</v>
      </c>
      <c r="K752" s="33">
        <v>46192.890972222223</v>
      </c>
      <c r="L752" s="33">
        <v>46194.261931597219</v>
      </c>
      <c r="M752" s="36">
        <f t="shared" si="55"/>
        <v>342.9999999969732</v>
      </c>
      <c r="N752" s="37">
        <f t="shared" si="56"/>
        <v>38.619691666506696</v>
      </c>
      <c r="O752" s="36">
        <f>VLOOKUP(G752,SLA標準!$A$4:$C$7,2,FALSE)</f>
        <v>240</v>
      </c>
      <c r="P752" s="37">
        <f>VLOOKUP(G752,SLA標準!$A$4:$C$7,3,FALSE)</f>
        <v>24</v>
      </c>
      <c r="Q752" s="35" t="str">
        <f t="shared" si="57"/>
        <v>逾期</v>
      </c>
      <c r="R752" s="34" t="s">
        <v>47</v>
      </c>
      <c r="S752" s="35" t="str">
        <f t="shared" si="58"/>
        <v>是</v>
      </c>
      <c r="T752" s="36">
        <f>IFERROR(VLOOKUP(A752,滿意度調查!$B$4:$D$570,3,FALSE),"")</f>
        <v>3</v>
      </c>
      <c r="U752" s="35" t="str">
        <f t="shared" si="59"/>
        <v>2026-06</v>
      </c>
      <c r="V752" s="38">
        <f>IF(J752="已結案",0,(使用說明!$B$7-B752)*24)</f>
        <v>0</v>
      </c>
    </row>
    <row r="753" spans="1:22">
      <c r="A753" s="32" t="s">
        <v>1307</v>
      </c>
      <c r="B753" s="33">
        <v>46192.7</v>
      </c>
      <c r="C753" s="34" t="s">
        <v>229</v>
      </c>
      <c r="D753" s="34" t="s">
        <v>240</v>
      </c>
      <c r="E753" s="34" t="s">
        <v>219</v>
      </c>
      <c r="F753" s="34" t="s">
        <v>220</v>
      </c>
      <c r="G753" s="34" t="s">
        <v>221</v>
      </c>
      <c r="H753" s="34" t="s">
        <v>214</v>
      </c>
      <c r="I753" s="35" t="str">
        <f>VLOOKUP(H753,人員與團隊!$A$4:$D$27,3,FALSE)</f>
        <v>北區服務</v>
      </c>
      <c r="J753" s="34" t="s">
        <v>215</v>
      </c>
      <c r="K753" s="33">
        <v>46192.763888888891</v>
      </c>
      <c r="L753" s="33">
        <v>46193.437934166664</v>
      </c>
      <c r="M753" s="36">
        <f t="shared" si="55"/>
        <v>92.000000006519258</v>
      </c>
      <c r="N753" s="37">
        <f t="shared" si="56"/>
        <v>17.710420000017621</v>
      </c>
      <c r="O753" s="36">
        <f>VLOOKUP(G753,SLA標準!$A$4:$C$7,2,FALSE)</f>
        <v>60</v>
      </c>
      <c r="P753" s="37">
        <f>VLOOKUP(G753,SLA標準!$A$4:$C$7,3,FALSE)</f>
        <v>8</v>
      </c>
      <c r="Q753" s="35" t="str">
        <f t="shared" si="57"/>
        <v>逾期</v>
      </c>
      <c r="R753" s="34" t="s">
        <v>41</v>
      </c>
      <c r="S753" s="35" t="str">
        <f t="shared" si="58"/>
        <v>是</v>
      </c>
      <c r="T753" s="36">
        <f>IFERROR(VLOOKUP(A753,滿意度調查!$B$4:$D$570,3,FALSE),"")</f>
        <v>2</v>
      </c>
      <c r="U753" s="35" t="str">
        <f t="shared" si="59"/>
        <v>2026-06</v>
      </c>
      <c r="V753" s="38">
        <f>IF(J753="已結案",0,(使用說明!$B$7-B753)*24)</f>
        <v>0</v>
      </c>
    </row>
    <row r="754" spans="1:22">
      <c r="A754" s="32" t="s">
        <v>1308</v>
      </c>
      <c r="B754" s="33">
        <v>46192.751388888886</v>
      </c>
      <c r="C754" s="34" t="s">
        <v>1230</v>
      </c>
      <c r="D754" s="34" t="s">
        <v>210</v>
      </c>
      <c r="E754" s="34" t="s">
        <v>245</v>
      </c>
      <c r="F754" s="34" t="s">
        <v>246</v>
      </c>
      <c r="G754" s="34" t="s">
        <v>242</v>
      </c>
      <c r="H754" s="34" t="s">
        <v>285</v>
      </c>
      <c r="I754" s="35" t="str">
        <f>VLOOKUP(H754,人員與團隊!$A$4:$D$27,3,FALSE)</f>
        <v>線上服務</v>
      </c>
      <c r="J754" s="34" t="s">
        <v>356</v>
      </c>
      <c r="K754" s="33">
        <v>46192.863888888889</v>
      </c>
      <c r="L754" s="33"/>
      <c r="M754" s="36">
        <f t="shared" si="55"/>
        <v>162.00000000419095</v>
      </c>
      <c r="N754" s="37" t="str">
        <f t="shared" si="56"/>
        <v/>
      </c>
      <c r="O754" s="36">
        <f>VLOOKUP(G754,SLA標準!$A$4:$C$7,2,FALSE)</f>
        <v>240</v>
      </c>
      <c r="P754" s="37">
        <f>VLOOKUP(G754,SLA標準!$A$4:$C$7,3,FALSE)</f>
        <v>24</v>
      </c>
      <c r="Q754" s="35" t="str">
        <f t="shared" si="57"/>
        <v>逾期</v>
      </c>
      <c r="R754" s="34" t="s">
        <v>47</v>
      </c>
      <c r="S754" s="35" t="str">
        <f t="shared" si="58"/>
        <v>否</v>
      </c>
      <c r="T754" s="36" t="str">
        <f>IFERROR(VLOOKUP(A754,滿意度調查!$B$4:$D$570,3,FALSE),"")</f>
        <v/>
      </c>
      <c r="U754" s="35" t="str">
        <f t="shared" si="59"/>
        <v>2026-06</v>
      </c>
      <c r="V754" s="38">
        <f>IF(J754="已結案",0,(使用說明!$B$7-B754)*24)</f>
        <v>278.96666666673264</v>
      </c>
    </row>
    <row r="755" spans="1:22">
      <c r="A755" s="32" t="s">
        <v>1309</v>
      </c>
      <c r="B755" s="33">
        <v>46192.762499999997</v>
      </c>
      <c r="C755" s="34" t="s">
        <v>610</v>
      </c>
      <c r="D755" s="34" t="s">
        <v>240</v>
      </c>
      <c r="E755" s="34" t="s">
        <v>211</v>
      </c>
      <c r="F755" s="34" t="s">
        <v>331</v>
      </c>
      <c r="G755" s="34" t="s">
        <v>242</v>
      </c>
      <c r="H755" s="34" t="s">
        <v>250</v>
      </c>
      <c r="I755" s="35" t="str">
        <f>VLOOKUP(H755,人員與團隊!$A$4:$D$27,3,FALSE)</f>
        <v>南區服務</v>
      </c>
      <c r="J755" s="34" t="s">
        <v>215</v>
      </c>
      <c r="K755" s="33">
        <v>46192.877083333333</v>
      </c>
      <c r="L755" s="33">
        <v>46193.01216604167</v>
      </c>
      <c r="M755" s="36">
        <f t="shared" si="55"/>
        <v>165.00000000349246</v>
      </c>
      <c r="N755" s="37">
        <f t="shared" si="56"/>
        <v>5.9919850001460873</v>
      </c>
      <c r="O755" s="36">
        <f>VLOOKUP(G755,SLA標準!$A$4:$C$7,2,FALSE)</f>
        <v>240</v>
      </c>
      <c r="P755" s="37">
        <f>VLOOKUP(G755,SLA標準!$A$4:$C$7,3,FALSE)</f>
        <v>24</v>
      </c>
      <c r="Q755" s="35" t="str">
        <f t="shared" si="57"/>
        <v>達標</v>
      </c>
      <c r="R755" s="34" t="s">
        <v>47</v>
      </c>
      <c r="S755" s="35" t="str">
        <f t="shared" si="58"/>
        <v>是</v>
      </c>
      <c r="T755" s="36">
        <f>IFERROR(VLOOKUP(A755,滿意度調查!$B$4:$D$570,3,FALSE),"")</f>
        <v>5</v>
      </c>
      <c r="U755" s="35" t="str">
        <f t="shared" si="59"/>
        <v>2026-06</v>
      </c>
      <c r="V755" s="38">
        <f>IF(J755="已結案",0,(使用說明!$B$7-B755)*24)</f>
        <v>0</v>
      </c>
    </row>
    <row r="756" spans="1:22">
      <c r="A756" s="32" t="s">
        <v>1310</v>
      </c>
      <c r="B756" s="33">
        <v>46192.793055555558</v>
      </c>
      <c r="C756" s="34" t="s">
        <v>1195</v>
      </c>
      <c r="D756" s="34" t="s">
        <v>225</v>
      </c>
      <c r="E756" s="34" t="s">
        <v>265</v>
      </c>
      <c r="F756" s="34" t="s">
        <v>479</v>
      </c>
      <c r="G756" s="34" t="s">
        <v>242</v>
      </c>
      <c r="H756" s="34" t="s">
        <v>328</v>
      </c>
      <c r="I756" s="35" t="str">
        <f>VLOOKUP(H756,人員與團隊!$A$4:$D$27,3,FALSE)</f>
        <v>北區服務</v>
      </c>
      <c r="J756" s="34" t="s">
        <v>215</v>
      </c>
      <c r="K756" s="33">
        <v>46192.853472222225</v>
      </c>
      <c r="L756" s="33">
        <v>46194.061173726855</v>
      </c>
      <c r="M756" s="36">
        <f t="shared" si="55"/>
        <v>87.000000000698492</v>
      </c>
      <c r="N756" s="37">
        <f t="shared" si="56"/>
        <v>30.434836111147888</v>
      </c>
      <c r="O756" s="36">
        <f>VLOOKUP(G756,SLA標準!$A$4:$C$7,2,FALSE)</f>
        <v>240</v>
      </c>
      <c r="P756" s="37">
        <f>VLOOKUP(G756,SLA標準!$A$4:$C$7,3,FALSE)</f>
        <v>24</v>
      </c>
      <c r="Q756" s="35" t="str">
        <f t="shared" si="57"/>
        <v>逾期</v>
      </c>
      <c r="R756" s="34" t="s">
        <v>47</v>
      </c>
      <c r="S756" s="35" t="str">
        <f t="shared" si="58"/>
        <v>是</v>
      </c>
      <c r="T756" s="36">
        <f>IFERROR(VLOOKUP(A756,滿意度調查!$B$4:$D$570,3,FALSE),"")</f>
        <v>3</v>
      </c>
      <c r="U756" s="35" t="str">
        <f t="shared" si="59"/>
        <v>2026-06</v>
      </c>
      <c r="V756" s="38">
        <f>IF(J756="已結案",0,(使用說明!$B$7-B756)*24)</f>
        <v>0</v>
      </c>
    </row>
    <row r="757" spans="1:22">
      <c r="A757" s="32" t="s">
        <v>1311</v>
      </c>
      <c r="B757" s="33">
        <v>46192.800694444442</v>
      </c>
      <c r="C757" s="34" t="s">
        <v>588</v>
      </c>
      <c r="D757" s="34" t="s">
        <v>218</v>
      </c>
      <c r="E757" s="34" t="s">
        <v>235</v>
      </c>
      <c r="F757" s="34" t="s">
        <v>241</v>
      </c>
      <c r="G757" s="34" t="s">
        <v>242</v>
      </c>
      <c r="H757" s="34" t="s">
        <v>381</v>
      </c>
      <c r="I757" s="35" t="str">
        <f>VLOOKUP(H757,人員與團隊!$A$4:$D$27,3,FALSE)</f>
        <v>線上服務</v>
      </c>
      <c r="J757" s="34" t="s">
        <v>215</v>
      </c>
      <c r="K757" s="33">
        <v>46193.036805555559</v>
      </c>
      <c r="L757" s="33">
        <v>46193.295341412035</v>
      </c>
      <c r="M757" s="36">
        <f t="shared" si="55"/>
        <v>340.00000000814907</v>
      </c>
      <c r="N757" s="37">
        <f t="shared" si="56"/>
        <v>11.871527222217992</v>
      </c>
      <c r="O757" s="36">
        <f>VLOOKUP(G757,SLA標準!$A$4:$C$7,2,FALSE)</f>
        <v>240</v>
      </c>
      <c r="P757" s="37">
        <f>VLOOKUP(G757,SLA標準!$A$4:$C$7,3,FALSE)</f>
        <v>24</v>
      </c>
      <c r="Q757" s="35" t="str">
        <f t="shared" si="57"/>
        <v>逾期</v>
      </c>
      <c r="R757" s="34" t="s">
        <v>47</v>
      </c>
      <c r="S757" s="35" t="str">
        <f t="shared" si="58"/>
        <v>是</v>
      </c>
      <c r="T757" s="36">
        <f>IFERROR(VLOOKUP(A757,滿意度調查!$B$4:$D$570,3,FALSE),"")</f>
        <v>3</v>
      </c>
      <c r="U757" s="35" t="str">
        <f t="shared" si="59"/>
        <v>2026-06</v>
      </c>
      <c r="V757" s="38">
        <f>IF(J757="已結案",0,(使用說明!$B$7-B757)*24)</f>
        <v>0</v>
      </c>
    </row>
    <row r="758" spans="1:22">
      <c r="A758" s="32" t="s">
        <v>1312</v>
      </c>
      <c r="B758" s="33">
        <v>46192.823611111111</v>
      </c>
      <c r="C758" s="34" t="s">
        <v>729</v>
      </c>
      <c r="D758" s="34" t="s">
        <v>210</v>
      </c>
      <c r="E758" s="34" t="s">
        <v>219</v>
      </c>
      <c r="F758" s="34" t="s">
        <v>249</v>
      </c>
      <c r="G758" s="34" t="s">
        <v>242</v>
      </c>
      <c r="H758" s="34" t="s">
        <v>310</v>
      </c>
      <c r="I758" s="35" t="str">
        <f>VLOOKUP(H758,人員與團隊!$A$4:$D$27,3,FALSE)</f>
        <v>線上服務</v>
      </c>
      <c r="J758" s="34" t="s">
        <v>275</v>
      </c>
      <c r="K758" s="33">
        <v>46192.850694444445</v>
      </c>
      <c r="L758" s="33"/>
      <c r="M758" s="36">
        <f t="shared" si="55"/>
        <v>39.000000001396984</v>
      </c>
      <c r="N758" s="37" t="str">
        <f t="shared" si="56"/>
        <v/>
      </c>
      <c r="O758" s="36">
        <f>VLOOKUP(G758,SLA標準!$A$4:$C$7,2,FALSE)</f>
        <v>240</v>
      </c>
      <c r="P758" s="37">
        <f>VLOOKUP(G758,SLA標準!$A$4:$C$7,3,FALSE)</f>
        <v>24</v>
      </c>
      <c r="Q758" s="35" t="str">
        <f t="shared" si="57"/>
        <v>逾期</v>
      </c>
      <c r="R758" s="34" t="s">
        <v>41</v>
      </c>
      <c r="S758" s="35" t="str">
        <f t="shared" si="58"/>
        <v>否</v>
      </c>
      <c r="T758" s="36" t="str">
        <f>IFERROR(VLOOKUP(A758,滿意度調查!$B$4:$D$570,3,FALSE),"")</f>
        <v/>
      </c>
      <c r="U758" s="35" t="str">
        <f t="shared" si="59"/>
        <v>2026-06</v>
      </c>
      <c r="V758" s="38">
        <f>IF(J758="已結案",0,(使用說明!$B$7-B758)*24)</f>
        <v>277.23333333333721</v>
      </c>
    </row>
    <row r="759" spans="1:22">
      <c r="A759" s="32" t="s">
        <v>1313</v>
      </c>
      <c r="B759" s="33">
        <v>46193.350694444445</v>
      </c>
      <c r="C759" s="34" t="s">
        <v>1195</v>
      </c>
      <c r="D759" s="34" t="s">
        <v>218</v>
      </c>
      <c r="E759" s="34" t="s">
        <v>211</v>
      </c>
      <c r="F759" s="34" t="s">
        <v>334</v>
      </c>
      <c r="G759" s="34" t="s">
        <v>242</v>
      </c>
      <c r="H759" s="34" t="s">
        <v>274</v>
      </c>
      <c r="I759" s="35" t="str">
        <f>VLOOKUP(H759,人員與團隊!$A$4:$D$27,3,FALSE)</f>
        <v>南區服務</v>
      </c>
      <c r="J759" s="34" t="s">
        <v>215</v>
      </c>
      <c r="K759" s="33">
        <v>46193.556250000001</v>
      </c>
      <c r="L759" s="33">
        <v>46193.461927835648</v>
      </c>
      <c r="M759" s="36">
        <f t="shared" si="55"/>
        <v>296.00000000093132</v>
      </c>
      <c r="N759" s="37">
        <f t="shared" si="56"/>
        <v>2.6696013888576999</v>
      </c>
      <c r="O759" s="36">
        <f>VLOOKUP(G759,SLA標準!$A$4:$C$7,2,FALSE)</f>
        <v>240</v>
      </c>
      <c r="P759" s="37">
        <f>VLOOKUP(G759,SLA標準!$A$4:$C$7,3,FALSE)</f>
        <v>24</v>
      </c>
      <c r="Q759" s="35" t="str">
        <f t="shared" si="57"/>
        <v>逾期</v>
      </c>
      <c r="R759" s="34" t="s">
        <v>47</v>
      </c>
      <c r="S759" s="35" t="str">
        <f t="shared" si="58"/>
        <v>否</v>
      </c>
      <c r="T759" s="36" t="str">
        <f>IFERROR(VLOOKUP(A759,滿意度調查!$B$4:$D$570,3,FALSE),"")</f>
        <v/>
      </c>
      <c r="U759" s="35" t="str">
        <f t="shared" si="59"/>
        <v>2026-06</v>
      </c>
      <c r="V759" s="38">
        <f>IF(J759="已結案",0,(使用說明!$B$7-B759)*24)</f>
        <v>0</v>
      </c>
    </row>
    <row r="760" spans="1:22">
      <c r="A760" s="32" t="s">
        <v>1314</v>
      </c>
      <c r="B760" s="33">
        <v>46193.351388888892</v>
      </c>
      <c r="C760" s="34" t="s">
        <v>610</v>
      </c>
      <c r="D760" s="34" t="s">
        <v>225</v>
      </c>
      <c r="E760" s="34" t="s">
        <v>235</v>
      </c>
      <c r="F760" s="34" t="s">
        <v>298</v>
      </c>
      <c r="G760" s="34" t="s">
        <v>242</v>
      </c>
      <c r="H760" s="34" t="s">
        <v>372</v>
      </c>
      <c r="I760" s="35" t="str">
        <f>VLOOKUP(H760,人員與團隊!$A$4:$D$27,3,FALSE)</f>
        <v>南區服務</v>
      </c>
      <c r="J760" s="34" t="s">
        <v>215</v>
      </c>
      <c r="K760" s="33">
        <v>46193.402777777781</v>
      </c>
      <c r="L760" s="33">
        <v>46194.119186689815</v>
      </c>
      <c r="M760" s="36">
        <f t="shared" si="55"/>
        <v>74.000000000232831</v>
      </c>
      <c r="N760" s="37">
        <f t="shared" si="56"/>
        <v>18.427147222158965</v>
      </c>
      <c r="O760" s="36">
        <f>VLOOKUP(G760,SLA標準!$A$4:$C$7,2,FALSE)</f>
        <v>240</v>
      </c>
      <c r="P760" s="37">
        <f>VLOOKUP(G760,SLA標準!$A$4:$C$7,3,FALSE)</f>
        <v>24</v>
      </c>
      <c r="Q760" s="35" t="str">
        <f t="shared" si="57"/>
        <v>達標</v>
      </c>
      <c r="R760" s="34" t="s">
        <v>47</v>
      </c>
      <c r="S760" s="35" t="str">
        <f t="shared" si="58"/>
        <v>是</v>
      </c>
      <c r="T760" s="36">
        <f>IFERROR(VLOOKUP(A760,滿意度調查!$B$4:$D$570,3,FALSE),"")</f>
        <v>5</v>
      </c>
      <c r="U760" s="35" t="str">
        <f t="shared" si="59"/>
        <v>2026-06</v>
      </c>
      <c r="V760" s="38">
        <f>IF(J760="已結案",0,(使用說明!$B$7-B760)*24)</f>
        <v>0</v>
      </c>
    </row>
    <row r="761" spans="1:22">
      <c r="A761" s="32" t="s">
        <v>1315</v>
      </c>
      <c r="B761" s="33">
        <v>46193.356944444444</v>
      </c>
      <c r="C761" s="34" t="s">
        <v>1244</v>
      </c>
      <c r="D761" s="34" t="s">
        <v>225</v>
      </c>
      <c r="E761" s="34" t="s">
        <v>230</v>
      </c>
      <c r="F761" s="34" t="s">
        <v>231</v>
      </c>
      <c r="G761" s="34" t="s">
        <v>221</v>
      </c>
      <c r="H761" s="34" t="s">
        <v>285</v>
      </c>
      <c r="I761" s="35" t="str">
        <f>VLOOKUP(H761,人員與團隊!$A$4:$D$27,3,FALSE)</f>
        <v>線上服務</v>
      </c>
      <c r="J761" s="34" t="s">
        <v>356</v>
      </c>
      <c r="K761" s="33">
        <v>46193.375</v>
      </c>
      <c r="L761" s="33"/>
      <c r="M761" s="36">
        <f t="shared" si="55"/>
        <v>26.000000000931323</v>
      </c>
      <c r="N761" s="37" t="str">
        <f t="shared" si="56"/>
        <v/>
      </c>
      <c r="O761" s="36">
        <f>VLOOKUP(G761,SLA標準!$A$4:$C$7,2,FALSE)</f>
        <v>60</v>
      </c>
      <c r="P761" s="37">
        <f>VLOOKUP(G761,SLA標準!$A$4:$C$7,3,FALSE)</f>
        <v>8</v>
      </c>
      <c r="Q761" s="35" t="str">
        <f t="shared" si="57"/>
        <v>逾期</v>
      </c>
      <c r="R761" s="34" t="s">
        <v>47</v>
      </c>
      <c r="S761" s="35" t="str">
        <f t="shared" si="58"/>
        <v>否</v>
      </c>
      <c r="T761" s="36" t="str">
        <f>IFERROR(VLOOKUP(A761,滿意度調查!$B$4:$D$570,3,FALSE),"")</f>
        <v/>
      </c>
      <c r="U761" s="35" t="str">
        <f t="shared" si="59"/>
        <v>2026-06</v>
      </c>
      <c r="V761" s="38">
        <f>IF(J761="已結案",0,(使用說明!$B$7-B761)*24)</f>
        <v>264.43333333334886</v>
      </c>
    </row>
    <row r="762" spans="1:22">
      <c r="A762" s="32" t="s">
        <v>1316</v>
      </c>
      <c r="B762" s="33">
        <v>46193.375</v>
      </c>
      <c r="C762" s="34" t="s">
        <v>512</v>
      </c>
      <c r="D762" s="34" t="s">
        <v>225</v>
      </c>
      <c r="E762" s="34" t="s">
        <v>219</v>
      </c>
      <c r="F762" s="34" t="s">
        <v>257</v>
      </c>
      <c r="G762" s="34" t="s">
        <v>221</v>
      </c>
      <c r="H762" s="34" t="s">
        <v>384</v>
      </c>
      <c r="I762" s="35" t="str">
        <f>VLOOKUP(H762,人員與團隊!$A$4:$D$27,3,FALSE)</f>
        <v>線上服務</v>
      </c>
      <c r="J762" s="34" t="s">
        <v>356</v>
      </c>
      <c r="K762" s="33">
        <v>46193.387499999997</v>
      </c>
      <c r="L762" s="33"/>
      <c r="M762" s="36">
        <f t="shared" si="55"/>
        <v>17.999999995809048</v>
      </c>
      <c r="N762" s="37" t="str">
        <f t="shared" si="56"/>
        <v/>
      </c>
      <c r="O762" s="36">
        <f>VLOOKUP(G762,SLA標準!$A$4:$C$7,2,FALSE)</f>
        <v>60</v>
      </c>
      <c r="P762" s="37">
        <f>VLOOKUP(G762,SLA標準!$A$4:$C$7,3,FALSE)</f>
        <v>8</v>
      </c>
      <c r="Q762" s="35" t="str">
        <f t="shared" si="57"/>
        <v>逾期</v>
      </c>
      <c r="R762" s="34" t="s">
        <v>47</v>
      </c>
      <c r="S762" s="35" t="str">
        <f t="shared" si="58"/>
        <v>否</v>
      </c>
      <c r="T762" s="36" t="str">
        <f>IFERROR(VLOOKUP(A762,滿意度調查!$B$4:$D$570,3,FALSE),"")</f>
        <v/>
      </c>
      <c r="U762" s="35" t="str">
        <f t="shared" si="59"/>
        <v>2026-06</v>
      </c>
      <c r="V762" s="38">
        <f>IF(J762="已結案",0,(使用說明!$B$7-B762)*24)</f>
        <v>264</v>
      </c>
    </row>
    <row r="763" spans="1:22">
      <c r="A763" s="32" t="s">
        <v>1317</v>
      </c>
      <c r="B763" s="33">
        <v>46193.379861111112</v>
      </c>
      <c r="C763" s="34" t="s">
        <v>1208</v>
      </c>
      <c r="D763" s="34" t="s">
        <v>210</v>
      </c>
      <c r="E763" s="34" t="s">
        <v>230</v>
      </c>
      <c r="F763" s="34" t="s">
        <v>231</v>
      </c>
      <c r="G763" s="34" t="s">
        <v>242</v>
      </c>
      <c r="H763" s="34" t="s">
        <v>305</v>
      </c>
      <c r="I763" s="35" t="str">
        <f>VLOOKUP(H763,人員與團隊!$A$4:$D$27,3,FALSE)</f>
        <v>線上服務</v>
      </c>
      <c r="J763" s="34" t="s">
        <v>215</v>
      </c>
      <c r="K763" s="33">
        <v>46193.46597222222</v>
      </c>
      <c r="L763" s="33">
        <v>46194.545151238424</v>
      </c>
      <c r="M763" s="36">
        <f t="shared" si="55"/>
        <v>123.99999999557622</v>
      </c>
      <c r="N763" s="37">
        <f t="shared" si="56"/>
        <v>27.966963055485394</v>
      </c>
      <c r="O763" s="36">
        <f>VLOOKUP(G763,SLA標準!$A$4:$C$7,2,FALSE)</f>
        <v>240</v>
      </c>
      <c r="P763" s="37">
        <f>VLOOKUP(G763,SLA標準!$A$4:$C$7,3,FALSE)</f>
        <v>24</v>
      </c>
      <c r="Q763" s="35" t="str">
        <f t="shared" si="57"/>
        <v>逾期</v>
      </c>
      <c r="R763" s="34" t="s">
        <v>47</v>
      </c>
      <c r="S763" s="35" t="str">
        <f t="shared" si="58"/>
        <v>是</v>
      </c>
      <c r="T763" s="36">
        <f>IFERROR(VLOOKUP(A763,滿意度調查!$B$4:$D$570,3,FALSE),"")</f>
        <v>3</v>
      </c>
      <c r="U763" s="35" t="str">
        <f t="shared" si="59"/>
        <v>2026-06</v>
      </c>
      <c r="V763" s="38">
        <f>IF(J763="已結案",0,(使用說明!$B$7-B763)*24)</f>
        <v>0</v>
      </c>
    </row>
    <row r="764" spans="1:22">
      <c r="A764" s="32" t="s">
        <v>1318</v>
      </c>
      <c r="B764" s="33">
        <v>46193.396527777775</v>
      </c>
      <c r="C764" s="34" t="s">
        <v>616</v>
      </c>
      <c r="D764" s="34" t="s">
        <v>210</v>
      </c>
      <c r="E764" s="34" t="s">
        <v>265</v>
      </c>
      <c r="F764" s="34" t="s">
        <v>304</v>
      </c>
      <c r="G764" s="34" t="s">
        <v>221</v>
      </c>
      <c r="H764" s="34" t="s">
        <v>381</v>
      </c>
      <c r="I764" s="35" t="str">
        <f>VLOOKUP(H764,人員與團隊!$A$4:$D$27,3,FALSE)</f>
        <v>線上服務</v>
      </c>
      <c r="J764" s="34" t="s">
        <v>215</v>
      </c>
      <c r="K764" s="33">
        <v>46193.404861111114</v>
      </c>
      <c r="L764" s="33">
        <v>46193.836689965276</v>
      </c>
      <c r="M764" s="36">
        <f t="shared" si="55"/>
        <v>12.000000007683411</v>
      </c>
      <c r="N764" s="37">
        <f t="shared" si="56"/>
        <v>10.563892500009388</v>
      </c>
      <c r="O764" s="36">
        <f>VLOOKUP(G764,SLA標準!$A$4:$C$7,2,FALSE)</f>
        <v>60</v>
      </c>
      <c r="P764" s="37">
        <f>VLOOKUP(G764,SLA標準!$A$4:$C$7,3,FALSE)</f>
        <v>8</v>
      </c>
      <c r="Q764" s="35" t="str">
        <f t="shared" si="57"/>
        <v>逾期</v>
      </c>
      <c r="R764" s="34" t="s">
        <v>47</v>
      </c>
      <c r="S764" s="35" t="str">
        <f t="shared" si="58"/>
        <v>是</v>
      </c>
      <c r="T764" s="36">
        <f>IFERROR(VLOOKUP(A764,滿意度調查!$B$4:$D$570,3,FALSE),"")</f>
        <v>4</v>
      </c>
      <c r="U764" s="35" t="str">
        <f t="shared" si="59"/>
        <v>2026-06</v>
      </c>
      <c r="V764" s="38">
        <f>IF(J764="已結案",0,(使用說明!$B$7-B764)*24)</f>
        <v>0</v>
      </c>
    </row>
    <row r="765" spans="1:22">
      <c r="A765" s="32" t="s">
        <v>1319</v>
      </c>
      <c r="B765" s="33">
        <v>46193.46597222222</v>
      </c>
      <c r="C765" s="34" t="s">
        <v>700</v>
      </c>
      <c r="D765" s="34" t="s">
        <v>225</v>
      </c>
      <c r="E765" s="34" t="s">
        <v>211</v>
      </c>
      <c r="F765" s="34" t="s">
        <v>212</v>
      </c>
      <c r="G765" s="34" t="s">
        <v>242</v>
      </c>
      <c r="H765" s="34" t="s">
        <v>315</v>
      </c>
      <c r="I765" s="35" t="str">
        <f>VLOOKUP(H765,人員與團隊!$A$4:$D$27,3,FALSE)</f>
        <v>北區服務</v>
      </c>
      <c r="J765" s="34" t="s">
        <v>356</v>
      </c>
      <c r="K765" s="33">
        <v>46193.645138888889</v>
      </c>
      <c r="L765" s="33"/>
      <c r="M765" s="36">
        <f t="shared" si="55"/>
        <v>258.00000000279397</v>
      </c>
      <c r="N765" s="37" t="str">
        <f t="shared" si="56"/>
        <v/>
      </c>
      <c r="O765" s="36">
        <f>VLOOKUP(G765,SLA標準!$A$4:$C$7,2,FALSE)</f>
        <v>240</v>
      </c>
      <c r="P765" s="37">
        <f>VLOOKUP(G765,SLA標準!$A$4:$C$7,3,FALSE)</f>
        <v>24</v>
      </c>
      <c r="Q765" s="35" t="str">
        <f t="shared" si="57"/>
        <v>逾期</v>
      </c>
      <c r="R765" s="34" t="s">
        <v>47</v>
      </c>
      <c r="S765" s="35" t="str">
        <f t="shared" si="58"/>
        <v>否</v>
      </c>
      <c r="T765" s="36" t="str">
        <f>IFERROR(VLOOKUP(A765,滿意度調查!$B$4:$D$570,3,FALSE),"")</f>
        <v/>
      </c>
      <c r="U765" s="35" t="str">
        <f t="shared" si="59"/>
        <v>2026-06</v>
      </c>
      <c r="V765" s="38">
        <f>IF(J765="已結案",0,(使用說明!$B$7-B765)*24)</f>
        <v>261.81666666670935</v>
      </c>
    </row>
    <row r="766" spans="1:22">
      <c r="A766" s="32" t="s">
        <v>1320</v>
      </c>
      <c r="B766" s="33">
        <v>46193.495833333334</v>
      </c>
      <c r="C766" s="34" t="s">
        <v>905</v>
      </c>
      <c r="D766" s="34" t="s">
        <v>218</v>
      </c>
      <c r="E766" s="34" t="s">
        <v>219</v>
      </c>
      <c r="F766" s="34" t="s">
        <v>371</v>
      </c>
      <c r="G766" s="34" t="s">
        <v>242</v>
      </c>
      <c r="H766" s="34" t="s">
        <v>250</v>
      </c>
      <c r="I766" s="35" t="str">
        <f>VLOOKUP(H766,人員與團隊!$A$4:$D$27,3,FALSE)</f>
        <v>南區服務</v>
      </c>
      <c r="J766" s="34" t="s">
        <v>215</v>
      </c>
      <c r="K766" s="33">
        <v>46193.711111111108</v>
      </c>
      <c r="L766" s="33">
        <v>46194.249357858796</v>
      </c>
      <c r="M766" s="36">
        <f t="shared" si="55"/>
        <v>309.99999999417923</v>
      </c>
      <c r="N766" s="37">
        <f t="shared" si="56"/>
        <v>18.084588611091021</v>
      </c>
      <c r="O766" s="36">
        <f>VLOOKUP(G766,SLA標準!$A$4:$C$7,2,FALSE)</f>
        <v>240</v>
      </c>
      <c r="P766" s="37">
        <f>VLOOKUP(G766,SLA標準!$A$4:$C$7,3,FALSE)</f>
        <v>24</v>
      </c>
      <c r="Q766" s="35" t="str">
        <f t="shared" si="57"/>
        <v>逾期</v>
      </c>
      <c r="R766" s="34" t="s">
        <v>47</v>
      </c>
      <c r="S766" s="35" t="str">
        <f t="shared" si="58"/>
        <v>否</v>
      </c>
      <c r="T766" s="36" t="str">
        <f>IFERROR(VLOOKUP(A766,滿意度調查!$B$4:$D$570,3,FALSE),"")</f>
        <v/>
      </c>
      <c r="U766" s="35" t="str">
        <f t="shared" si="59"/>
        <v>2026-06</v>
      </c>
      <c r="V766" s="38">
        <f>IF(J766="已結案",0,(使用說明!$B$7-B766)*24)</f>
        <v>0</v>
      </c>
    </row>
    <row r="767" spans="1:22">
      <c r="A767" s="32" t="s">
        <v>1321</v>
      </c>
      <c r="B767" s="33">
        <v>46193.520138888889</v>
      </c>
      <c r="C767" s="34" t="s">
        <v>702</v>
      </c>
      <c r="D767" s="34" t="s">
        <v>218</v>
      </c>
      <c r="E767" s="34" t="s">
        <v>219</v>
      </c>
      <c r="F767" s="34" t="s">
        <v>249</v>
      </c>
      <c r="G767" s="34" t="s">
        <v>242</v>
      </c>
      <c r="H767" s="34" t="s">
        <v>315</v>
      </c>
      <c r="I767" s="35" t="str">
        <f>VLOOKUP(H767,人員與團隊!$A$4:$D$27,3,FALSE)</f>
        <v>北區服務</v>
      </c>
      <c r="J767" s="34" t="s">
        <v>215</v>
      </c>
      <c r="K767" s="33">
        <v>46193.675000000003</v>
      </c>
      <c r="L767" s="33">
        <v>46194.728281296295</v>
      </c>
      <c r="M767" s="36">
        <f t="shared" si="55"/>
        <v>223.00000000395812</v>
      </c>
      <c r="N767" s="37">
        <f t="shared" si="56"/>
        <v>28.995417777739931</v>
      </c>
      <c r="O767" s="36">
        <f>VLOOKUP(G767,SLA標準!$A$4:$C$7,2,FALSE)</f>
        <v>240</v>
      </c>
      <c r="P767" s="37">
        <f>VLOOKUP(G767,SLA標準!$A$4:$C$7,3,FALSE)</f>
        <v>24</v>
      </c>
      <c r="Q767" s="35" t="str">
        <f t="shared" si="57"/>
        <v>逾期</v>
      </c>
      <c r="R767" s="34" t="s">
        <v>47</v>
      </c>
      <c r="S767" s="35" t="str">
        <f t="shared" si="58"/>
        <v>是</v>
      </c>
      <c r="T767" s="36">
        <f>IFERROR(VLOOKUP(A767,滿意度調查!$B$4:$D$570,3,FALSE),"")</f>
        <v>3</v>
      </c>
      <c r="U767" s="35" t="str">
        <f t="shared" si="59"/>
        <v>2026-06</v>
      </c>
      <c r="V767" s="38">
        <f>IF(J767="已結案",0,(使用說明!$B$7-B767)*24)</f>
        <v>0</v>
      </c>
    </row>
    <row r="768" spans="1:22">
      <c r="A768" s="32" t="s">
        <v>1322</v>
      </c>
      <c r="B768" s="33">
        <v>46193.543055555558</v>
      </c>
      <c r="C768" s="34" t="s">
        <v>1122</v>
      </c>
      <c r="D768" s="34" t="s">
        <v>225</v>
      </c>
      <c r="E768" s="34" t="s">
        <v>265</v>
      </c>
      <c r="F768" s="34" t="s">
        <v>479</v>
      </c>
      <c r="G768" s="34" t="s">
        <v>242</v>
      </c>
      <c r="H768" s="34" t="s">
        <v>372</v>
      </c>
      <c r="I768" s="35" t="str">
        <f>VLOOKUP(H768,人員與團隊!$A$4:$D$27,3,FALSE)</f>
        <v>南區服務</v>
      </c>
      <c r="J768" s="34" t="s">
        <v>215</v>
      </c>
      <c r="K768" s="33">
        <v>46193.60833333333</v>
      </c>
      <c r="L768" s="33">
        <v>46194.048214224538</v>
      </c>
      <c r="M768" s="36">
        <f t="shared" si="55"/>
        <v>93.999999992083758</v>
      </c>
      <c r="N768" s="37">
        <f t="shared" si="56"/>
        <v>12.123808055534028</v>
      </c>
      <c r="O768" s="36">
        <f>VLOOKUP(G768,SLA標準!$A$4:$C$7,2,FALSE)</f>
        <v>240</v>
      </c>
      <c r="P768" s="37">
        <f>VLOOKUP(G768,SLA標準!$A$4:$C$7,3,FALSE)</f>
        <v>24</v>
      </c>
      <c r="Q768" s="35" t="str">
        <f t="shared" si="57"/>
        <v>達標</v>
      </c>
      <c r="R768" s="34" t="s">
        <v>47</v>
      </c>
      <c r="S768" s="35" t="str">
        <f t="shared" si="58"/>
        <v>是</v>
      </c>
      <c r="T768" s="36">
        <f>IFERROR(VLOOKUP(A768,滿意度調查!$B$4:$D$570,3,FALSE),"")</f>
        <v>5</v>
      </c>
      <c r="U768" s="35" t="str">
        <f t="shared" si="59"/>
        <v>2026-06</v>
      </c>
      <c r="V768" s="38">
        <f>IF(J768="已結案",0,(使用說明!$B$7-B768)*24)</f>
        <v>0</v>
      </c>
    </row>
    <row r="769" spans="1:22">
      <c r="A769" s="32" t="s">
        <v>1323</v>
      </c>
      <c r="B769" s="33">
        <v>46193.557638888888</v>
      </c>
      <c r="C769" s="34" t="s">
        <v>769</v>
      </c>
      <c r="D769" s="34" t="s">
        <v>240</v>
      </c>
      <c r="E769" s="34" t="s">
        <v>265</v>
      </c>
      <c r="F769" s="34" t="s">
        <v>266</v>
      </c>
      <c r="G769" s="34" t="s">
        <v>213</v>
      </c>
      <c r="H769" s="34" t="s">
        <v>243</v>
      </c>
      <c r="I769" s="35" t="str">
        <f>VLOOKUP(H769,人員與團隊!$A$4:$D$27,3,FALSE)</f>
        <v>南區服務</v>
      </c>
      <c r="J769" s="34" t="s">
        <v>275</v>
      </c>
      <c r="K769" s="33">
        <v>46193.868055555555</v>
      </c>
      <c r="L769" s="33"/>
      <c r="M769" s="36">
        <f t="shared" si="55"/>
        <v>447.00000000069849</v>
      </c>
      <c r="N769" s="37" t="str">
        <f t="shared" si="56"/>
        <v/>
      </c>
      <c r="O769" s="36">
        <f>VLOOKUP(G769,SLA標準!$A$4:$C$7,2,FALSE)</f>
        <v>480</v>
      </c>
      <c r="P769" s="37">
        <f>VLOOKUP(G769,SLA標準!$A$4:$C$7,3,FALSE)</f>
        <v>48</v>
      </c>
      <c r="Q769" s="35" t="str">
        <f t="shared" si="57"/>
        <v>逾期</v>
      </c>
      <c r="R769" s="34" t="s">
        <v>47</v>
      </c>
      <c r="S769" s="35" t="str">
        <f t="shared" si="58"/>
        <v>否</v>
      </c>
      <c r="T769" s="36" t="str">
        <f>IFERROR(VLOOKUP(A769,滿意度調查!$B$4:$D$570,3,FALSE),"")</f>
        <v/>
      </c>
      <c r="U769" s="35" t="str">
        <f t="shared" si="59"/>
        <v>2026-06</v>
      </c>
      <c r="V769" s="38">
        <f>IF(J769="已結案",0,(使用說明!$B$7-B769)*24)</f>
        <v>259.61666666669771</v>
      </c>
    </row>
    <row r="770" spans="1:22">
      <c r="A770" s="32" t="s">
        <v>1324</v>
      </c>
      <c r="B770" s="33">
        <v>46193.568055555559</v>
      </c>
      <c r="C770" s="34" t="s">
        <v>354</v>
      </c>
      <c r="D770" s="34" t="s">
        <v>210</v>
      </c>
      <c r="E770" s="34" t="s">
        <v>235</v>
      </c>
      <c r="F770" s="34" t="s">
        <v>253</v>
      </c>
      <c r="G770" s="34" t="s">
        <v>350</v>
      </c>
      <c r="H770" s="34" t="s">
        <v>340</v>
      </c>
      <c r="I770" s="35" t="str">
        <f>VLOOKUP(H770,人員與團隊!$A$4:$D$27,3,FALSE)</f>
        <v>北區服務</v>
      </c>
      <c r="J770" s="34" t="s">
        <v>356</v>
      </c>
      <c r="K770" s="33">
        <v>46193.57708333333</v>
      </c>
      <c r="L770" s="33"/>
      <c r="M770" s="36">
        <f t="shared" si="55"/>
        <v>12.999999989988282</v>
      </c>
      <c r="N770" s="37" t="str">
        <f t="shared" si="56"/>
        <v/>
      </c>
      <c r="O770" s="36">
        <f>VLOOKUP(G770,SLA標準!$A$4:$C$7,2,FALSE)</f>
        <v>30</v>
      </c>
      <c r="P770" s="37">
        <f>VLOOKUP(G770,SLA標準!$A$4:$C$7,3,FALSE)</f>
        <v>4</v>
      </c>
      <c r="Q770" s="35" t="str">
        <f t="shared" si="57"/>
        <v>逾期</v>
      </c>
      <c r="R770" s="34" t="s">
        <v>41</v>
      </c>
      <c r="S770" s="35" t="str">
        <f t="shared" si="58"/>
        <v>否</v>
      </c>
      <c r="T770" s="36" t="str">
        <f>IFERROR(VLOOKUP(A770,滿意度調查!$B$4:$D$570,3,FALSE),"")</f>
        <v/>
      </c>
      <c r="U770" s="35" t="str">
        <f t="shared" si="59"/>
        <v>2026-06</v>
      </c>
      <c r="V770" s="38">
        <f>IF(J770="已結案",0,(使用說明!$B$7-B770)*24)</f>
        <v>259.3666666665813</v>
      </c>
    </row>
    <row r="771" spans="1:22">
      <c r="A771" s="32" t="s">
        <v>1325</v>
      </c>
      <c r="B771" s="33">
        <v>46193.568749999999</v>
      </c>
      <c r="C771" s="34" t="s">
        <v>1294</v>
      </c>
      <c r="D771" s="34" t="s">
        <v>210</v>
      </c>
      <c r="E771" s="34" t="s">
        <v>211</v>
      </c>
      <c r="F771" s="34" t="s">
        <v>226</v>
      </c>
      <c r="G771" s="34" t="s">
        <v>221</v>
      </c>
      <c r="H771" s="34" t="s">
        <v>315</v>
      </c>
      <c r="I771" s="35" t="str">
        <f>VLOOKUP(H771,人員與團隊!$A$4:$D$27,3,FALSE)</f>
        <v>北區服務</v>
      </c>
      <c r="J771" s="34" t="s">
        <v>215</v>
      </c>
      <c r="K771" s="33">
        <v>46193.578472222223</v>
      </c>
      <c r="L771" s="33">
        <v>46193.72825</v>
      </c>
      <c r="M771" s="36">
        <f t="shared" si="55"/>
        <v>14.00000000372529</v>
      </c>
      <c r="N771" s="37">
        <f t="shared" si="56"/>
        <v>3.8280000000377186</v>
      </c>
      <c r="O771" s="36">
        <f>VLOOKUP(G771,SLA標準!$A$4:$C$7,2,FALSE)</f>
        <v>60</v>
      </c>
      <c r="P771" s="37">
        <f>VLOOKUP(G771,SLA標準!$A$4:$C$7,3,FALSE)</f>
        <v>8</v>
      </c>
      <c r="Q771" s="35" t="str">
        <f t="shared" si="57"/>
        <v>達標</v>
      </c>
      <c r="R771" s="34" t="s">
        <v>41</v>
      </c>
      <c r="S771" s="35" t="str">
        <f t="shared" si="58"/>
        <v>否</v>
      </c>
      <c r="T771" s="36" t="str">
        <f>IFERROR(VLOOKUP(A771,滿意度調查!$B$4:$D$570,3,FALSE),"")</f>
        <v/>
      </c>
      <c r="U771" s="35" t="str">
        <f t="shared" si="59"/>
        <v>2026-06</v>
      </c>
      <c r="V771" s="38">
        <f>IF(J771="已結案",0,(使用說明!$B$7-B771)*24)</f>
        <v>0</v>
      </c>
    </row>
    <row r="772" spans="1:22">
      <c r="A772" s="32" t="s">
        <v>1326</v>
      </c>
      <c r="B772" s="33">
        <v>46193.677083333336</v>
      </c>
      <c r="C772" s="34" t="s">
        <v>438</v>
      </c>
      <c r="D772" s="34" t="s">
        <v>210</v>
      </c>
      <c r="E772" s="34" t="s">
        <v>230</v>
      </c>
      <c r="F772" s="34" t="s">
        <v>320</v>
      </c>
      <c r="G772" s="34" t="s">
        <v>242</v>
      </c>
      <c r="H772" s="34" t="s">
        <v>325</v>
      </c>
      <c r="I772" s="35" t="str">
        <f>VLOOKUP(H772,人員與團隊!$A$4:$D$27,3,FALSE)</f>
        <v>線上服務</v>
      </c>
      <c r="J772" s="34" t="s">
        <v>215</v>
      </c>
      <c r="K772" s="33">
        <v>46193.71875</v>
      </c>
      <c r="L772" s="33">
        <v>46194.865077175928</v>
      </c>
      <c r="M772" s="36">
        <f t="shared" ref="M772:M835" si="60">IF(K772="","",(K772-B772)*1440)</f>
        <v>59.99999999650754</v>
      </c>
      <c r="N772" s="37">
        <f t="shared" ref="N772:N835" si="61">IF(L772="","",(L772-B772)*24)</f>
        <v>28.511852222203743</v>
      </c>
      <c r="O772" s="36">
        <f>VLOOKUP(G772,SLA標準!$A$4:$C$7,2,FALSE)</f>
        <v>240</v>
      </c>
      <c r="P772" s="37">
        <f>VLOOKUP(G772,SLA標準!$A$4:$C$7,3,FALSE)</f>
        <v>24</v>
      </c>
      <c r="Q772" s="35" t="str">
        <f t="shared" ref="Q772:Q835" si="62">IF(J772="已結案",IF(AND(M772&lt;=O772,N772&lt;=P772),"達標","逾期"),IF(OR(M772&gt;O772,V772&gt;P772),"逾期","進行中"))</f>
        <v>逾期</v>
      </c>
      <c r="R772" s="34" t="s">
        <v>47</v>
      </c>
      <c r="S772" s="35" t="str">
        <f t="shared" ref="S772:S835" si="63">IF(T772="","否","是")</f>
        <v>否</v>
      </c>
      <c r="T772" s="36" t="str">
        <f>IFERROR(VLOOKUP(A772,滿意度調查!$B$4:$D$570,3,FALSE),"")</f>
        <v/>
      </c>
      <c r="U772" s="35" t="str">
        <f t="shared" ref="U772:U835" si="64">TEXT(B772,"yyyy-mm")</f>
        <v>2026-06</v>
      </c>
      <c r="V772" s="38">
        <f>IF(J772="已結案",0,(使用說明!$B$7-B772)*24)</f>
        <v>0</v>
      </c>
    </row>
    <row r="773" spans="1:22">
      <c r="A773" s="32" t="s">
        <v>1327</v>
      </c>
      <c r="B773" s="33">
        <v>46193.69027777778</v>
      </c>
      <c r="C773" s="34" t="s">
        <v>1328</v>
      </c>
      <c r="D773" s="34" t="s">
        <v>225</v>
      </c>
      <c r="E773" s="34" t="s">
        <v>211</v>
      </c>
      <c r="F773" s="34" t="s">
        <v>226</v>
      </c>
      <c r="G773" s="34" t="s">
        <v>242</v>
      </c>
      <c r="H773" s="34" t="s">
        <v>315</v>
      </c>
      <c r="I773" s="35" t="str">
        <f>VLOOKUP(H773,人員與團隊!$A$4:$D$27,3,FALSE)</f>
        <v>北區服務</v>
      </c>
      <c r="J773" s="34" t="s">
        <v>215</v>
      </c>
      <c r="K773" s="33">
        <v>46193.804861111108</v>
      </c>
      <c r="L773" s="33">
        <v>46194.139948159725</v>
      </c>
      <c r="M773" s="36">
        <f t="shared" si="60"/>
        <v>164.99999999301508</v>
      </c>
      <c r="N773" s="37">
        <f t="shared" si="61"/>
        <v>10.792089166701771</v>
      </c>
      <c r="O773" s="36">
        <f>VLOOKUP(G773,SLA標準!$A$4:$C$7,2,FALSE)</f>
        <v>240</v>
      </c>
      <c r="P773" s="37">
        <f>VLOOKUP(G773,SLA標準!$A$4:$C$7,3,FALSE)</f>
        <v>24</v>
      </c>
      <c r="Q773" s="35" t="str">
        <f t="shared" si="62"/>
        <v>達標</v>
      </c>
      <c r="R773" s="34" t="s">
        <v>47</v>
      </c>
      <c r="S773" s="35" t="str">
        <f t="shared" si="63"/>
        <v>是</v>
      </c>
      <c r="T773" s="36">
        <f>IFERROR(VLOOKUP(A773,滿意度調查!$B$4:$D$570,3,FALSE),"")</f>
        <v>5</v>
      </c>
      <c r="U773" s="35" t="str">
        <f t="shared" si="64"/>
        <v>2026-06</v>
      </c>
      <c r="V773" s="38">
        <f>IF(J773="已結案",0,(使用說明!$B$7-B773)*24)</f>
        <v>0</v>
      </c>
    </row>
    <row r="774" spans="1:22">
      <c r="A774" s="32" t="s">
        <v>1329</v>
      </c>
      <c r="B774" s="33">
        <v>46193.806250000001</v>
      </c>
      <c r="C774" s="34" t="s">
        <v>705</v>
      </c>
      <c r="D774" s="34" t="s">
        <v>218</v>
      </c>
      <c r="E774" s="34" t="s">
        <v>230</v>
      </c>
      <c r="F774" s="34" t="s">
        <v>339</v>
      </c>
      <c r="G774" s="34" t="s">
        <v>213</v>
      </c>
      <c r="H774" s="34" t="s">
        <v>325</v>
      </c>
      <c r="I774" s="35" t="str">
        <f>VLOOKUP(H774,人員與團隊!$A$4:$D$27,3,FALSE)</f>
        <v>線上服務</v>
      </c>
      <c r="J774" s="34" t="s">
        <v>356</v>
      </c>
      <c r="K774" s="33">
        <v>46194.18472222222</v>
      </c>
      <c r="L774" s="33"/>
      <c r="M774" s="36">
        <f t="shared" si="60"/>
        <v>544.99999999534339</v>
      </c>
      <c r="N774" s="37" t="str">
        <f t="shared" si="61"/>
        <v/>
      </c>
      <c r="O774" s="36">
        <f>VLOOKUP(G774,SLA標準!$A$4:$C$7,2,FALSE)</f>
        <v>480</v>
      </c>
      <c r="P774" s="37">
        <f>VLOOKUP(G774,SLA標準!$A$4:$C$7,3,FALSE)</f>
        <v>48</v>
      </c>
      <c r="Q774" s="35" t="str">
        <f t="shared" si="62"/>
        <v>逾期</v>
      </c>
      <c r="R774" s="34" t="s">
        <v>47</v>
      </c>
      <c r="S774" s="35" t="str">
        <f t="shared" si="63"/>
        <v>否</v>
      </c>
      <c r="T774" s="36" t="str">
        <f>IFERROR(VLOOKUP(A774,滿意度調查!$B$4:$D$570,3,FALSE),"")</f>
        <v/>
      </c>
      <c r="U774" s="35" t="str">
        <f t="shared" si="64"/>
        <v>2026-06</v>
      </c>
      <c r="V774" s="38">
        <f>IF(J774="已結案",0,(使用說明!$B$7-B774)*24)</f>
        <v>253.64999999996508</v>
      </c>
    </row>
    <row r="775" spans="1:22">
      <c r="A775" s="32" t="s">
        <v>1330</v>
      </c>
      <c r="B775" s="33">
        <v>46193.807638888888</v>
      </c>
      <c r="C775" s="34" t="s">
        <v>312</v>
      </c>
      <c r="D775" s="34" t="s">
        <v>210</v>
      </c>
      <c r="E775" s="34" t="s">
        <v>230</v>
      </c>
      <c r="F775" s="34" t="s">
        <v>320</v>
      </c>
      <c r="G775" s="34" t="s">
        <v>242</v>
      </c>
      <c r="H775" s="34" t="s">
        <v>408</v>
      </c>
      <c r="I775" s="35" t="str">
        <f>VLOOKUP(H775,人員與團隊!$A$4:$D$27,3,FALSE)</f>
        <v>線上服務</v>
      </c>
      <c r="J775" s="34" t="s">
        <v>356</v>
      </c>
      <c r="K775" s="33">
        <v>46193.856944444444</v>
      </c>
      <c r="L775" s="33"/>
      <c r="M775" s="36">
        <f t="shared" si="60"/>
        <v>71.000000000931323</v>
      </c>
      <c r="N775" s="37" t="str">
        <f t="shared" si="61"/>
        <v/>
      </c>
      <c r="O775" s="36">
        <f>VLOOKUP(G775,SLA標準!$A$4:$C$7,2,FALSE)</f>
        <v>240</v>
      </c>
      <c r="P775" s="37">
        <f>VLOOKUP(G775,SLA標準!$A$4:$C$7,3,FALSE)</f>
        <v>24</v>
      </c>
      <c r="Q775" s="35" t="str">
        <f t="shared" si="62"/>
        <v>逾期</v>
      </c>
      <c r="R775" s="34" t="s">
        <v>41</v>
      </c>
      <c r="S775" s="35" t="str">
        <f t="shared" si="63"/>
        <v>否</v>
      </c>
      <c r="T775" s="36" t="str">
        <f>IFERROR(VLOOKUP(A775,滿意度調查!$B$4:$D$570,3,FALSE),"")</f>
        <v/>
      </c>
      <c r="U775" s="35" t="str">
        <f t="shared" si="64"/>
        <v>2026-06</v>
      </c>
      <c r="V775" s="38">
        <f>IF(J775="已結案",0,(使用說明!$B$7-B775)*24)</f>
        <v>253.61666666669771</v>
      </c>
    </row>
    <row r="776" spans="1:22">
      <c r="A776" s="32" t="s">
        <v>1331</v>
      </c>
      <c r="B776" s="33">
        <v>46193.815972222219</v>
      </c>
      <c r="C776" s="34" t="s">
        <v>694</v>
      </c>
      <c r="D776" s="34" t="s">
        <v>218</v>
      </c>
      <c r="E776" s="34" t="s">
        <v>235</v>
      </c>
      <c r="F776" s="34" t="s">
        <v>241</v>
      </c>
      <c r="G776" s="34" t="s">
        <v>213</v>
      </c>
      <c r="H776" s="34" t="s">
        <v>381</v>
      </c>
      <c r="I776" s="35" t="str">
        <f>VLOOKUP(H776,人員與團隊!$A$4:$D$27,3,FALSE)</f>
        <v>線上服務</v>
      </c>
      <c r="J776" s="34" t="s">
        <v>215</v>
      </c>
      <c r="K776" s="33">
        <v>46194.251388888886</v>
      </c>
      <c r="L776" s="33">
        <v>46194.529473263887</v>
      </c>
      <c r="M776" s="36">
        <f t="shared" si="60"/>
        <v>627.00000000069849</v>
      </c>
      <c r="N776" s="37">
        <f t="shared" si="61"/>
        <v>17.12402500002645</v>
      </c>
      <c r="O776" s="36">
        <f>VLOOKUP(G776,SLA標準!$A$4:$C$7,2,FALSE)</f>
        <v>480</v>
      </c>
      <c r="P776" s="37">
        <f>VLOOKUP(G776,SLA標準!$A$4:$C$7,3,FALSE)</f>
        <v>48</v>
      </c>
      <c r="Q776" s="35" t="str">
        <f t="shared" si="62"/>
        <v>逾期</v>
      </c>
      <c r="R776" s="34" t="s">
        <v>47</v>
      </c>
      <c r="S776" s="35" t="str">
        <f t="shared" si="63"/>
        <v>是</v>
      </c>
      <c r="T776" s="36">
        <f>IFERROR(VLOOKUP(A776,滿意度調查!$B$4:$D$570,3,FALSE),"")</f>
        <v>3</v>
      </c>
      <c r="U776" s="35" t="str">
        <f t="shared" si="64"/>
        <v>2026-06</v>
      </c>
      <c r="V776" s="38">
        <f>IF(J776="已結案",0,(使用說明!$B$7-B776)*24)</f>
        <v>0</v>
      </c>
    </row>
    <row r="777" spans="1:22">
      <c r="A777" s="32" t="s">
        <v>1332</v>
      </c>
      <c r="B777" s="33">
        <v>46194.342361111114</v>
      </c>
      <c r="C777" s="34" t="s">
        <v>346</v>
      </c>
      <c r="D777" s="34" t="s">
        <v>210</v>
      </c>
      <c r="E777" s="34" t="s">
        <v>211</v>
      </c>
      <c r="F777" s="34" t="s">
        <v>331</v>
      </c>
      <c r="G777" s="34" t="s">
        <v>242</v>
      </c>
      <c r="H777" s="34" t="s">
        <v>310</v>
      </c>
      <c r="I777" s="35" t="str">
        <f>VLOOKUP(H777,人員與團隊!$A$4:$D$27,3,FALSE)</f>
        <v>線上服務</v>
      </c>
      <c r="J777" s="34" t="s">
        <v>215</v>
      </c>
      <c r="K777" s="33">
        <v>46194.38958333333</v>
      </c>
      <c r="L777" s="33">
        <v>46194.635566006946</v>
      </c>
      <c r="M777" s="36">
        <f t="shared" si="60"/>
        <v>67.999999991152436</v>
      </c>
      <c r="N777" s="37">
        <f t="shared" si="61"/>
        <v>7.0369174999650568</v>
      </c>
      <c r="O777" s="36">
        <f>VLOOKUP(G777,SLA標準!$A$4:$C$7,2,FALSE)</f>
        <v>240</v>
      </c>
      <c r="P777" s="37">
        <f>VLOOKUP(G777,SLA標準!$A$4:$C$7,3,FALSE)</f>
        <v>24</v>
      </c>
      <c r="Q777" s="35" t="str">
        <f t="shared" si="62"/>
        <v>達標</v>
      </c>
      <c r="R777" s="34" t="s">
        <v>41</v>
      </c>
      <c r="S777" s="35" t="str">
        <f t="shared" si="63"/>
        <v>是</v>
      </c>
      <c r="T777" s="36">
        <f>IFERROR(VLOOKUP(A777,滿意度調查!$B$4:$D$570,3,FALSE),"")</f>
        <v>4</v>
      </c>
      <c r="U777" s="35" t="str">
        <f t="shared" si="64"/>
        <v>2026-06</v>
      </c>
      <c r="V777" s="38">
        <f>IF(J777="已結案",0,(使用說明!$B$7-B777)*24)</f>
        <v>0</v>
      </c>
    </row>
    <row r="778" spans="1:22">
      <c r="A778" s="32" t="s">
        <v>1333</v>
      </c>
      <c r="B778" s="33">
        <v>46194.34652777778</v>
      </c>
      <c r="C778" s="34" t="s">
        <v>754</v>
      </c>
      <c r="D778" s="34" t="s">
        <v>225</v>
      </c>
      <c r="E778" s="34" t="s">
        <v>211</v>
      </c>
      <c r="F778" s="34" t="s">
        <v>331</v>
      </c>
      <c r="G778" s="34" t="s">
        <v>242</v>
      </c>
      <c r="H778" s="34" t="s">
        <v>250</v>
      </c>
      <c r="I778" s="35" t="str">
        <f>VLOOKUP(H778,人員與團隊!$A$4:$D$27,3,FALSE)</f>
        <v>南區服務</v>
      </c>
      <c r="J778" s="34" t="s">
        <v>275</v>
      </c>
      <c r="K778" s="33">
        <v>46194.399305555555</v>
      </c>
      <c r="L778" s="33"/>
      <c r="M778" s="36">
        <f t="shared" si="60"/>
        <v>75.99999999627471</v>
      </c>
      <c r="N778" s="37" t="str">
        <f t="shared" si="61"/>
        <v/>
      </c>
      <c r="O778" s="36">
        <f>VLOOKUP(G778,SLA標準!$A$4:$C$7,2,FALSE)</f>
        <v>240</v>
      </c>
      <c r="P778" s="37">
        <f>VLOOKUP(G778,SLA標準!$A$4:$C$7,3,FALSE)</f>
        <v>24</v>
      </c>
      <c r="Q778" s="35" t="str">
        <f t="shared" si="62"/>
        <v>逾期</v>
      </c>
      <c r="R778" s="34" t="s">
        <v>47</v>
      </c>
      <c r="S778" s="35" t="str">
        <f t="shared" si="63"/>
        <v>否</v>
      </c>
      <c r="T778" s="36" t="str">
        <f>IFERROR(VLOOKUP(A778,滿意度調查!$B$4:$D$570,3,FALSE),"")</f>
        <v/>
      </c>
      <c r="U778" s="35" t="str">
        <f t="shared" si="64"/>
        <v>2026-06</v>
      </c>
      <c r="V778" s="38">
        <f>IF(J778="已結案",0,(使用說明!$B$7-B778)*24)</f>
        <v>240.68333333329065</v>
      </c>
    </row>
    <row r="779" spans="1:22">
      <c r="A779" s="32" t="s">
        <v>1334</v>
      </c>
      <c r="B779" s="33">
        <v>46194.388194444444</v>
      </c>
      <c r="C779" s="34" t="s">
        <v>434</v>
      </c>
      <c r="D779" s="34" t="s">
        <v>225</v>
      </c>
      <c r="E779" s="34" t="s">
        <v>265</v>
      </c>
      <c r="F779" s="34" t="s">
        <v>301</v>
      </c>
      <c r="G779" s="34" t="s">
        <v>213</v>
      </c>
      <c r="H779" s="34" t="s">
        <v>315</v>
      </c>
      <c r="I779" s="35" t="str">
        <f>VLOOKUP(H779,人員與團隊!$A$4:$D$27,3,FALSE)</f>
        <v>北區服務</v>
      </c>
      <c r="J779" s="34" t="s">
        <v>215</v>
      </c>
      <c r="K779" s="33">
        <v>46194.73333333333</v>
      </c>
      <c r="L779" s="33">
        <v>46196.427941921298</v>
      </c>
      <c r="M779" s="36">
        <f t="shared" si="60"/>
        <v>496.99999999604188</v>
      </c>
      <c r="N779" s="37">
        <f t="shared" si="61"/>
        <v>48.953939444501884</v>
      </c>
      <c r="O779" s="36">
        <f>VLOOKUP(G779,SLA標準!$A$4:$C$7,2,FALSE)</f>
        <v>480</v>
      </c>
      <c r="P779" s="37">
        <f>VLOOKUP(G779,SLA標準!$A$4:$C$7,3,FALSE)</f>
        <v>48</v>
      </c>
      <c r="Q779" s="35" t="str">
        <f t="shared" si="62"/>
        <v>逾期</v>
      </c>
      <c r="R779" s="34" t="s">
        <v>41</v>
      </c>
      <c r="S779" s="35" t="str">
        <f t="shared" si="63"/>
        <v>否</v>
      </c>
      <c r="T779" s="36" t="str">
        <f>IFERROR(VLOOKUP(A779,滿意度調查!$B$4:$D$570,3,FALSE),"")</f>
        <v/>
      </c>
      <c r="U779" s="35" t="str">
        <f t="shared" si="64"/>
        <v>2026-06</v>
      </c>
      <c r="V779" s="38">
        <f>IF(J779="已結案",0,(使用說明!$B$7-B779)*24)</f>
        <v>0</v>
      </c>
    </row>
    <row r="780" spans="1:22">
      <c r="A780" s="32" t="s">
        <v>1335</v>
      </c>
      <c r="B780" s="33">
        <v>46194.435416666667</v>
      </c>
      <c r="C780" s="34" t="s">
        <v>506</v>
      </c>
      <c r="D780" s="34" t="s">
        <v>218</v>
      </c>
      <c r="E780" s="34" t="s">
        <v>211</v>
      </c>
      <c r="F780" s="34" t="s">
        <v>331</v>
      </c>
      <c r="G780" s="34" t="s">
        <v>213</v>
      </c>
      <c r="H780" s="34" t="s">
        <v>340</v>
      </c>
      <c r="I780" s="35" t="str">
        <f>VLOOKUP(H780,人員與團隊!$A$4:$D$27,3,FALSE)</f>
        <v>北區服務</v>
      </c>
      <c r="J780" s="34" t="s">
        <v>215</v>
      </c>
      <c r="K780" s="33">
        <v>46194.96875</v>
      </c>
      <c r="L780" s="33">
        <v>46194.993860208335</v>
      </c>
      <c r="M780" s="36">
        <f t="shared" si="60"/>
        <v>767.99999999930151</v>
      </c>
      <c r="N780" s="37">
        <f t="shared" si="61"/>
        <v>13.402645000023767</v>
      </c>
      <c r="O780" s="36">
        <f>VLOOKUP(G780,SLA標準!$A$4:$C$7,2,FALSE)</f>
        <v>480</v>
      </c>
      <c r="P780" s="37">
        <f>VLOOKUP(G780,SLA標準!$A$4:$C$7,3,FALSE)</f>
        <v>48</v>
      </c>
      <c r="Q780" s="35" t="str">
        <f t="shared" si="62"/>
        <v>逾期</v>
      </c>
      <c r="R780" s="34" t="s">
        <v>47</v>
      </c>
      <c r="S780" s="35" t="str">
        <f t="shared" si="63"/>
        <v>是</v>
      </c>
      <c r="T780" s="36">
        <f>IFERROR(VLOOKUP(A780,滿意度調查!$B$4:$D$570,3,FALSE),"")</f>
        <v>3</v>
      </c>
      <c r="U780" s="35" t="str">
        <f t="shared" si="64"/>
        <v>2026-06</v>
      </c>
      <c r="V780" s="38">
        <f>IF(J780="已結案",0,(使用說明!$B$7-B780)*24)</f>
        <v>0</v>
      </c>
    </row>
    <row r="781" spans="1:22">
      <c r="A781" s="32" t="s">
        <v>1336</v>
      </c>
      <c r="B781" s="33">
        <v>46194.457638888889</v>
      </c>
      <c r="C781" s="34" t="s">
        <v>434</v>
      </c>
      <c r="D781" s="34" t="s">
        <v>210</v>
      </c>
      <c r="E781" s="34" t="s">
        <v>211</v>
      </c>
      <c r="F781" s="34" t="s">
        <v>334</v>
      </c>
      <c r="G781" s="34" t="s">
        <v>242</v>
      </c>
      <c r="H781" s="34" t="s">
        <v>384</v>
      </c>
      <c r="I781" s="35" t="str">
        <f>VLOOKUP(H781,人員與團隊!$A$4:$D$27,3,FALSE)</f>
        <v>線上服務</v>
      </c>
      <c r="J781" s="34" t="s">
        <v>215</v>
      </c>
      <c r="K781" s="33">
        <v>46194.548611111109</v>
      </c>
      <c r="L781" s="33">
        <v>46194.689268530092</v>
      </c>
      <c r="M781" s="36">
        <f t="shared" si="60"/>
        <v>130.99999999743886</v>
      </c>
      <c r="N781" s="37">
        <f t="shared" si="61"/>
        <v>5.5591113888658583</v>
      </c>
      <c r="O781" s="36">
        <f>VLOOKUP(G781,SLA標準!$A$4:$C$7,2,FALSE)</f>
        <v>240</v>
      </c>
      <c r="P781" s="37">
        <f>VLOOKUP(G781,SLA標準!$A$4:$C$7,3,FALSE)</f>
        <v>24</v>
      </c>
      <c r="Q781" s="35" t="str">
        <f t="shared" si="62"/>
        <v>達標</v>
      </c>
      <c r="R781" s="34" t="s">
        <v>41</v>
      </c>
      <c r="S781" s="35" t="str">
        <f t="shared" si="63"/>
        <v>是</v>
      </c>
      <c r="T781" s="36">
        <f>IFERROR(VLOOKUP(A781,滿意度調查!$B$4:$D$570,3,FALSE),"")</f>
        <v>5</v>
      </c>
      <c r="U781" s="35" t="str">
        <f t="shared" si="64"/>
        <v>2026-06</v>
      </c>
      <c r="V781" s="38">
        <f>IF(J781="已結案",0,(使用說明!$B$7-B781)*24)</f>
        <v>0</v>
      </c>
    </row>
    <row r="782" spans="1:22">
      <c r="A782" s="32" t="s">
        <v>1337</v>
      </c>
      <c r="B782" s="33">
        <v>46194.464583333334</v>
      </c>
      <c r="C782" s="34" t="s">
        <v>646</v>
      </c>
      <c r="D782" s="34" t="s">
        <v>218</v>
      </c>
      <c r="E782" s="34" t="s">
        <v>245</v>
      </c>
      <c r="F782" s="34" t="s">
        <v>282</v>
      </c>
      <c r="G782" s="34" t="s">
        <v>242</v>
      </c>
      <c r="H782" s="34" t="s">
        <v>237</v>
      </c>
      <c r="I782" s="35" t="str">
        <f>VLOOKUP(H782,人員與團隊!$A$4:$D$27,3,FALSE)</f>
        <v>北區服務</v>
      </c>
      <c r="J782" s="34" t="s">
        <v>215</v>
      </c>
      <c r="K782" s="33">
        <v>46194.668749999997</v>
      </c>
      <c r="L782" s="33">
        <v>46197.156692615739</v>
      </c>
      <c r="M782" s="36">
        <f t="shared" si="60"/>
        <v>293.99999999441206</v>
      </c>
      <c r="N782" s="37">
        <f t="shared" si="61"/>
        <v>64.610622777719982</v>
      </c>
      <c r="O782" s="36">
        <f>VLOOKUP(G782,SLA標準!$A$4:$C$7,2,FALSE)</f>
        <v>240</v>
      </c>
      <c r="P782" s="37">
        <f>VLOOKUP(G782,SLA標準!$A$4:$C$7,3,FALSE)</f>
        <v>24</v>
      </c>
      <c r="Q782" s="35" t="str">
        <f t="shared" si="62"/>
        <v>逾期</v>
      </c>
      <c r="R782" s="34" t="s">
        <v>47</v>
      </c>
      <c r="S782" s="35" t="str">
        <f t="shared" si="63"/>
        <v>否</v>
      </c>
      <c r="T782" s="36" t="str">
        <f>IFERROR(VLOOKUP(A782,滿意度調查!$B$4:$D$570,3,FALSE),"")</f>
        <v/>
      </c>
      <c r="U782" s="35" t="str">
        <f t="shared" si="64"/>
        <v>2026-06</v>
      </c>
      <c r="V782" s="38">
        <f>IF(J782="已結案",0,(使用說明!$B$7-B782)*24)</f>
        <v>0</v>
      </c>
    </row>
    <row r="783" spans="1:22">
      <c r="A783" s="32" t="s">
        <v>1338</v>
      </c>
      <c r="B783" s="33">
        <v>46194.525694444441</v>
      </c>
      <c r="C783" s="34" t="s">
        <v>1049</v>
      </c>
      <c r="D783" s="34" t="s">
        <v>210</v>
      </c>
      <c r="E783" s="34" t="s">
        <v>235</v>
      </c>
      <c r="F783" s="34" t="s">
        <v>298</v>
      </c>
      <c r="G783" s="34" t="s">
        <v>242</v>
      </c>
      <c r="H783" s="34" t="s">
        <v>381</v>
      </c>
      <c r="I783" s="35" t="str">
        <f>VLOOKUP(H783,人員與團隊!$A$4:$D$27,3,FALSE)</f>
        <v>線上服務</v>
      </c>
      <c r="J783" s="34" t="s">
        <v>215</v>
      </c>
      <c r="K783" s="33">
        <v>46194.546527777777</v>
      </c>
      <c r="L783" s="33">
        <v>46194.920201064815</v>
      </c>
      <c r="M783" s="36">
        <f t="shared" si="60"/>
        <v>30.00000000349246</v>
      </c>
      <c r="N783" s="37">
        <f t="shared" si="61"/>
        <v>9.4681588889798149</v>
      </c>
      <c r="O783" s="36">
        <f>VLOOKUP(G783,SLA標準!$A$4:$C$7,2,FALSE)</f>
        <v>240</v>
      </c>
      <c r="P783" s="37">
        <f>VLOOKUP(G783,SLA標準!$A$4:$C$7,3,FALSE)</f>
        <v>24</v>
      </c>
      <c r="Q783" s="35" t="str">
        <f t="shared" si="62"/>
        <v>達標</v>
      </c>
      <c r="R783" s="34" t="s">
        <v>47</v>
      </c>
      <c r="S783" s="35" t="str">
        <f t="shared" si="63"/>
        <v>是</v>
      </c>
      <c r="T783" s="36">
        <f>IFERROR(VLOOKUP(A783,滿意度調查!$B$4:$D$570,3,FALSE),"")</f>
        <v>5</v>
      </c>
      <c r="U783" s="35" t="str">
        <f t="shared" si="64"/>
        <v>2026-06</v>
      </c>
      <c r="V783" s="38">
        <f>IF(J783="已結案",0,(使用說明!$B$7-B783)*24)</f>
        <v>0</v>
      </c>
    </row>
    <row r="784" spans="1:22">
      <c r="A784" s="32" t="s">
        <v>1339</v>
      </c>
      <c r="B784" s="33">
        <v>46194.555555555555</v>
      </c>
      <c r="C784" s="34" t="s">
        <v>998</v>
      </c>
      <c r="D784" s="34" t="s">
        <v>240</v>
      </c>
      <c r="E784" s="34" t="s">
        <v>245</v>
      </c>
      <c r="F784" s="34" t="s">
        <v>246</v>
      </c>
      <c r="G784" s="34" t="s">
        <v>242</v>
      </c>
      <c r="H784" s="34" t="s">
        <v>267</v>
      </c>
      <c r="I784" s="35" t="str">
        <f>VLOOKUP(H784,人員與團隊!$A$4:$D$27,3,FALSE)</f>
        <v>南區服務</v>
      </c>
      <c r="J784" s="34" t="s">
        <v>215</v>
      </c>
      <c r="K784" s="33">
        <v>46194.765277777777</v>
      </c>
      <c r="L784" s="33">
        <v>46196.238837013887</v>
      </c>
      <c r="M784" s="36">
        <f t="shared" si="60"/>
        <v>301.99999999953434</v>
      </c>
      <c r="N784" s="37">
        <f t="shared" si="61"/>
        <v>40.39875499997288</v>
      </c>
      <c r="O784" s="36">
        <f>VLOOKUP(G784,SLA標準!$A$4:$C$7,2,FALSE)</f>
        <v>240</v>
      </c>
      <c r="P784" s="37">
        <f>VLOOKUP(G784,SLA標準!$A$4:$C$7,3,FALSE)</f>
        <v>24</v>
      </c>
      <c r="Q784" s="35" t="str">
        <f t="shared" si="62"/>
        <v>逾期</v>
      </c>
      <c r="R784" s="34" t="s">
        <v>47</v>
      </c>
      <c r="S784" s="35" t="str">
        <f t="shared" si="63"/>
        <v>是</v>
      </c>
      <c r="T784" s="36">
        <f>IFERROR(VLOOKUP(A784,滿意度調查!$B$4:$D$570,3,FALSE),"")</f>
        <v>4</v>
      </c>
      <c r="U784" s="35" t="str">
        <f t="shared" si="64"/>
        <v>2026-06</v>
      </c>
      <c r="V784" s="38">
        <f>IF(J784="已結案",0,(使用說明!$B$7-B784)*24)</f>
        <v>0</v>
      </c>
    </row>
    <row r="785" spans="1:22">
      <c r="A785" s="32" t="s">
        <v>1340</v>
      </c>
      <c r="B785" s="33">
        <v>46194.646527777775</v>
      </c>
      <c r="C785" s="34" t="s">
        <v>349</v>
      </c>
      <c r="D785" s="34" t="s">
        <v>210</v>
      </c>
      <c r="E785" s="34" t="s">
        <v>235</v>
      </c>
      <c r="F785" s="34" t="s">
        <v>236</v>
      </c>
      <c r="G785" s="34" t="s">
        <v>213</v>
      </c>
      <c r="H785" s="34" t="s">
        <v>250</v>
      </c>
      <c r="I785" s="35" t="str">
        <f>VLOOKUP(H785,人員與團隊!$A$4:$D$27,3,FALSE)</f>
        <v>南區服務</v>
      </c>
      <c r="J785" s="34" t="s">
        <v>215</v>
      </c>
      <c r="K785" s="33">
        <v>46194.832638888889</v>
      </c>
      <c r="L785" s="33">
        <v>46195.206047002313</v>
      </c>
      <c r="M785" s="36">
        <f t="shared" si="60"/>
        <v>268.00000000395812</v>
      </c>
      <c r="N785" s="37">
        <f t="shared" si="61"/>
        <v>13.42846138891764</v>
      </c>
      <c r="O785" s="36">
        <f>VLOOKUP(G785,SLA標準!$A$4:$C$7,2,FALSE)</f>
        <v>480</v>
      </c>
      <c r="P785" s="37">
        <f>VLOOKUP(G785,SLA標準!$A$4:$C$7,3,FALSE)</f>
        <v>48</v>
      </c>
      <c r="Q785" s="35" t="str">
        <f t="shared" si="62"/>
        <v>達標</v>
      </c>
      <c r="R785" s="34" t="s">
        <v>47</v>
      </c>
      <c r="S785" s="35" t="str">
        <f t="shared" si="63"/>
        <v>否</v>
      </c>
      <c r="T785" s="36" t="str">
        <f>IFERROR(VLOOKUP(A785,滿意度調查!$B$4:$D$570,3,FALSE),"")</f>
        <v/>
      </c>
      <c r="U785" s="35" t="str">
        <f t="shared" si="64"/>
        <v>2026-06</v>
      </c>
      <c r="V785" s="38">
        <f>IF(J785="已結案",0,(使用說明!$B$7-B785)*24)</f>
        <v>0</v>
      </c>
    </row>
    <row r="786" spans="1:22">
      <c r="A786" s="32" t="s">
        <v>1341</v>
      </c>
      <c r="B786" s="33">
        <v>46194.668055555558</v>
      </c>
      <c r="C786" s="34" t="s">
        <v>842</v>
      </c>
      <c r="D786" s="34" t="s">
        <v>210</v>
      </c>
      <c r="E786" s="34" t="s">
        <v>211</v>
      </c>
      <c r="F786" s="34" t="s">
        <v>212</v>
      </c>
      <c r="G786" s="34" t="s">
        <v>242</v>
      </c>
      <c r="H786" s="34" t="s">
        <v>381</v>
      </c>
      <c r="I786" s="35" t="str">
        <f>VLOOKUP(H786,人員與團隊!$A$4:$D$27,3,FALSE)</f>
        <v>線上服務</v>
      </c>
      <c r="J786" s="34" t="s">
        <v>215</v>
      </c>
      <c r="K786" s="33">
        <v>46194.734722222223</v>
      </c>
      <c r="L786" s="33">
        <v>46194.971333171299</v>
      </c>
      <c r="M786" s="36">
        <f t="shared" si="60"/>
        <v>95.999999998603016</v>
      </c>
      <c r="N786" s="37">
        <f t="shared" si="61"/>
        <v>7.2786627777968533</v>
      </c>
      <c r="O786" s="36">
        <f>VLOOKUP(G786,SLA標準!$A$4:$C$7,2,FALSE)</f>
        <v>240</v>
      </c>
      <c r="P786" s="37">
        <f>VLOOKUP(G786,SLA標準!$A$4:$C$7,3,FALSE)</f>
        <v>24</v>
      </c>
      <c r="Q786" s="35" t="str">
        <f t="shared" si="62"/>
        <v>達標</v>
      </c>
      <c r="R786" s="34" t="s">
        <v>47</v>
      </c>
      <c r="S786" s="35" t="str">
        <f t="shared" si="63"/>
        <v>是</v>
      </c>
      <c r="T786" s="36">
        <f>IFERROR(VLOOKUP(A786,滿意度調查!$B$4:$D$570,3,FALSE),"")</f>
        <v>5</v>
      </c>
      <c r="U786" s="35" t="str">
        <f t="shared" si="64"/>
        <v>2026-06</v>
      </c>
      <c r="V786" s="38">
        <f>IF(J786="已結案",0,(使用說明!$B$7-B786)*24)</f>
        <v>0</v>
      </c>
    </row>
    <row r="787" spans="1:22">
      <c r="A787" s="32" t="s">
        <v>1342</v>
      </c>
      <c r="B787" s="33">
        <v>46194.69027777778</v>
      </c>
      <c r="C787" s="34" t="s">
        <v>1049</v>
      </c>
      <c r="D787" s="34" t="s">
        <v>210</v>
      </c>
      <c r="E787" s="34" t="s">
        <v>265</v>
      </c>
      <c r="F787" s="34" t="s">
        <v>479</v>
      </c>
      <c r="G787" s="34" t="s">
        <v>213</v>
      </c>
      <c r="H787" s="34" t="s">
        <v>310</v>
      </c>
      <c r="I787" s="35" t="str">
        <f>VLOOKUP(H787,人員與團隊!$A$4:$D$27,3,FALSE)</f>
        <v>線上服務</v>
      </c>
      <c r="J787" s="34" t="s">
        <v>275</v>
      </c>
      <c r="K787" s="33">
        <v>46194.736111111109</v>
      </c>
      <c r="L787" s="33"/>
      <c r="M787" s="36">
        <f t="shared" si="60"/>
        <v>65.999999995110556</v>
      </c>
      <c r="N787" s="37" t="str">
        <f t="shared" si="61"/>
        <v/>
      </c>
      <c r="O787" s="36">
        <f>VLOOKUP(G787,SLA標準!$A$4:$C$7,2,FALSE)</f>
        <v>480</v>
      </c>
      <c r="P787" s="37">
        <f>VLOOKUP(G787,SLA標準!$A$4:$C$7,3,FALSE)</f>
        <v>48</v>
      </c>
      <c r="Q787" s="35" t="str">
        <f t="shared" si="62"/>
        <v>逾期</v>
      </c>
      <c r="R787" s="34" t="s">
        <v>47</v>
      </c>
      <c r="S787" s="35" t="str">
        <f t="shared" si="63"/>
        <v>否</v>
      </c>
      <c r="T787" s="36" t="str">
        <f>IFERROR(VLOOKUP(A787,滿意度調查!$B$4:$D$570,3,FALSE),"")</f>
        <v/>
      </c>
      <c r="U787" s="35" t="str">
        <f t="shared" si="64"/>
        <v>2026-06</v>
      </c>
      <c r="V787" s="38">
        <f>IF(J787="已結案",0,(使用說明!$B$7-B787)*24)</f>
        <v>232.43333333329065</v>
      </c>
    </row>
    <row r="788" spans="1:22">
      <c r="A788" s="32" t="s">
        <v>1343</v>
      </c>
      <c r="B788" s="33">
        <v>46194.712500000001</v>
      </c>
      <c r="C788" s="34" t="s">
        <v>998</v>
      </c>
      <c r="D788" s="34" t="s">
        <v>218</v>
      </c>
      <c r="E788" s="34" t="s">
        <v>219</v>
      </c>
      <c r="F788" s="34" t="s">
        <v>257</v>
      </c>
      <c r="G788" s="34" t="s">
        <v>213</v>
      </c>
      <c r="H788" s="34" t="s">
        <v>328</v>
      </c>
      <c r="I788" s="35" t="str">
        <f>VLOOKUP(H788,人員與團隊!$A$4:$D$27,3,FALSE)</f>
        <v>北區服務</v>
      </c>
      <c r="J788" s="34" t="s">
        <v>215</v>
      </c>
      <c r="K788" s="33">
        <v>46195.292361111111</v>
      </c>
      <c r="L788" s="33">
        <v>46195.475765462965</v>
      </c>
      <c r="M788" s="36">
        <f t="shared" si="60"/>
        <v>834.99999999767169</v>
      </c>
      <c r="N788" s="37">
        <f t="shared" si="61"/>
        <v>18.318371111119632</v>
      </c>
      <c r="O788" s="36">
        <f>VLOOKUP(G788,SLA標準!$A$4:$C$7,2,FALSE)</f>
        <v>480</v>
      </c>
      <c r="P788" s="37">
        <f>VLOOKUP(G788,SLA標準!$A$4:$C$7,3,FALSE)</f>
        <v>48</v>
      </c>
      <c r="Q788" s="35" t="str">
        <f t="shared" si="62"/>
        <v>逾期</v>
      </c>
      <c r="R788" s="34" t="s">
        <v>47</v>
      </c>
      <c r="S788" s="35" t="str">
        <f t="shared" si="63"/>
        <v>否</v>
      </c>
      <c r="T788" s="36" t="str">
        <f>IFERROR(VLOOKUP(A788,滿意度調查!$B$4:$D$570,3,FALSE),"")</f>
        <v/>
      </c>
      <c r="U788" s="35" t="str">
        <f t="shared" si="64"/>
        <v>2026-06</v>
      </c>
      <c r="V788" s="38">
        <f>IF(J788="已結案",0,(使用說明!$B$7-B788)*24)</f>
        <v>0</v>
      </c>
    </row>
    <row r="789" spans="1:22">
      <c r="A789" s="32" t="s">
        <v>1344</v>
      </c>
      <c r="B789" s="33">
        <v>46194.73541666667</v>
      </c>
      <c r="C789" s="34" t="s">
        <v>259</v>
      </c>
      <c r="D789" s="34" t="s">
        <v>210</v>
      </c>
      <c r="E789" s="34" t="s">
        <v>211</v>
      </c>
      <c r="F789" s="34" t="s">
        <v>212</v>
      </c>
      <c r="G789" s="34" t="s">
        <v>242</v>
      </c>
      <c r="H789" s="34" t="s">
        <v>384</v>
      </c>
      <c r="I789" s="35" t="str">
        <f>VLOOKUP(H789,人員與團隊!$A$4:$D$27,3,FALSE)</f>
        <v>線上服務</v>
      </c>
      <c r="J789" s="34" t="s">
        <v>774</v>
      </c>
      <c r="K789" s="33">
        <v>46194.788888888892</v>
      </c>
      <c r="L789" s="33"/>
      <c r="M789" s="36">
        <f t="shared" si="60"/>
        <v>76.999999999534339</v>
      </c>
      <c r="N789" s="37" t="str">
        <f t="shared" si="61"/>
        <v/>
      </c>
      <c r="O789" s="36">
        <f>VLOOKUP(G789,SLA標準!$A$4:$C$7,2,FALSE)</f>
        <v>240</v>
      </c>
      <c r="P789" s="37">
        <f>VLOOKUP(G789,SLA標準!$A$4:$C$7,3,FALSE)</f>
        <v>24</v>
      </c>
      <c r="Q789" s="35" t="str">
        <f t="shared" si="62"/>
        <v>逾期</v>
      </c>
      <c r="R789" s="34" t="s">
        <v>47</v>
      </c>
      <c r="S789" s="35" t="str">
        <f t="shared" si="63"/>
        <v>否</v>
      </c>
      <c r="T789" s="36" t="str">
        <f>IFERROR(VLOOKUP(A789,滿意度調查!$B$4:$D$570,3,FALSE),"")</f>
        <v/>
      </c>
      <c r="U789" s="35" t="str">
        <f t="shared" si="64"/>
        <v>2026-06</v>
      </c>
      <c r="V789" s="38">
        <f>IF(J789="已結案",0,(使用說明!$B$7-B789)*24)</f>
        <v>231.34999999991851</v>
      </c>
    </row>
    <row r="790" spans="1:22">
      <c r="A790" s="32" t="s">
        <v>1345</v>
      </c>
      <c r="B790" s="33">
        <v>46194.771527777775</v>
      </c>
      <c r="C790" s="34" t="s">
        <v>644</v>
      </c>
      <c r="D790" s="34" t="s">
        <v>218</v>
      </c>
      <c r="E790" s="34" t="s">
        <v>265</v>
      </c>
      <c r="F790" s="34" t="s">
        <v>479</v>
      </c>
      <c r="G790" s="34" t="s">
        <v>221</v>
      </c>
      <c r="H790" s="34" t="s">
        <v>372</v>
      </c>
      <c r="I790" s="35" t="str">
        <f>VLOOKUP(H790,人員與團隊!$A$4:$D$27,3,FALSE)</f>
        <v>南區服務</v>
      </c>
      <c r="J790" s="34" t="s">
        <v>215</v>
      </c>
      <c r="K790" s="33">
        <v>46194.831250000003</v>
      </c>
      <c r="L790" s="33">
        <v>46195.587475914355</v>
      </c>
      <c r="M790" s="36">
        <f t="shared" si="60"/>
        <v>86.000000007916242</v>
      </c>
      <c r="N790" s="37">
        <f t="shared" si="61"/>
        <v>19.582755277922843</v>
      </c>
      <c r="O790" s="36">
        <f>VLOOKUP(G790,SLA標準!$A$4:$C$7,2,FALSE)</f>
        <v>60</v>
      </c>
      <c r="P790" s="37">
        <f>VLOOKUP(G790,SLA標準!$A$4:$C$7,3,FALSE)</f>
        <v>8</v>
      </c>
      <c r="Q790" s="35" t="str">
        <f t="shared" si="62"/>
        <v>逾期</v>
      </c>
      <c r="R790" s="34" t="s">
        <v>47</v>
      </c>
      <c r="S790" s="35" t="str">
        <f t="shared" si="63"/>
        <v>是</v>
      </c>
      <c r="T790" s="36">
        <f>IFERROR(VLOOKUP(A790,滿意度調查!$B$4:$D$570,3,FALSE),"")</f>
        <v>3</v>
      </c>
      <c r="U790" s="35" t="str">
        <f t="shared" si="64"/>
        <v>2026-06</v>
      </c>
      <c r="V790" s="38">
        <f>IF(J790="已結案",0,(使用說明!$B$7-B790)*24)</f>
        <v>0</v>
      </c>
    </row>
    <row r="791" spans="1:22">
      <c r="A791" s="32" t="s">
        <v>1346</v>
      </c>
      <c r="B791" s="33">
        <v>46194.859722222223</v>
      </c>
      <c r="C791" s="34" t="s">
        <v>425</v>
      </c>
      <c r="D791" s="34" t="s">
        <v>210</v>
      </c>
      <c r="E791" s="34" t="s">
        <v>265</v>
      </c>
      <c r="F791" s="34" t="s">
        <v>301</v>
      </c>
      <c r="G791" s="34" t="s">
        <v>221</v>
      </c>
      <c r="H791" s="34" t="s">
        <v>310</v>
      </c>
      <c r="I791" s="35" t="str">
        <f>VLOOKUP(H791,人員與團隊!$A$4:$D$27,3,FALSE)</f>
        <v>線上服務</v>
      </c>
      <c r="J791" s="34" t="s">
        <v>215</v>
      </c>
      <c r="K791" s="33">
        <v>46194.87222222222</v>
      </c>
      <c r="L791" s="33">
        <v>46195.539543310188</v>
      </c>
      <c r="M791" s="36">
        <f t="shared" si="60"/>
        <v>17.999999995809048</v>
      </c>
      <c r="N791" s="37">
        <f t="shared" si="61"/>
        <v>16.315706111141481</v>
      </c>
      <c r="O791" s="36">
        <f>VLOOKUP(G791,SLA標準!$A$4:$C$7,2,FALSE)</f>
        <v>60</v>
      </c>
      <c r="P791" s="37">
        <f>VLOOKUP(G791,SLA標準!$A$4:$C$7,3,FALSE)</f>
        <v>8</v>
      </c>
      <c r="Q791" s="35" t="str">
        <f t="shared" si="62"/>
        <v>逾期</v>
      </c>
      <c r="R791" s="34" t="s">
        <v>47</v>
      </c>
      <c r="S791" s="35" t="str">
        <f t="shared" si="63"/>
        <v>是</v>
      </c>
      <c r="T791" s="36">
        <f>IFERROR(VLOOKUP(A791,滿意度調查!$B$4:$D$570,3,FALSE),"")</f>
        <v>3</v>
      </c>
      <c r="U791" s="35" t="str">
        <f t="shared" si="64"/>
        <v>2026-06</v>
      </c>
      <c r="V791" s="38">
        <f>IF(J791="已結案",0,(使用說明!$B$7-B791)*24)</f>
        <v>0</v>
      </c>
    </row>
    <row r="792" spans="1:22">
      <c r="A792" s="32" t="s">
        <v>1347</v>
      </c>
      <c r="B792" s="33">
        <v>46195.343055555553</v>
      </c>
      <c r="C792" s="34" t="s">
        <v>566</v>
      </c>
      <c r="D792" s="34" t="s">
        <v>240</v>
      </c>
      <c r="E792" s="34" t="s">
        <v>230</v>
      </c>
      <c r="F792" s="34" t="s">
        <v>339</v>
      </c>
      <c r="G792" s="34" t="s">
        <v>242</v>
      </c>
      <c r="H792" s="34" t="s">
        <v>408</v>
      </c>
      <c r="I792" s="35" t="str">
        <f>VLOOKUP(H792,人員與團隊!$A$4:$D$27,3,FALSE)</f>
        <v>線上服務</v>
      </c>
      <c r="J792" s="34" t="s">
        <v>215</v>
      </c>
      <c r="K792" s="33">
        <v>46195.463888888888</v>
      </c>
      <c r="L792" s="33">
        <v>46195.777832951389</v>
      </c>
      <c r="M792" s="36">
        <f t="shared" si="60"/>
        <v>174.00000000139698</v>
      </c>
      <c r="N792" s="37">
        <f t="shared" si="61"/>
        <v>10.43465750006726</v>
      </c>
      <c r="O792" s="36">
        <f>VLOOKUP(G792,SLA標準!$A$4:$C$7,2,FALSE)</f>
        <v>240</v>
      </c>
      <c r="P792" s="37">
        <f>VLOOKUP(G792,SLA標準!$A$4:$C$7,3,FALSE)</f>
        <v>24</v>
      </c>
      <c r="Q792" s="35" t="str">
        <f t="shared" si="62"/>
        <v>達標</v>
      </c>
      <c r="R792" s="34" t="s">
        <v>47</v>
      </c>
      <c r="S792" s="35" t="str">
        <f t="shared" si="63"/>
        <v>否</v>
      </c>
      <c r="T792" s="36" t="str">
        <f>IFERROR(VLOOKUP(A792,滿意度調查!$B$4:$D$570,3,FALSE),"")</f>
        <v/>
      </c>
      <c r="U792" s="35" t="str">
        <f t="shared" si="64"/>
        <v>2026-06</v>
      </c>
      <c r="V792" s="38">
        <f>IF(J792="已結案",0,(使用說明!$B$7-B792)*24)</f>
        <v>0</v>
      </c>
    </row>
    <row r="793" spans="1:22">
      <c r="A793" s="32" t="s">
        <v>1348</v>
      </c>
      <c r="B793" s="33">
        <v>46195.433333333334</v>
      </c>
      <c r="C793" s="34" t="s">
        <v>744</v>
      </c>
      <c r="D793" s="34" t="s">
        <v>210</v>
      </c>
      <c r="E793" s="34" t="s">
        <v>211</v>
      </c>
      <c r="F793" s="34" t="s">
        <v>212</v>
      </c>
      <c r="G793" s="34" t="s">
        <v>242</v>
      </c>
      <c r="H793" s="34" t="s">
        <v>325</v>
      </c>
      <c r="I793" s="35" t="str">
        <f>VLOOKUP(H793,人員與團隊!$A$4:$D$27,3,FALSE)</f>
        <v>線上服務</v>
      </c>
      <c r="J793" s="34" t="s">
        <v>215</v>
      </c>
      <c r="K793" s="33">
        <v>46195.457638888889</v>
      </c>
      <c r="L793" s="33">
        <v>46195.645188356481</v>
      </c>
      <c r="M793" s="36">
        <f t="shared" si="60"/>
        <v>34.999999998835847</v>
      </c>
      <c r="N793" s="37">
        <f t="shared" si="61"/>
        <v>5.0845205555087887</v>
      </c>
      <c r="O793" s="36">
        <f>VLOOKUP(G793,SLA標準!$A$4:$C$7,2,FALSE)</f>
        <v>240</v>
      </c>
      <c r="P793" s="37">
        <f>VLOOKUP(G793,SLA標準!$A$4:$C$7,3,FALSE)</f>
        <v>24</v>
      </c>
      <c r="Q793" s="35" t="str">
        <f t="shared" si="62"/>
        <v>達標</v>
      </c>
      <c r="R793" s="34" t="s">
        <v>41</v>
      </c>
      <c r="S793" s="35" t="str">
        <f t="shared" si="63"/>
        <v>是</v>
      </c>
      <c r="T793" s="36">
        <f>IFERROR(VLOOKUP(A793,滿意度調查!$B$4:$D$570,3,FALSE),"")</f>
        <v>4</v>
      </c>
      <c r="U793" s="35" t="str">
        <f t="shared" si="64"/>
        <v>2026-06</v>
      </c>
      <c r="V793" s="38">
        <f>IF(J793="已結案",0,(使用說明!$B$7-B793)*24)</f>
        <v>0</v>
      </c>
    </row>
    <row r="794" spans="1:22">
      <c r="A794" s="32" t="s">
        <v>1349</v>
      </c>
      <c r="B794" s="33">
        <v>46195.441666666666</v>
      </c>
      <c r="C794" s="34" t="s">
        <v>582</v>
      </c>
      <c r="D794" s="34" t="s">
        <v>218</v>
      </c>
      <c r="E794" s="34" t="s">
        <v>211</v>
      </c>
      <c r="F794" s="34" t="s">
        <v>331</v>
      </c>
      <c r="G794" s="34" t="s">
        <v>242</v>
      </c>
      <c r="H794" s="34" t="s">
        <v>315</v>
      </c>
      <c r="I794" s="35" t="str">
        <f>VLOOKUP(H794,人員與團隊!$A$4:$D$27,3,FALSE)</f>
        <v>北區服務</v>
      </c>
      <c r="J794" s="34" t="s">
        <v>215</v>
      </c>
      <c r="K794" s="33">
        <v>46195.624305555553</v>
      </c>
      <c r="L794" s="33">
        <v>46195.682273969906</v>
      </c>
      <c r="M794" s="36">
        <f t="shared" si="60"/>
        <v>262.99999999813735</v>
      </c>
      <c r="N794" s="37">
        <f t="shared" si="61"/>
        <v>5.7745752777555026</v>
      </c>
      <c r="O794" s="36">
        <f>VLOOKUP(G794,SLA標準!$A$4:$C$7,2,FALSE)</f>
        <v>240</v>
      </c>
      <c r="P794" s="37">
        <f>VLOOKUP(G794,SLA標準!$A$4:$C$7,3,FALSE)</f>
        <v>24</v>
      </c>
      <c r="Q794" s="35" t="str">
        <f t="shared" si="62"/>
        <v>逾期</v>
      </c>
      <c r="R794" s="34" t="s">
        <v>47</v>
      </c>
      <c r="S794" s="35" t="str">
        <f t="shared" si="63"/>
        <v>是</v>
      </c>
      <c r="T794" s="36">
        <f>IFERROR(VLOOKUP(A794,滿意度調查!$B$4:$D$570,3,FALSE),"")</f>
        <v>3</v>
      </c>
      <c r="U794" s="35" t="str">
        <f t="shared" si="64"/>
        <v>2026-06</v>
      </c>
      <c r="V794" s="38">
        <f>IF(J794="已結案",0,(使用說明!$B$7-B794)*24)</f>
        <v>0</v>
      </c>
    </row>
    <row r="795" spans="1:22">
      <c r="A795" s="32" t="s">
        <v>1350</v>
      </c>
      <c r="B795" s="33">
        <v>46195.574999999997</v>
      </c>
      <c r="C795" s="34" t="s">
        <v>571</v>
      </c>
      <c r="D795" s="34" t="s">
        <v>225</v>
      </c>
      <c r="E795" s="34" t="s">
        <v>230</v>
      </c>
      <c r="F795" s="34" t="s">
        <v>231</v>
      </c>
      <c r="G795" s="34" t="s">
        <v>221</v>
      </c>
      <c r="H795" s="34" t="s">
        <v>328</v>
      </c>
      <c r="I795" s="35" t="str">
        <f>VLOOKUP(H795,人員與團隊!$A$4:$D$27,3,FALSE)</f>
        <v>北區服務</v>
      </c>
      <c r="J795" s="34" t="s">
        <v>215</v>
      </c>
      <c r="K795" s="33">
        <v>46195.606249999997</v>
      </c>
      <c r="L795" s="33">
        <v>46196.095779143521</v>
      </c>
      <c r="M795" s="36">
        <f t="shared" si="60"/>
        <v>45</v>
      </c>
      <c r="N795" s="37">
        <f t="shared" si="61"/>
        <v>12.498699444578961</v>
      </c>
      <c r="O795" s="36">
        <f>VLOOKUP(G795,SLA標準!$A$4:$C$7,2,FALSE)</f>
        <v>60</v>
      </c>
      <c r="P795" s="37">
        <f>VLOOKUP(G795,SLA標準!$A$4:$C$7,3,FALSE)</f>
        <v>8</v>
      </c>
      <c r="Q795" s="35" t="str">
        <f t="shared" si="62"/>
        <v>逾期</v>
      </c>
      <c r="R795" s="34" t="s">
        <v>41</v>
      </c>
      <c r="S795" s="35" t="str">
        <f t="shared" si="63"/>
        <v>是</v>
      </c>
      <c r="T795" s="36">
        <f>IFERROR(VLOOKUP(A795,滿意度調查!$B$4:$D$570,3,FALSE),"")</f>
        <v>3</v>
      </c>
      <c r="U795" s="35" t="str">
        <f t="shared" si="64"/>
        <v>2026-06</v>
      </c>
      <c r="V795" s="38">
        <f>IF(J795="已結案",0,(使用說明!$B$7-B795)*24)</f>
        <v>0</v>
      </c>
    </row>
    <row r="796" spans="1:22">
      <c r="A796" s="32" t="s">
        <v>1351</v>
      </c>
      <c r="B796" s="33">
        <v>46195.645833333336</v>
      </c>
      <c r="C796" s="34" t="s">
        <v>1352</v>
      </c>
      <c r="D796" s="34" t="s">
        <v>225</v>
      </c>
      <c r="E796" s="34" t="s">
        <v>235</v>
      </c>
      <c r="F796" s="34" t="s">
        <v>298</v>
      </c>
      <c r="G796" s="34" t="s">
        <v>213</v>
      </c>
      <c r="H796" s="34" t="s">
        <v>250</v>
      </c>
      <c r="I796" s="35" t="str">
        <f>VLOOKUP(H796,人員與團隊!$A$4:$D$27,3,FALSE)</f>
        <v>南區服務</v>
      </c>
      <c r="J796" s="34" t="s">
        <v>356</v>
      </c>
      <c r="K796" s="33">
        <v>46195.861111111109</v>
      </c>
      <c r="L796" s="33"/>
      <c r="M796" s="36">
        <f t="shared" si="60"/>
        <v>309.99999999417923</v>
      </c>
      <c r="N796" s="37" t="str">
        <f t="shared" si="61"/>
        <v/>
      </c>
      <c r="O796" s="36">
        <f>VLOOKUP(G796,SLA標準!$A$4:$C$7,2,FALSE)</f>
        <v>480</v>
      </c>
      <c r="P796" s="37">
        <f>VLOOKUP(G796,SLA標準!$A$4:$C$7,3,FALSE)</f>
        <v>48</v>
      </c>
      <c r="Q796" s="35" t="str">
        <f t="shared" si="62"/>
        <v>逾期</v>
      </c>
      <c r="R796" s="34" t="s">
        <v>47</v>
      </c>
      <c r="S796" s="35" t="str">
        <f t="shared" si="63"/>
        <v>否</v>
      </c>
      <c r="T796" s="36" t="str">
        <f>IFERROR(VLOOKUP(A796,滿意度調查!$B$4:$D$570,3,FALSE),"")</f>
        <v/>
      </c>
      <c r="U796" s="35" t="str">
        <f t="shared" si="64"/>
        <v>2026-06</v>
      </c>
      <c r="V796" s="38">
        <f>IF(J796="已結案",0,(使用說明!$B$7-B796)*24)</f>
        <v>209.49999999994179</v>
      </c>
    </row>
    <row r="797" spans="1:22">
      <c r="A797" s="32" t="s">
        <v>1353</v>
      </c>
      <c r="B797" s="33">
        <v>46195.689583333333</v>
      </c>
      <c r="C797" s="34" t="s">
        <v>456</v>
      </c>
      <c r="D797" s="34" t="s">
        <v>240</v>
      </c>
      <c r="E797" s="34" t="s">
        <v>211</v>
      </c>
      <c r="F797" s="34" t="s">
        <v>334</v>
      </c>
      <c r="G797" s="34" t="s">
        <v>213</v>
      </c>
      <c r="H797" s="34" t="s">
        <v>267</v>
      </c>
      <c r="I797" s="35" t="str">
        <f>VLOOKUP(H797,人員與團隊!$A$4:$D$27,3,FALSE)</f>
        <v>南區服務</v>
      </c>
      <c r="J797" s="34" t="s">
        <v>215</v>
      </c>
      <c r="K797" s="33">
        <v>46196.056250000001</v>
      </c>
      <c r="L797" s="33">
        <v>46196.023158159725</v>
      </c>
      <c r="M797" s="36">
        <f t="shared" si="60"/>
        <v>528.00000000279397</v>
      </c>
      <c r="N797" s="37">
        <f t="shared" si="61"/>
        <v>8.0057958334218711</v>
      </c>
      <c r="O797" s="36">
        <f>VLOOKUP(G797,SLA標準!$A$4:$C$7,2,FALSE)</f>
        <v>480</v>
      </c>
      <c r="P797" s="37">
        <f>VLOOKUP(G797,SLA標準!$A$4:$C$7,3,FALSE)</f>
        <v>48</v>
      </c>
      <c r="Q797" s="35" t="str">
        <f t="shared" si="62"/>
        <v>逾期</v>
      </c>
      <c r="R797" s="34" t="s">
        <v>47</v>
      </c>
      <c r="S797" s="35" t="str">
        <f t="shared" si="63"/>
        <v>是</v>
      </c>
      <c r="T797" s="36">
        <f>IFERROR(VLOOKUP(A797,滿意度調查!$B$4:$D$570,3,FALSE),"")</f>
        <v>4</v>
      </c>
      <c r="U797" s="35" t="str">
        <f t="shared" si="64"/>
        <v>2026-06</v>
      </c>
      <c r="V797" s="38">
        <f>IF(J797="已結案",0,(使用說明!$B$7-B797)*24)</f>
        <v>0</v>
      </c>
    </row>
    <row r="798" spans="1:22">
      <c r="A798" s="32" t="s">
        <v>1354</v>
      </c>
      <c r="B798" s="33">
        <v>46195.734722222223</v>
      </c>
      <c r="C798" s="34" t="s">
        <v>1355</v>
      </c>
      <c r="D798" s="34" t="s">
        <v>210</v>
      </c>
      <c r="E798" s="34" t="s">
        <v>235</v>
      </c>
      <c r="F798" s="34" t="s">
        <v>253</v>
      </c>
      <c r="G798" s="34" t="s">
        <v>242</v>
      </c>
      <c r="H798" s="34" t="s">
        <v>254</v>
      </c>
      <c r="I798" s="35" t="str">
        <f>VLOOKUP(H798,人員與團隊!$A$4:$D$27,3,FALSE)</f>
        <v>線上服務</v>
      </c>
      <c r="J798" s="34" t="s">
        <v>215</v>
      </c>
      <c r="K798" s="33">
        <v>46195.770138888889</v>
      </c>
      <c r="L798" s="33">
        <v>46195.97444943287</v>
      </c>
      <c r="M798" s="36">
        <f t="shared" si="60"/>
        <v>50.999999998603016</v>
      </c>
      <c r="N798" s="37">
        <f t="shared" si="61"/>
        <v>5.7534530555130914</v>
      </c>
      <c r="O798" s="36">
        <f>VLOOKUP(G798,SLA標準!$A$4:$C$7,2,FALSE)</f>
        <v>240</v>
      </c>
      <c r="P798" s="37">
        <f>VLOOKUP(G798,SLA標準!$A$4:$C$7,3,FALSE)</f>
        <v>24</v>
      </c>
      <c r="Q798" s="35" t="str">
        <f t="shared" si="62"/>
        <v>達標</v>
      </c>
      <c r="R798" s="34" t="s">
        <v>41</v>
      </c>
      <c r="S798" s="35" t="str">
        <f t="shared" si="63"/>
        <v>是</v>
      </c>
      <c r="T798" s="36">
        <f>IFERROR(VLOOKUP(A798,滿意度調查!$B$4:$D$570,3,FALSE),"")</f>
        <v>4</v>
      </c>
      <c r="U798" s="35" t="str">
        <f t="shared" si="64"/>
        <v>2026-06</v>
      </c>
      <c r="V798" s="38">
        <f>IF(J798="已結案",0,(使用說明!$B$7-B798)*24)</f>
        <v>0</v>
      </c>
    </row>
    <row r="799" spans="1:22">
      <c r="A799" s="32" t="s">
        <v>1356</v>
      </c>
      <c r="B799" s="33">
        <v>46195.772222222222</v>
      </c>
      <c r="C799" s="34" t="s">
        <v>1357</v>
      </c>
      <c r="D799" s="34" t="s">
        <v>240</v>
      </c>
      <c r="E799" s="34" t="s">
        <v>265</v>
      </c>
      <c r="F799" s="34" t="s">
        <v>304</v>
      </c>
      <c r="G799" s="34" t="s">
        <v>242</v>
      </c>
      <c r="H799" s="34" t="s">
        <v>274</v>
      </c>
      <c r="I799" s="35" t="str">
        <f>VLOOKUP(H799,人員與團隊!$A$4:$D$27,3,FALSE)</f>
        <v>南區服務</v>
      </c>
      <c r="J799" s="34" t="s">
        <v>215</v>
      </c>
      <c r="K799" s="33">
        <v>46195.873611111114</v>
      </c>
      <c r="L799" s="33">
        <v>46196.766629409722</v>
      </c>
      <c r="M799" s="36">
        <f t="shared" si="60"/>
        <v>146.00000000442378</v>
      </c>
      <c r="N799" s="37">
        <f t="shared" si="61"/>
        <v>23.865772499993909</v>
      </c>
      <c r="O799" s="36">
        <f>VLOOKUP(G799,SLA標準!$A$4:$C$7,2,FALSE)</f>
        <v>240</v>
      </c>
      <c r="P799" s="37">
        <f>VLOOKUP(G799,SLA標準!$A$4:$C$7,3,FALSE)</f>
        <v>24</v>
      </c>
      <c r="Q799" s="35" t="str">
        <f t="shared" si="62"/>
        <v>達標</v>
      </c>
      <c r="R799" s="34" t="s">
        <v>47</v>
      </c>
      <c r="S799" s="35" t="str">
        <f t="shared" si="63"/>
        <v>是</v>
      </c>
      <c r="T799" s="36">
        <f>IFERROR(VLOOKUP(A799,滿意度調查!$B$4:$D$570,3,FALSE),"")</f>
        <v>4</v>
      </c>
      <c r="U799" s="35" t="str">
        <f t="shared" si="64"/>
        <v>2026-06</v>
      </c>
      <c r="V799" s="38">
        <f>IF(J799="已結案",0,(使用說明!$B$7-B799)*24)</f>
        <v>0</v>
      </c>
    </row>
    <row r="800" spans="1:22">
      <c r="A800" s="32" t="s">
        <v>1358</v>
      </c>
      <c r="B800" s="33">
        <v>46195.804861111108</v>
      </c>
      <c r="C800" s="34" t="s">
        <v>564</v>
      </c>
      <c r="D800" s="34" t="s">
        <v>218</v>
      </c>
      <c r="E800" s="34" t="s">
        <v>219</v>
      </c>
      <c r="F800" s="34" t="s">
        <v>371</v>
      </c>
      <c r="G800" s="34" t="s">
        <v>221</v>
      </c>
      <c r="H800" s="34" t="s">
        <v>340</v>
      </c>
      <c r="I800" s="35" t="str">
        <f>VLOOKUP(H800,人員與團隊!$A$4:$D$27,3,FALSE)</f>
        <v>北區服務</v>
      </c>
      <c r="J800" s="34" t="s">
        <v>356</v>
      </c>
      <c r="K800" s="33">
        <v>46195.854861111111</v>
      </c>
      <c r="L800" s="33"/>
      <c r="M800" s="36">
        <f t="shared" si="60"/>
        <v>72.000000004190952</v>
      </c>
      <c r="N800" s="37" t="str">
        <f t="shared" si="61"/>
        <v/>
      </c>
      <c r="O800" s="36">
        <f>VLOOKUP(G800,SLA標準!$A$4:$C$7,2,FALSE)</f>
        <v>60</v>
      </c>
      <c r="P800" s="37">
        <f>VLOOKUP(G800,SLA標準!$A$4:$C$7,3,FALSE)</f>
        <v>8</v>
      </c>
      <c r="Q800" s="35" t="str">
        <f t="shared" si="62"/>
        <v>逾期</v>
      </c>
      <c r="R800" s="34" t="s">
        <v>47</v>
      </c>
      <c r="S800" s="35" t="str">
        <f t="shared" si="63"/>
        <v>否</v>
      </c>
      <c r="T800" s="36" t="str">
        <f>IFERROR(VLOOKUP(A800,滿意度調查!$B$4:$D$570,3,FALSE),"")</f>
        <v/>
      </c>
      <c r="U800" s="35" t="str">
        <f t="shared" si="64"/>
        <v>2026-06</v>
      </c>
      <c r="V800" s="38">
        <f>IF(J800="已結案",0,(使用說明!$B$7-B800)*24)</f>
        <v>205.68333333340706</v>
      </c>
    </row>
    <row r="801" spans="1:22">
      <c r="A801" s="32" t="s">
        <v>1359</v>
      </c>
      <c r="B801" s="33">
        <v>46195.84097222222</v>
      </c>
      <c r="C801" s="34" t="s">
        <v>269</v>
      </c>
      <c r="D801" s="34" t="s">
        <v>210</v>
      </c>
      <c r="E801" s="34" t="s">
        <v>230</v>
      </c>
      <c r="F801" s="34" t="s">
        <v>339</v>
      </c>
      <c r="G801" s="34" t="s">
        <v>221</v>
      </c>
      <c r="H801" s="34" t="s">
        <v>285</v>
      </c>
      <c r="I801" s="35" t="str">
        <f>VLOOKUP(H801,人員與團隊!$A$4:$D$27,3,FALSE)</f>
        <v>線上服務</v>
      </c>
      <c r="J801" s="34" t="s">
        <v>215</v>
      </c>
      <c r="K801" s="33">
        <v>46195.861111111109</v>
      </c>
      <c r="L801" s="33">
        <v>46196.185947280093</v>
      </c>
      <c r="M801" s="36">
        <f t="shared" si="60"/>
        <v>29.000000000232831</v>
      </c>
      <c r="N801" s="37">
        <f t="shared" si="61"/>
        <v>8.2794013889506459</v>
      </c>
      <c r="O801" s="36">
        <f>VLOOKUP(G801,SLA標準!$A$4:$C$7,2,FALSE)</f>
        <v>60</v>
      </c>
      <c r="P801" s="37">
        <f>VLOOKUP(G801,SLA標準!$A$4:$C$7,3,FALSE)</f>
        <v>8</v>
      </c>
      <c r="Q801" s="35" t="str">
        <f t="shared" si="62"/>
        <v>逾期</v>
      </c>
      <c r="R801" s="34" t="s">
        <v>47</v>
      </c>
      <c r="S801" s="35" t="str">
        <f t="shared" si="63"/>
        <v>是</v>
      </c>
      <c r="T801" s="36">
        <f>IFERROR(VLOOKUP(A801,滿意度調查!$B$4:$D$570,3,FALSE),"")</f>
        <v>3</v>
      </c>
      <c r="U801" s="35" t="str">
        <f t="shared" si="64"/>
        <v>2026-06</v>
      </c>
      <c r="V801" s="38">
        <f>IF(J801="已結案",0,(使用說明!$B$7-B801)*24)</f>
        <v>0</v>
      </c>
    </row>
    <row r="802" spans="1:22">
      <c r="A802" s="32" t="s">
        <v>1360</v>
      </c>
      <c r="B802" s="33">
        <v>46195.854861111111</v>
      </c>
      <c r="C802" s="34" t="s">
        <v>413</v>
      </c>
      <c r="D802" s="34" t="s">
        <v>240</v>
      </c>
      <c r="E802" s="34" t="s">
        <v>211</v>
      </c>
      <c r="F802" s="34" t="s">
        <v>331</v>
      </c>
      <c r="G802" s="34" t="s">
        <v>242</v>
      </c>
      <c r="H802" s="34" t="s">
        <v>243</v>
      </c>
      <c r="I802" s="35" t="str">
        <f>VLOOKUP(H802,人員與團隊!$A$4:$D$27,3,FALSE)</f>
        <v>南區服務</v>
      </c>
      <c r="J802" s="34" t="s">
        <v>215</v>
      </c>
      <c r="K802" s="33">
        <v>46196.018750000003</v>
      </c>
      <c r="L802" s="33">
        <v>46195.961009317129</v>
      </c>
      <c r="M802" s="36">
        <f t="shared" si="60"/>
        <v>236.00000000442378</v>
      </c>
      <c r="N802" s="37">
        <f t="shared" si="61"/>
        <v>2.5475569444242865</v>
      </c>
      <c r="O802" s="36">
        <f>VLOOKUP(G802,SLA標準!$A$4:$C$7,2,FALSE)</f>
        <v>240</v>
      </c>
      <c r="P802" s="37">
        <f>VLOOKUP(G802,SLA標準!$A$4:$C$7,3,FALSE)</f>
        <v>24</v>
      </c>
      <c r="Q802" s="35" t="str">
        <f t="shared" si="62"/>
        <v>達標</v>
      </c>
      <c r="R802" s="34" t="s">
        <v>47</v>
      </c>
      <c r="S802" s="35" t="str">
        <f t="shared" si="63"/>
        <v>是</v>
      </c>
      <c r="T802" s="36">
        <f>IFERROR(VLOOKUP(A802,滿意度調查!$B$4:$D$570,3,FALSE),"")</f>
        <v>5</v>
      </c>
      <c r="U802" s="35" t="str">
        <f t="shared" si="64"/>
        <v>2026-06</v>
      </c>
      <c r="V802" s="38">
        <f>IF(J802="已結案",0,(使用說明!$B$7-B802)*24)</f>
        <v>0</v>
      </c>
    </row>
    <row r="803" spans="1:22">
      <c r="A803" s="32" t="s">
        <v>1361</v>
      </c>
      <c r="B803" s="33">
        <v>46195.872916666667</v>
      </c>
      <c r="C803" s="34" t="s">
        <v>436</v>
      </c>
      <c r="D803" s="34" t="s">
        <v>218</v>
      </c>
      <c r="E803" s="34" t="s">
        <v>235</v>
      </c>
      <c r="F803" s="34" t="s">
        <v>253</v>
      </c>
      <c r="G803" s="34" t="s">
        <v>242</v>
      </c>
      <c r="H803" s="34" t="s">
        <v>315</v>
      </c>
      <c r="I803" s="35" t="str">
        <f>VLOOKUP(H803,人員與團隊!$A$4:$D$27,3,FALSE)</f>
        <v>北區服務</v>
      </c>
      <c r="J803" s="34" t="s">
        <v>356</v>
      </c>
      <c r="K803" s="33">
        <v>46196.022222222222</v>
      </c>
      <c r="L803" s="33"/>
      <c r="M803" s="36">
        <f t="shared" si="60"/>
        <v>214.99999999883585</v>
      </c>
      <c r="N803" s="37" t="str">
        <f t="shared" si="61"/>
        <v/>
      </c>
      <c r="O803" s="36">
        <f>VLOOKUP(G803,SLA標準!$A$4:$C$7,2,FALSE)</f>
        <v>240</v>
      </c>
      <c r="P803" s="37">
        <f>VLOOKUP(G803,SLA標準!$A$4:$C$7,3,FALSE)</f>
        <v>24</v>
      </c>
      <c r="Q803" s="35" t="str">
        <f t="shared" si="62"/>
        <v>逾期</v>
      </c>
      <c r="R803" s="34" t="s">
        <v>41</v>
      </c>
      <c r="S803" s="35" t="str">
        <f t="shared" si="63"/>
        <v>否</v>
      </c>
      <c r="T803" s="36" t="str">
        <f>IFERROR(VLOOKUP(A803,滿意度調查!$B$4:$D$570,3,FALSE),"")</f>
        <v/>
      </c>
      <c r="U803" s="35" t="str">
        <f t="shared" si="64"/>
        <v>2026-06</v>
      </c>
      <c r="V803" s="38">
        <f>IF(J803="已結案",0,(使用說明!$B$7-B803)*24)</f>
        <v>204.04999999998836</v>
      </c>
    </row>
    <row r="804" spans="1:22">
      <c r="A804" s="32" t="s">
        <v>1362</v>
      </c>
      <c r="B804" s="33">
        <v>46196.334722222222</v>
      </c>
      <c r="C804" s="34" t="s">
        <v>709</v>
      </c>
      <c r="D804" s="34" t="s">
        <v>218</v>
      </c>
      <c r="E804" s="34" t="s">
        <v>211</v>
      </c>
      <c r="F804" s="34" t="s">
        <v>334</v>
      </c>
      <c r="G804" s="34" t="s">
        <v>242</v>
      </c>
      <c r="H804" s="34" t="s">
        <v>328</v>
      </c>
      <c r="I804" s="35" t="str">
        <f>VLOOKUP(H804,人員與團隊!$A$4:$D$27,3,FALSE)</f>
        <v>北區服務</v>
      </c>
      <c r="J804" s="34" t="s">
        <v>356</v>
      </c>
      <c r="K804" s="33">
        <v>46196.535416666666</v>
      </c>
      <c r="L804" s="33"/>
      <c r="M804" s="36">
        <f t="shared" si="60"/>
        <v>288.99999999906868</v>
      </c>
      <c r="N804" s="37" t="str">
        <f t="shared" si="61"/>
        <v/>
      </c>
      <c r="O804" s="36">
        <f>VLOOKUP(G804,SLA標準!$A$4:$C$7,2,FALSE)</f>
        <v>240</v>
      </c>
      <c r="P804" s="37">
        <f>VLOOKUP(G804,SLA標準!$A$4:$C$7,3,FALSE)</f>
        <v>24</v>
      </c>
      <c r="Q804" s="35" t="str">
        <f t="shared" si="62"/>
        <v>逾期</v>
      </c>
      <c r="R804" s="34" t="s">
        <v>41</v>
      </c>
      <c r="S804" s="35" t="str">
        <f t="shared" si="63"/>
        <v>否</v>
      </c>
      <c r="T804" s="36" t="str">
        <f>IFERROR(VLOOKUP(A804,滿意度調查!$B$4:$D$570,3,FALSE),"")</f>
        <v/>
      </c>
      <c r="U804" s="35" t="str">
        <f t="shared" si="64"/>
        <v>2026-06</v>
      </c>
      <c r="V804" s="38">
        <f>IF(J804="已結案",0,(使用說明!$B$7-B804)*24)</f>
        <v>192.96666666667443</v>
      </c>
    </row>
    <row r="805" spans="1:22">
      <c r="A805" s="32" t="s">
        <v>1363</v>
      </c>
      <c r="B805" s="33">
        <v>46196.347916666666</v>
      </c>
      <c r="C805" s="34" t="s">
        <v>295</v>
      </c>
      <c r="D805" s="34" t="s">
        <v>218</v>
      </c>
      <c r="E805" s="34" t="s">
        <v>230</v>
      </c>
      <c r="F805" s="34" t="s">
        <v>339</v>
      </c>
      <c r="G805" s="34" t="s">
        <v>242</v>
      </c>
      <c r="H805" s="34" t="s">
        <v>361</v>
      </c>
      <c r="I805" s="35" t="str">
        <f>VLOOKUP(H805,人員與團隊!$A$4:$D$27,3,FALSE)</f>
        <v>南區服務</v>
      </c>
      <c r="J805" s="34" t="s">
        <v>774</v>
      </c>
      <c r="K805" s="33">
        <v>46196.526388888888</v>
      </c>
      <c r="L805" s="33"/>
      <c r="M805" s="36">
        <f t="shared" si="60"/>
        <v>256.99999999953434</v>
      </c>
      <c r="N805" s="37" t="str">
        <f t="shared" si="61"/>
        <v/>
      </c>
      <c r="O805" s="36">
        <f>VLOOKUP(G805,SLA標準!$A$4:$C$7,2,FALSE)</f>
        <v>240</v>
      </c>
      <c r="P805" s="37">
        <f>VLOOKUP(G805,SLA標準!$A$4:$C$7,3,FALSE)</f>
        <v>24</v>
      </c>
      <c r="Q805" s="35" t="str">
        <f t="shared" si="62"/>
        <v>逾期</v>
      </c>
      <c r="R805" s="34" t="s">
        <v>47</v>
      </c>
      <c r="S805" s="35" t="str">
        <f t="shared" si="63"/>
        <v>否</v>
      </c>
      <c r="T805" s="36" t="str">
        <f>IFERROR(VLOOKUP(A805,滿意度調查!$B$4:$D$570,3,FALSE),"")</f>
        <v/>
      </c>
      <c r="U805" s="35" t="str">
        <f t="shared" si="64"/>
        <v>2026-06</v>
      </c>
      <c r="V805" s="38">
        <f>IF(J805="已結案",0,(使用說明!$B$7-B805)*24)</f>
        <v>192.65000000002328</v>
      </c>
    </row>
    <row r="806" spans="1:22">
      <c r="A806" s="32" t="s">
        <v>1364</v>
      </c>
      <c r="B806" s="33">
        <v>46196.359027777777</v>
      </c>
      <c r="C806" s="34" t="s">
        <v>777</v>
      </c>
      <c r="D806" s="34" t="s">
        <v>240</v>
      </c>
      <c r="E806" s="34" t="s">
        <v>211</v>
      </c>
      <c r="F806" s="34" t="s">
        <v>331</v>
      </c>
      <c r="G806" s="34" t="s">
        <v>242</v>
      </c>
      <c r="H806" s="34" t="s">
        <v>232</v>
      </c>
      <c r="I806" s="35" t="str">
        <f>VLOOKUP(H806,人員與團隊!$A$4:$D$27,3,FALSE)</f>
        <v>北區服務</v>
      </c>
      <c r="J806" s="34" t="s">
        <v>215</v>
      </c>
      <c r="K806" s="33">
        <v>46196.634722222225</v>
      </c>
      <c r="L806" s="33">
        <v>46196.528814375</v>
      </c>
      <c r="M806" s="36">
        <f t="shared" si="60"/>
        <v>397.0000000053551</v>
      </c>
      <c r="N806" s="37">
        <f t="shared" si="61"/>
        <v>4.07487833336927</v>
      </c>
      <c r="O806" s="36">
        <f>VLOOKUP(G806,SLA標準!$A$4:$C$7,2,FALSE)</f>
        <v>240</v>
      </c>
      <c r="P806" s="37">
        <f>VLOOKUP(G806,SLA標準!$A$4:$C$7,3,FALSE)</f>
        <v>24</v>
      </c>
      <c r="Q806" s="35" t="str">
        <f t="shared" si="62"/>
        <v>逾期</v>
      </c>
      <c r="R806" s="34" t="s">
        <v>41</v>
      </c>
      <c r="S806" s="35" t="str">
        <f t="shared" si="63"/>
        <v>是</v>
      </c>
      <c r="T806" s="36">
        <f>IFERROR(VLOOKUP(A806,滿意度調查!$B$4:$D$570,3,FALSE),"")</f>
        <v>3</v>
      </c>
      <c r="U806" s="35" t="str">
        <f t="shared" si="64"/>
        <v>2026-06</v>
      </c>
      <c r="V806" s="38">
        <f>IF(J806="已結案",0,(使用說明!$B$7-B806)*24)</f>
        <v>0</v>
      </c>
    </row>
    <row r="807" spans="1:22">
      <c r="A807" s="32" t="s">
        <v>1365</v>
      </c>
      <c r="B807" s="33">
        <v>46196.370833333334</v>
      </c>
      <c r="C807" s="34" t="s">
        <v>968</v>
      </c>
      <c r="D807" s="34" t="s">
        <v>240</v>
      </c>
      <c r="E807" s="34" t="s">
        <v>245</v>
      </c>
      <c r="F807" s="34" t="s">
        <v>278</v>
      </c>
      <c r="G807" s="34" t="s">
        <v>242</v>
      </c>
      <c r="H807" s="34" t="s">
        <v>237</v>
      </c>
      <c r="I807" s="35" t="str">
        <f>VLOOKUP(H807,人員與團隊!$A$4:$D$27,3,FALSE)</f>
        <v>北區服務</v>
      </c>
      <c r="J807" s="34" t="s">
        <v>275</v>
      </c>
      <c r="K807" s="33">
        <v>46196.61041666667</v>
      </c>
      <c r="L807" s="33"/>
      <c r="M807" s="36">
        <f t="shared" si="60"/>
        <v>345.00000000349246</v>
      </c>
      <c r="N807" s="37" t="str">
        <f t="shared" si="61"/>
        <v/>
      </c>
      <c r="O807" s="36">
        <f>VLOOKUP(G807,SLA標準!$A$4:$C$7,2,FALSE)</f>
        <v>240</v>
      </c>
      <c r="P807" s="37">
        <f>VLOOKUP(G807,SLA標準!$A$4:$C$7,3,FALSE)</f>
        <v>24</v>
      </c>
      <c r="Q807" s="35" t="str">
        <f t="shared" si="62"/>
        <v>逾期</v>
      </c>
      <c r="R807" s="34" t="s">
        <v>41</v>
      </c>
      <c r="S807" s="35" t="str">
        <f t="shared" si="63"/>
        <v>否</v>
      </c>
      <c r="T807" s="36" t="str">
        <f>IFERROR(VLOOKUP(A807,滿意度調查!$B$4:$D$570,3,FALSE),"")</f>
        <v/>
      </c>
      <c r="U807" s="35" t="str">
        <f t="shared" si="64"/>
        <v>2026-06</v>
      </c>
      <c r="V807" s="38">
        <f>IF(J807="已結案",0,(使用說明!$B$7-B807)*24)</f>
        <v>192.09999999997672</v>
      </c>
    </row>
    <row r="808" spans="1:22">
      <c r="A808" s="32" t="s">
        <v>1366</v>
      </c>
      <c r="B808" s="33">
        <v>46196.481249999997</v>
      </c>
      <c r="C808" s="34" t="s">
        <v>423</v>
      </c>
      <c r="D808" s="34" t="s">
        <v>240</v>
      </c>
      <c r="E808" s="34" t="s">
        <v>230</v>
      </c>
      <c r="F808" s="34" t="s">
        <v>231</v>
      </c>
      <c r="G808" s="34" t="s">
        <v>221</v>
      </c>
      <c r="H808" s="34" t="s">
        <v>340</v>
      </c>
      <c r="I808" s="35" t="str">
        <f>VLOOKUP(H808,人員與團隊!$A$4:$D$27,3,FALSE)</f>
        <v>北區服務</v>
      </c>
      <c r="J808" s="34" t="s">
        <v>215</v>
      </c>
      <c r="K808" s="33">
        <v>46196.539583333331</v>
      </c>
      <c r="L808" s="33">
        <v>46197.890378587967</v>
      </c>
      <c r="M808" s="36">
        <f t="shared" si="60"/>
        <v>84.000000001396984</v>
      </c>
      <c r="N808" s="37">
        <f t="shared" si="61"/>
        <v>33.819086111267097</v>
      </c>
      <c r="O808" s="36">
        <f>VLOOKUP(G808,SLA標準!$A$4:$C$7,2,FALSE)</f>
        <v>60</v>
      </c>
      <c r="P808" s="37">
        <f>VLOOKUP(G808,SLA標準!$A$4:$C$7,3,FALSE)</f>
        <v>8</v>
      </c>
      <c r="Q808" s="35" t="str">
        <f t="shared" si="62"/>
        <v>逾期</v>
      </c>
      <c r="R808" s="34" t="s">
        <v>47</v>
      </c>
      <c r="S808" s="35" t="str">
        <f t="shared" si="63"/>
        <v>是</v>
      </c>
      <c r="T808" s="36">
        <f>IFERROR(VLOOKUP(A808,滿意度調查!$B$4:$D$570,3,FALSE),"")</f>
        <v>3</v>
      </c>
      <c r="U808" s="35" t="str">
        <f t="shared" si="64"/>
        <v>2026-06</v>
      </c>
      <c r="V808" s="38">
        <f>IF(J808="已結案",0,(使用說明!$B$7-B808)*24)</f>
        <v>0</v>
      </c>
    </row>
    <row r="809" spans="1:22">
      <c r="A809" s="32" t="s">
        <v>1367</v>
      </c>
      <c r="B809" s="33">
        <v>46196.496527777781</v>
      </c>
      <c r="C809" s="34" t="s">
        <v>827</v>
      </c>
      <c r="D809" s="34" t="s">
        <v>225</v>
      </c>
      <c r="E809" s="34" t="s">
        <v>245</v>
      </c>
      <c r="F809" s="34" t="s">
        <v>278</v>
      </c>
      <c r="G809" s="34" t="s">
        <v>221</v>
      </c>
      <c r="H809" s="34" t="s">
        <v>274</v>
      </c>
      <c r="I809" s="35" t="str">
        <f>VLOOKUP(H809,人員與團隊!$A$4:$D$27,3,FALSE)</f>
        <v>南區服務</v>
      </c>
      <c r="J809" s="34" t="s">
        <v>356</v>
      </c>
      <c r="K809" s="33">
        <v>46196.520833333336</v>
      </c>
      <c r="L809" s="33"/>
      <c r="M809" s="36">
        <f t="shared" si="60"/>
        <v>34.999999998835847</v>
      </c>
      <c r="N809" s="37" t="str">
        <f t="shared" si="61"/>
        <v/>
      </c>
      <c r="O809" s="36">
        <f>VLOOKUP(G809,SLA標準!$A$4:$C$7,2,FALSE)</f>
        <v>60</v>
      </c>
      <c r="P809" s="37">
        <f>VLOOKUP(G809,SLA標準!$A$4:$C$7,3,FALSE)</f>
        <v>8</v>
      </c>
      <c r="Q809" s="35" t="str">
        <f t="shared" si="62"/>
        <v>逾期</v>
      </c>
      <c r="R809" s="34" t="s">
        <v>47</v>
      </c>
      <c r="S809" s="35" t="str">
        <f t="shared" si="63"/>
        <v>否</v>
      </c>
      <c r="T809" s="36" t="str">
        <f>IFERROR(VLOOKUP(A809,滿意度調查!$B$4:$D$570,3,FALSE),"")</f>
        <v/>
      </c>
      <c r="U809" s="35" t="str">
        <f t="shared" si="64"/>
        <v>2026-06</v>
      </c>
      <c r="V809" s="38">
        <f>IF(J809="已結案",0,(使用說明!$B$7-B809)*24)</f>
        <v>189.08333333325572</v>
      </c>
    </row>
    <row r="810" spans="1:22">
      <c r="A810" s="32" t="s">
        <v>1368</v>
      </c>
      <c r="B810" s="33">
        <v>46196.511805555558</v>
      </c>
      <c r="C810" s="34" t="s">
        <v>531</v>
      </c>
      <c r="D810" s="34" t="s">
        <v>210</v>
      </c>
      <c r="E810" s="34" t="s">
        <v>230</v>
      </c>
      <c r="F810" s="34" t="s">
        <v>339</v>
      </c>
      <c r="G810" s="34" t="s">
        <v>213</v>
      </c>
      <c r="H810" s="34" t="s">
        <v>381</v>
      </c>
      <c r="I810" s="35" t="str">
        <f>VLOOKUP(H810,人員與團隊!$A$4:$D$27,3,FALSE)</f>
        <v>線上服務</v>
      </c>
      <c r="J810" s="34" t="s">
        <v>356</v>
      </c>
      <c r="K810" s="33">
        <v>46196.591666666667</v>
      </c>
      <c r="L810" s="33"/>
      <c r="M810" s="36">
        <f t="shared" si="60"/>
        <v>114.99999999767169</v>
      </c>
      <c r="N810" s="37" t="str">
        <f t="shared" si="61"/>
        <v/>
      </c>
      <c r="O810" s="36">
        <f>VLOOKUP(G810,SLA標準!$A$4:$C$7,2,FALSE)</f>
        <v>480</v>
      </c>
      <c r="P810" s="37">
        <f>VLOOKUP(G810,SLA標準!$A$4:$C$7,3,FALSE)</f>
        <v>48</v>
      </c>
      <c r="Q810" s="35" t="str">
        <f t="shared" si="62"/>
        <v>逾期</v>
      </c>
      <c r="R810" s="34" t="s">
        <v>47</v>
      </c>
      <c r="S810" s="35" t="str">
        <f t="shared" si="63"/>
        <v>否</v>
      </c>
      <c r="T810" s="36" t="str">
        <f>IFERROR(VLOOKUP(A810,滿意度調查!$B$4:$D$570,3,FALSE),"")</f>
        <v/>
      </c>
      <c r="U810" s="35" t="str">
        <f t="shared" si="64"/>
        <v>2026-06</v>
      </c>
      <c r="V810" s="38">
        <f>IF(J810="已結案",0,(使用說明!$B$7-B810)*24)</f>
        <v>188.71666666661622</v>
      </c>
    </row>
    <row r="811" spans="1:22">
      <c r="A811" s="32" t="s">
        <v>1369</v>
      </c>
      <c r="B811" s="33">
        <v>46196.538888888892</v>
      </c>
      <c r="C811" s="34" t="s">
        <v>605</v>
      </c>
      <c r="D811" s="34" t="s">
        <v>210</v>
      </c>
      <c r="E811" s="34" t="s">
        <v>265</v>
      </c>
      <c r="F811" s="34" t="s">
        <v>301</v>
      </c>
      <c r="G811" s="34" t="s">
        <v>242</v>
      </c>
      <c r="H811" s="34" t="s">
        <v>325</v>
      </c>
      <c r="I811" s="35" t="str">
        <f>VLOOKUP(H811,人員與團隊!$A$4:$D$27,3,FALSE)</f>
        <v>線上服務</v>
      </c>
      <c r="J811" s="34" t="s">
        <v>215</v>
      </c>
      <c r="K811" s="33">
        <v>46196.63958333333</v>
      </c>
      <c r="L811" s="33">
        <v>46197.224061909721</v>
      </c>
      <c r="M811" s="36">
        <f t="shared" si="60"/>
        <v>144.99999999068677</v>
      </c>
      <c r="N811" s="37">
        <f t="shared" si="61"/>
        <v>16.444152499898337</v>
      </c>
      <c r="O811" s="36">
        <f>VLOOKUP(G811,SLA標準!$A$4:$C$7,2,FALSE)</f>
        <v>240</v>
      </c>
      <c r="P811" s="37">
        <f>VLOOKUP(G811,SLA標準!$A$4:$C$7,3,FALSE)</f>
        <v>24</v>
      </c>
      <c r="Q811" s="35" t="str">
        <f t="shared" si="62"/>
        <v>達標</v>
      </c>
      <c r="R811" s="34" t="s">
        <v>47</v>
      </c>
      <c r="S811" s="35" t="str">
        <f t="shared" si="63"/>
        <v>是</v>
      </c>
      <c r="T811" s="36">
        <f>IFERROR(VLOOKUP(A811,滿意度調查!$B$4:$D$570,3,FALSE),"")</f>
        <v>5</v>
      </c>
      <c r="U811" s="35" t="str">
        <f t="shared" si="64"/>
        <v>2026-06</v>
      </c>
      <c r="V811" s="38">
        <f>IF(J811="已結案",0,(使用說明!$B$7-B811)*24)</f>
        <v>0</v>
      </c>
    </row>
    <row r="812" spans="1:22">
      <c r="A812" s="32" t="s">
        <v>1370</v>
      </c>
      <c r="B812" s="33">
        <v>46196.586805555555</v>
      </c>
      <c r="C812" s="34" t="s">
        <v>368</v>
      </c>
      <c r="D812" s="34" t="s">
        <v>210</v>
      </c>
      <c r="E812" s="34" t="s">
        <v>235</v>
      </c>
      <c r="F812" s="34" t="s">
        <v>298</v>
      </c>
      <c r="G812" s="34" t="s">
        <v>242</v>
      </c>
      <c r="H812" s="34" t="s">
        <v>279</v>
      </c>
      <c r="I812" s="35" t="str">
        <f>VLOOKUP(H812,人員與團隊!$A$4:$D$27,3,FALSE)</f>
        <v>南區服務</v>
      </c>
      <c r="J812" s="34" t="s">
        <v>215</v>
      </c>
      <c r="K812" s="33">
        <v>46196.685416666667</v>
      </c>
      <c r="L812" s="33">
        <v>46197.005712094906</v>
      </c>
      <c r="M812" s="36">
        <f t="shared" si="60"/>
        <v>142.00000000186265</v>
      </c>
      <c r="N812" s="37">
        <f t="shared" si="61"/>
        <v>10.053756944427732</v>
      </c>
      <c r="O812" s="36">
        <f>VLOOKUP(G812,SLA標準!$A$4:$C$7,2,FALSE)</f>
        <v>240</v>
      </c>
      <c r="P812" s="37">
        <f>VLOOKUP(G812,SLA標準!$A$4:$C$7,3,FALSE)</f>
        <v>24</v>
      </c>
      <c r="Q812" s="35" t="str">
        <f t="shared" si="62"/>
        <v>達標</v>
      </c>
      <c r="R812" s="34" t="s">
        <v>47</v>
      </c>
      <c r="S812" s="35" t="str">
        <f t="shared" si="63"/>
        <v>是</v>
      </c>
      <c r="T812" s="36">
        <f>IFERROR(VLOOKUP(A812,滿意度調查!$B$4:$D$570,3,FALSE),"")</f>
        <v>5</v>
      </c>
      <c r="U812" s="35" t="str">
        <f t="shared" si="64"/>
        <v>2026-06</v>
      </c>
      <c r="V812" s="38">
        <f>IF(J812="已結案",0,(使用說明!$B$7-B812)*24)</f>
        <v>0</v>
      </c>
    </row>
    <row r="813" spans="1:22">
      <c r="A813" s="32" t="s">
        <v>1371</v>
      </c>
      <c r="B813" s="33">
        <v>46196.636111111111</v>
      </c>
      <c r="C813" s="34" t="s">
        <v>1294</v>
      </c>
      <c r="D813" s="34" t="s">
        <v>210</v>
      </c>
      <c r="E813" s="34" t="s">
        <v>245</v>
      </c>
      <c r="F813" s="34" t="s">
        <v>278</v>
      </c>
      <c r="G813" s="34" t="s">
        <v>242</v>
      </c>
      <c r="H813" s="34" t="s">
        <v>384</v>
      </c>
      <c r="I813" s="35" t="str">
        <f>VLOOKUP(H813,人員與團隊!$A$4:$D$27,3,FALSE)</f>
        <v>線上服務</v>
      </c>
      <c r="J813" s="34" t="s">
        <v>275</v>
      </c>
      <c r="K813" s="33">
        <v>46196.684027777781</v>
      </c>
      <c r="L813" s="33"/>
      <c r="M813" s="36">
        <f t="shared" si="60"/>
        <v>69.000000004889444</v>
      </c>
      <c r="N813" s="37" t="str">
        <f t="shared" si="61"/>
        <v/>
      </c>
      <c r="O813" s="36">
        <f>VLOOKUP(G813,SLA標準!$A$4:$C$7,2,FALSE)</f>
        <v>240</v>
      </c>
      <c r="P813" s="37">
        <f>VLOOKUP(G813,SLA標準!$A$4:$C$7,3,FALSE)</f>
        <v>24</v>
      </c>
      <c r="Q813" s="35" t="str">
        <f t="shared" si="62"/>
        <v>逾期</v>
      </c>
      <c r="R813" s="34" t="s">
        <v>47</v>
      </c>
      <c r="S813" s="35" t="str">
        <f t="shared" si="63"/>
        <v>否</v>
      </c>
      <c r="T813" s="36" t="str">
        <f>IFERROR(VLOOKUP(A813,滿意度調查!$B$4:$D$570,3,FALSE),"")</f>
        <v/>
      </c>
      <c r="U813" s="35" t="str">
        <f t="shared" si="64"/>
        <v>2026-06</v>
      </c>
      <c r="V813" s="38">
        <f>IF(J813="已結案",0,(使用說明!$B$7-B813)*24)</f>
        <v>185.73333333333721</v>
      </c>
    </row>
    <row r="814" spans="1:22">
      <c r="A814" s="32" t="s">
        <v>1372</v>
      </c>
      <c r="B814" s="33">
        <v>46196.637499999997</v>
      </c>
      <c r="C814" s="34" t="s">
        <v>229</v>
      </c>
      <c r="D814" s="34" t="s">
        <v>240</v>
      </c>
      <c r="E814" s="34" t="s">
        <v>211</v>
      </c>
      <c r="F814" s="34" t="s">
        <v>212</v>
      </c>
      <c r="G814" s="34" t="s">
        <v>242</v>
      </c>
      <c r="H814" s="34" t="s">
        <v>315</v>
      </c>
      <c r="I814" s="35" t="str">
        <f>VLOOKUP(H814,人員與團隊!$A$4:$D$27,3,FALSE)</f>
        <v>北區服務</v>
      </c>
      <c r="J814" s="34" t="s">
        <v>774</v>
      </c>
      <c r="K814" s="33">
        <v>46196.788888888892</v>
      </c>
      <c r="L814" s="33"/>
      <c r="M814" s="36">
        <f t="shared" si="60"/>
        <v>218.00000000861473</v>
      </c>
      <c r="N814" s="37" t="str">
        <f t="shared" si="61"/>
        <v/>
      </c>
      <c r="O814" s="36">
        <f>VLOOKUP(G814,SLA標準!$A$4:$C$7,2,FALSE)</f>
        <v>240</v>
      </c>
      <c r="P814" s="37">
        <f>VLOOKUP(G814,SLA標準!$A$4:$C$7,3,FALSE)</f>
        <v>24</v>
      </c>
      <c r="Q814" s="35" t="str">
        <f t="shared" si="62"/>
        <v>逾期</v>
      </c>
      <c r="R814" s="34" t="s">
        <v>47</v>
      </c>
      <c r="S814" s="35" t="str">
        <f t="shared" si="63"/>
        <v>否</v>
      </c>
      <c r="T814" s="36" t="str">
        <f>IFERROR(VLOOKUP(A814,滿意度調查!$B$4:$D$570,3,FALSE),"")</f>
        <v/>
      </c>
      <c r="U814" s="35" t="str">
        <f t="shared" si="64"/>
        <v>2026-06</v>
      </c>
      <c r="V814" s="38">
        <f>IF(J814="已結案",0,(使用說明!$B$7-B814)*24)</f>
        <v>185.70000000006985</v>
      </c>
    </row>
    <row r="815" spans="1:22">
      <c r="A815" s="32" t="s">
        <v>1373</v>
      </c>
      <c r="B815" s="33">
        <v>46196.638194444444</v>
      </c>
      <c r="C815" s="34" t="s">
        <v>881</v>
      </c>
      <c r="D815" s="34" t="s">
        <v>225</v>
      </c>
      <c r="E815" s="34" t="s">
        <v>211</v>
      </c>
      <c r="F815" s="34" t="s">
        <v>226</v>
      </c>
      <c r="G815" s="34" t="s">
        <v>242</v>
      </c>
      <c r="H815" s="34" t="s">
        <v>361</v>
      </c>
      <c r="I815" s="35" t="str">
        <f>VLOOKUP(H815,人員與團隊!$A$4:$D$27,3,FALSE)</f>
        <v>南區服務</v>
      </c>
      <c r="J815" s="34" t="s">
        <v>215</v>
      </c>
      <c r="K815" s="33">
        <v>46196.691666666666</v>
      </c>
      <c r="L815" s="33">
        <v>46196.750937731478</v>
      </c>
      <c r="M815" s="36">
        <f t="shared" si="60"/>
        <v>76.999999999534339</v>
      </c>
      <c r="N815" s="37">
        <f t="shared" si="61"/>
        <v>2.705838888825383</v>
      </c>
      <c r="O815" s="36">
        <f>VLOOKUP(G815,SLA標準!$A$4:$C$7,2,FALSE)</f>
        <v>240</v>
      </c>
      <c r="P815" s="37">
        <f>VLOOKUP(G815,SLA標準!$A$4:$C$7,3,FALSE)</f>
        <v>24</v>
      </c>
      <c r="Q815" s="35" t="str">
        <f t="shared" si="62"/>
        <v>達標</v>
      </c>
      <c r="R815" s="34" t="s">
        <v>41</v>
      </c>
      <c r="S815" s="35" t="str">
        <f t="shared" si="63"/>
        <v>是</v>
      </c>
      <c r="T815" s="36">
        <f>IFERROR(VLOOKUP(A815,滿意度調查!$B$4:$D$570,3,FALSE),"")</f>
        <v>4</v>
      </c>
      <c r="U815" s="35" t="str">
        <f t="shared" si="64"/>
        <v>2026-06</v>
      </c>
      <c r="V815" s="38">
        <f>IF(J815="已結案",0,(使用說明!$B$7-B815)*24)</f>
        <v>0</v>
      </c>
    </row>
    <row r="816" spans="1:22">
      <c r="A816" s="32" t="s">
        <v>1374</v>
      </c>
      <c r="B816" s="33">
        <v>46196.749305555553</v>
      </c>
      <c r="C816" s="34" t="s">
        <v>1375</v>
      </c>
      <c r="D816" s="34" t="s">
        <v>225</v>
      </c>
      <c r="E816" s="34" t="s">
        <v>235</v>
      </c>
      <c r="F816" s="34" t="s">
        <v>236</v>
      </c>
      <c r="G816" s="34" t="s">
        <v>242</v>
      </c>
      <c r="H816" s="34" t="s">
        <v>372</v>
      </c>
      <c r="I816" s="35" t="str">
        <f>VLOOKUP(H816,人員與團隊!$A$4:$D$27,3,FALSE)</f>
        <v>南區服務</v>
      </c>
      <c r="J816" s="34" t="s">
        <v>215</v>
      </c>
      <c r="K816" s="33">
        <v>46196.875694444447</v>
      </c>
      <c r="L816" s="33">
        <v>46197.193355173615</v>
      </c>
      <c r="M816" s="36">
        <f t="shared" si="60"/>
        <v>182.00000000651926</v>
      </c>
      <c r="N816" s="37">
        <f t="shared" si="61"/>
        <v>10.657190833473578</v>
      </c>
      <c r="O816" s="36">
        <f>VLOOKUP(G816,SLA標準!$A$4:$C$7,2,FALSE)</f>
        <v>240</v>
      </c>
      <c r="P816" s="37">
        <f>VLOOKUP(G816,SLA標準!$A$4:$C$7,3,FALSE)</f>
        <v>24</v>
      </c>
      <c r="Q816" s="35" t="str">
        <f t="shared" si="62"/>
        <v>達標</v>
      </c>
      <c r="R816" s="34" t="s">
        <v>47</v>
      </c>
      <c r="S816" s="35" t="str">
        <f t="shared" si="63"/>
        <v>否</v>
      </c>
      <c r="T816" s="36" t="str">
        <f>IFERROR(VLOOKUP(A816,滿意度調查!$B$4:$D$570,3,FALSE),"")</f>
        <v/>
      </c>
      <c r="U816" s="35" t="str">
        <f t="shared" si="64"/>
        <v>2026-06</v>
      </c>
      <c r="V816" s="38">
        <f>IF(J816="已結案",0,(使用說明!$B$7-B816)*24)</f>
        <v>0</v>
      </c>
    </row>
    <row r="817" spans="1:22">
      <c r="A817" s="32" t="s">
        <v>1376</v>
      </c>
      <c r="B817" s="33">
        <v>46196.824999999997</v>
      </c>
      <c r="C817" s="34" t="s">
        <v>1294</v>
      </c>
      <c r="D817" s="34" t="s">
        <v>218</v>
      </c>
      <c r="E817" s="34" t="s">
        <v>230</v>
      </c>
      <c r="F817" s="34" t="s">
        <v>231</v>
      </c>
      <c r="G817" s="34" t="s">
        <v>221</v>
      </c>
      <c r="H817" s="34" t="s">
        <v>237</v>
      </c>
      <c r="I817" s="35" t="str">
        <f>VLOOKUP(H817,人員與團隊!$A$4:$D$27,3,FALSE)</f>
        <v>北區服務</v>
      </c>
      <c r="J817" s="34" t="s">
        <v>275</v>
      </c>
      <c r="K817" s="33">
        <v>46196.879166666666</v>
      </c>
      <c r="L817" s="33"/>
      <c r="M817" s="36">
        <f t="shared" si="60"/>
        <v>78.000000002793968</v>
      </c>
      <c r="N817" s="37" t="str">
        <f t="shared" si="61"/>
        <v/>
      </c>
      <c r="O817" s="36">
        <f>VLOOKUP(G817,SLA標準!$A$4:$C$7,2,FALSE)</f>
        <v>60</v>
      </c>
      <c r="P817" s="37">
        <f>VLOOKUP(G817,SLA標準!$A$4:$C$7,3,FALSE)</f>
        <v>8</v>
      </c>
      <c r="Q817" s="35" t="str">
        <f t="shared" si="62"/>
        <v>逾期</v>
      </c>
      <c r="R817" s="34" t="s">
        <v>47</v>
      </c>
      <c r="S817" s="35" t="str">
        <f t="shared" si="63"/>
        <v>否</v>
      </c>
      <c r="T817" s="36" t="str">
        <f>IFERROR(VLOOKUP(A817,滿意度調查!$B$4:$D$570,3,FALSE),"")</f>
        <v/>
      </c>
      <c r="U817" s="35" t="str">
        <f t="shared" si="64"/>
        <v>2026-06</v>
      </c>
      <c r="V817" s="38">
        <f>IF(J817="已結案",0,(使用說明!$B$7-B817)*24)</f>
        <v>181.20000000006985</v>
      </c>
    </row>
    <row r="818" spans="1:22">
      <c r="A818" s="32" t="s">
        <v>1377</v>
      </c>
      <c r="B818" s="33">
        <v>46196.850694444445</v>
      </c>
      <c r="C818" s="34" t="s">
        <v>500</v>
      </c>
      <c r="D818" s="34" t="s">
        <v>218</v>
      </c>
      <c r="E818" s="34" t="s">
        <v>235</v>
      </c>
      <c r="F818" s="34" t="s">
        <v>253</v>
      </c>
      <c r="G818" s="34" t="s">
        <v>242</v>
      </c>
      <c r="H818" s="34" t="s">
        <v>372</v>
      </c>
      <c r="I818" s="35" t="str">
        <f>VLOOKUP(H818,人員與團隊!$A$4:$D$27,3,FALSE)</f>
        <v>南區服務</v>
      </c>
      <c r="J818" s="34" t="s">
        <v>215</v>
      </c>
      <c r="K818" s="33">
        <v>46197.082638888889</v>
      </c>
      <c r="L818" s="33">
        <v>46197.431886423612</v>
      </c>
      <c r="M818" s="36">
        <f t="shared" si="60"/>
        <v>333.99999999906868</v>
      </c>
      <c r="N818" s="37">
        <f t="shared" si="61"/>
        <v>13.948607500002254</v>
      </c>
      <c r="O818" s="36">
        <f>VLOOKUP(G818,SLA標準!$A$4:$C$7,2,FALSE)</f>
        <v>240</v>
      </c>
      <c r="P818" s="37">
        <f>VLOOKUP(G818,SLA標準!$A$4:$C$7,3,FALSE)</f>
        <v>24</v>
      </c>
      <c r="Q818" s="35" t="str">
        <f t="shared" si="62"/>
        <v>逾期</v>
      </c>
      <c r="R818" s="34" t="s">
        <v>41</v>
      </c>
      <c r="S818" s="35" t="str">
        <f t="shared" si="63"/>
        <v>否</v>
      </c>
      <c r="T818" s="36" t="str">
        <f>IFERROR(VLOOKUP(A818,滿意度調查!$B$4:$D$570,3,FALSE),"")</f>
        <v/>
      </c>
      <c r="U818" s="35" t="str">
        <f t="shared" si="64"/>
        <v>2026-06</v>
      </c>
      <c r="V818" s="38">
        <f>IF(J818="已結案",0,(使用說明!$B$7-B818)*24)</f>
        <v>0</v>
      </c>
    </row>
    <row r="819" spans="1:22">
      <c r="A819" s="32" t="s">
        <v>1378</v>
      </c>
      <c r="B819" s="33">
        <v>46197.347916666666</v>
      </c>
      <c r="C819" s="34" t="s">
        <v>1379</v>
      </c>
      <c r="D819" s="34" t="s">
        <v>225</v>
      </c>
      <c r="E819" s="34" t="s">
        <v>211</v>
      </c>
      <c r="F819" s="34" t="s">
        <v>331</v>
      </c>
      <c r="G819" s="34" t="s">
        <v>221</v>
      </c>
      <c r="H819" s="34" t="s">
        <v>340</v>
      </c>
      <c r="I819" s="35" t="str">
        <f>VLOOKUP(H819,人員與團隊!$A$4:$D$27,3,FALSE)</f>
        <v>北區服務</v>
      </c>
      <c r="J819" s="34" t="s">
        <v>215</v>
      </c>
      <c r="K819" s="33">
        <v>46197.381249999999</v>
      </c>
      <c r="L819" s="33">
        <v>46197.626770300929</v>
      </c>
      <c r="M819" s="36">
        <f t="shared" si="60"/>
        <v>47.999999999301508</v>
      </c>
      <c r="N819" s="37">
        <f t="shared" si="61"/>
        <v>6.6924872223171405</v>
      </c>
      <c r="O819" s="36">
        <f>VLOOKUP(G819,SLA標準!$A$4:$C$7,2,FALSE)</f>
        <v>60</v>
      </c>
      <c r="P819" s="37">
        <f>VLOOKUP(G819,SLA標準!$A$4:$C$7,3,FALSE)</f>
        <v>8</v>
      </c>
      <c r="Q819" s="35" t="str">
        <f t="shared" si="62"/>
        <v>達標</v>
      </c>
      <c r="R819" s="34" t="s">
        <v>47</v>
      </c>
      <c r="S819" s="35" t="str">
        <f t="shared" si="63"/>
        <v>是</v>
      </c>
      <c r="T819" s="36">
        <f>IFERROR(VLOOKUP(A819,滿意度調查!$B$4:$D$570,3,FALSE),"")</f>
        <v>5</v>
      </c>
      <c r="U819" s="35" t="str">
        <f t="shared" si="64"/>
        <v>2026-06</v>
      </c>
      <c r="V819" s="38">
        <f>IF(J819="已結案",0,(使用說明!$B$7-B819)*24)</f>
        <v>0</v>
      </c>
    </row>
    <row r="820" spans="1:22">
      <c r="A820" s="32" t="s">
        <v>1380</v>
      </c>
      <c r="B820" s="33">
        <v>46197.431944444441</v>
      </c>
      <c r="C820" s="34" t="s">
        <v>277</v>
      </c>
      <c r="D820" s="34" t="s">
        <v>218</v>
      </c>
      <c r="E820" s="34" t="s">
        <v>235</v>
      </c>
      <c r="F820" s="34" t="s">
        <v>253</v>
      </c>
      <c r="G820" s="34" t="s">
        <v>242</v>
      </c>
      <c r="H820" s="34" t="s">
        <v>372</v>
      </c>
      <c r="I820" s="35" t="str">
        <f>VLOOKUP(H820,人員與團隊!$A$4:$D$27,3,FALSE)</f>
        <v>南區服務</v>
      </c>
      <c r="J820" s="34" t="s">
        <v>215</v>
      </c>
      <c r="K820" s="33">
        <v>46197.60833333333</v>
      </c>
      <c r="L820" s="33">
        <v>46197.973207905095</v>
      </c>
      <c r="M820" s="36">
        <f t="shared" si="60"/>
        <v>254.00000000023283</v>
      </c>
      <c r="N820" s="37">
        <f t="shared" si="61"/>
        <v>12.990323055710178</v>
      </c>
      <c r="O820" s="36">
        <f>VLOOKUP(G820,SLA標準!$A$4:$C$7,2,FALSE)</f>
        <v>240</v>
      </c>
      <c r="P820" s="37">
        <f>VLOOKUP(G820,SLA標準!$A$4:$C$7,3,FALSE)</f>
        <v>24</v>
      </c>
      <c r="Q820" s="35" t="str">
        <f t="shared" si="62"/>
        <v>逾期</v>
      </c>
      <c r="R820" s="34" t="s">
        <v>47</v>
      </c>
      <c r="S820" s="35" t="str">
        <f t="shared" si="63"/>
        <v>否</v>
      </c>
      <c r="T820" s="36" t="str">
        <f>IFERROR(VLOOKUP(A820,滿意度調查!$B$4:$D$570,3,FALSE),"")</f>
        <v/>
      </c>
      <c r="U820" s="35" t="str">
        <f t="shared" si="64"/>
        <v>2026-06</v>
      </c>
      <c r="V820" s="38">
        <f>IF(J820="已結案",0,(使用說明!$B$7-B820)*24)</f>
        <v>0</v>
      </c>
    </row>
    <row r="821" spans="1:22">
      <c r="A821" s="32" t="s">
        <v>1381</v>
      </c>
      <c r="B821" s="33">
        <v>46197.454861111109</v>
      </c>
      <c r="C821" s="34" t="s">
        <v>264</v>
      </c>
      <c r="D821" s="34" t="s">
        <v>210</v>
      </c>
      <c r="E821" s="34" t="s">
        <v>211</v>
      </c>
      <c r="F821" s="34" t="s">
        <v>331</v>
      </c>
      <c r="G821" s="34" t="s">
        <v>242</v>
      </c>
      <c r="H821" s="34" t="s">
        <v>408</v>
      </c>
      <c r="I821" s="35" t="str">
        <f>VLOOKUP(H821,人員與團隊!$A$4:$D$27,3,FALSE)</f>
        <v>線上服務</v>
      </c>
      <c r="J821" s="34" t="s">
        <v>774</v>
      </c>
      <c r="K821" s="33">
        <v>46197.479166666664</v>
      </c>
      <c r="L821" s="33"/>
      <c r="M821" s="36">
        <f t="shared" si="60"/>
        <v>34.999999998835847</v>
      </c>
      <c r="N821" s="37" t="str">
        <f t="shared" si="61"/>
        <v/>
      </c>
      <c r="O821" s="36">
        <f>VLOOKUP(G821,SLA標準!$A$4:$C$7,2,FALSE)</f>
        <v>240</v>
      </c>
      <c r="P821" s="37">
        <f>VLOOKUP(G821,SLA標準!$A$4:$C$7,3,FALSE)</f>
        <v>24</v>
      </c>
      <c r="Q821" s="35" t="str">
        <f t="shared" si="62"/>
        <v>逾期</v>
      </c>
      <c r="R821" s="34" t="s">
        <v>47</v>
      </c>
      <c r="S821" s="35" t="str">
        <f t="shared" si="63"/>
        <v>否</v>
      </c>
      <c r="T821" s="36" t="str">
        <f>IFERROR(VLOOKUP(A821,滿意度調查!$B$4:$D$570,3,FALSE),"")</f>
        <v/>
      </c>
      <c r="U821" s="35" t="str">
        <f t="shared" si="64"/>
        <v>2026-06</v>
      </c>
      <c r="V821" s="38">
        <f>IF(J821="已結案",0,(使用說明!$B$7-B821)*24)</f>
        <v>166.08333333337214</v>
      </c>
    </row>
    <row r="822" spans="1:22">
      <c r="A822" s="32" t="s">
        <v>1382</v>
      </c>
      <c r="B822" s="33">
        <v>46197.469444444447</v>
      </c>
      <c r="C822" s="34" t="s">
        <v>644</v>
      </c>
      <c r="D822" s="34" t="s">
        <v>218</v>
      </c>
      <c r="E822" s="34" t="s">
        <v>219</v>
      </c>
      <c r="F822" s="34" t="s">
        <v>249</v>
      </c>
      <c r="G822" s="34" t="s">
        <v>242</v>
      </c>
      <c r="H822" s="34" t="s">
        <v>315</v>
      </c>
      <c r="I822" s="35" t="str">
        <f>VLOOKUP(H822,人員與團隊!$A$4:$D$27,3,FALSE)</f>
        <v>北區服務</v>
      </c>
      <c r="J822" s="34" t="s">
        <v>215</v>
      </c>
      <c r="K822" s="33">
        <v>46197.646527777775</v>
      </c>
      <c r="L822" s="33">
        <v>46198.287543194441</v>
      </c>
      <c r="M822" s="36">
        <f t="shared" si="60"/>
        <v>254.99999999301508</v>
      </c>
      <c r="N822" s="37">
        <f t="shared" si="61"/>
        <v>19.634369999868795</v>
      </c>
      <c r="O822" s="36">
        <f>VLOOKUP(G822,SLA標準!$A$4:$C$7,2,FALSE)</f>
        <v>240</v>
      </c>
      <c r="P822" s="37">
        <f>VLOOKUP(G822,SLA標準!$A$4:$C$7,3,FALSE)</f>
        <v>24</v>
      </c>
      <c r="Q822" s="35" t="str">
        <f t="shared" si="62"/>
        <v>逾期</v>
      </c>
      <c r="R822" s="34" t="s">
        <v>47</v>
      </c>
      <c r="S822" s="35" t="str">
        <f t="shared" si="63"/>
        <v>否</v>
      </c>
      <c r="T822" s="36" t="str">
        <f>IFERROR(VLOOKUP(A822,滿意度調查!$B$4:$D$570,3,FALSE),"")</f>
        <v/>
      </c>
      <c r="U822" s="35" t="str">
        <f t="shared" si="64"/>
        <v>2026-06</v>
      </c>
      <c r="V822" s="38">
        <f>IF(J822="已結案",0,(使用說明!$B$7-B822)*24)</f>
        <v>0</v>
      </c>
    </row>
    <row r="823" spans="1:22">
      <c r="A823" s="32" t="s">
        <v>1383</v>
      </c>
      <c r="B823" s="33">
        <v>46197.505555555559</v>
      </c>
      <c r="C823" s="34" t="s">
        <v>1384</v>
      </c>
      <c r="D823" s="34" t="s">
        <v>210</v>
      </c>
      <c r="E823" s="34" t="s">
        <v>235</v>
      </c>
      <c r="F823" s="34" t="s">
        <v>253</v>
      </c>
      <c r="G823" s="34" t="s">
        <v>242</v>
      </c>
      <c r="H823" s="34" t="s">
        <v>381</v>
      </c>
      <c r="I823" s="35" t="str">
        <f>VLOOKUP(H823,人員與團隊!$A$4:$D$27,3,FALSE)</f>
        <v>線上服務</v>
      </c>
      <c r="J823" s="34" t="s">
        <v>215</v>
      </c>
      <c r="K823" s="33">
        <v>46197.547222222223</v>
      </c>
      <c r="L823" s="33">
        <v>46198.060979398149</v>
      </c>
      <c r="M823" s="36">
        <f t="shared" si="60"/>
        <v>59.99999999650754</v>
      </c>
      <c r="N823" s="37">
        <f t="shared" si="61"/>
        <v>13.330172222165857</v>
      </c>
      <c r="O823" s="36">
        <f>VLOOKUP(G823,SLA標準!$A$4:$C$7,2,FALSE)</f>
        <v>240</v>
      </c>
      <c r="P823" s="37">
        <f>VLOOKUP(G823,SLA標準!$A$4:$C$7,3,FALSE)</f>
        <v>24</v>
      </c>
      <c r="Q823" s="35" t="str">
        <f t="shared" si="62"/>
        <v>達標</v>
      </c>
      <c r="R823" s="34" t="s">
        <v>41</v>
      </c>
      <c r="S823" s="35" t="str">
        <f t="shared" si="63"/>
        <v>是</v>
      </c>
      <c r="T823" s="36">
        <f>IFERROR(VLOOKUP(A823,滿意度調查!$B$4:$D$570,3,FALSE),"")</f>
        <v>4</v>
      </c>
      <c r="U823" s="35" t="str">
        <f t="shared" si="64"/>
        <v>2026-06</v>
      </c>
      <c r="V823" s="38">
        <f>IF(J823="已結案",0,(使用說明!$B$7-B823)*24)</f>
        <v>0</v>
      </c>
    </row>
    <row r="824" spans="1:22">
      <c r="A824" s="32" t="s">
        <v>1385</v>
      </c>
      <c r="B824" s="33">
        <v>46197.520833333336</v>
      </c>
      <c r="C824" s="34" t="s">
        <v>644</v>
      </c>
      <c r="D824" s="34" t="s">
        <v>225</v>
      </c>
      <c r="E824" s="34" t="s">
        <v>235</v>
      </c>
      <c r="F824" s="34" t="s">
        <v>241</v>
      </c>
      <c r="G824" s="34" t="s">
        <v>213</v>
      </c>
      <c r="H824" s="34" t="s">
        <v>262</v>
      </c>
      <c r="I824" s="35" t="str">
        <f>VLOOKUP(H824,人員與團隊!$A$4:$D$27,3,FALSE)</f>
        <v>南區服務</v>
      </c>
      <c r="J824" s="34" t="s">
        <v>215</v>
      </c>
      <c r="K824" s="33">
        <v>46197.609027777777</v>
      </c>
      <c r="L824" s="33">
        <v>46198.384294826392</v>
      </c>
      <c r="M824" s="36">
        <f t="shared" si="60"/>
        <v>126.99999999487773</v>
      </c>
      <c r="N824" s="37">
        <f t="shared" si="61"/>
        <v>20.723075833346229</v>
      </c>
      <c r="O824" s="36">
        <f>VLOOKUP(G824,SLA標準!$A$4:$C$7,2,FALSE)</f>
        <v>480</v>
      </c>
      <c r="P824" s="37">
        <f>VLOOKUP(G824,SLA標準!$A$4:$C$7,3,FALSE)</f>
        <v>48</v>
      </c>
      <c r="Q824" s="35" t="str">
        <f t="shared" si="62"/>
        <v>達標</v>
      </c>
      <c r="R824" s="34" t="s">
        <v>47</v>
      </c>
      <c r="S824" s="35" t="str">
        <f t="shared" si="63"/>
        <v>是</v>
      </c>
      <c r="T824" s="36">
        <f>IFERROR(VLOOKUP(A824,滿意度調查!$B$4:$D$570,3,FALSE),"")</f>
        <v>5</v>
      </c>
      <c r="U824" s="35" t="str">
        <f t="shared" si="64"/>
        <v>2026-06</v>
      </c>
      <c r="V824" s="38">
        <f>IF(J824="已結案",0,(使用說明!$B$7-B824)*24)</f>
        <v>0</v>
      </c>
    </row>
    <row r="825" spans="1:22">
      <c r="A825" s="32" t="s">
        <v>1386</v>
      </c>
      <c r="B825" s="33">
        <v>46197.584722222222</v>
      </c>
      <c r="C825" s="34" t="s">
        <v>727</v>
      </c>
      <c r="D825" s="34" t="s">
        <v>240</v>
      </c>
      <c r="E825" s="34" t="s">
        <v>265</v>
      </c>
      <c r="F825" s="34" t="s">
        <v>479</v>
      </c>
      <c r="G825" s="34" t="s">
        <v>221</v>
      </c>
      <c r="H825" s="34" t="s">
        <v>250</v>
      </c>
      <c r="I825" s="35" t="str">
        <f>VLOOKUP(H825,人員與團隊!$A$4:$D$27,3,FALSE)</f>
        <v>南區服務</v>
      </c>
      <c r="J825" s="34" t="s">
        <v>215</v>
      </c>
      <c r="K825" s="33">
        <v>46197.644444444442</v>
      </c>
      <c r="L825" s="33">
        <v>46198.110433321759</v>
      </c>
      <c r="M825" s="36">
        <f t="shared" si="60"/>
        <v>85.999999997438863</v>
      </c>
      <c r="N825" s="37">
        <f t="shared" si="61"/>
        <v>12.617066388891544</v>
      </c>
      <c r="O825" s="36">
        <f>VLOOKUP(G825,SLA標準!$A$4:$C$7,2,FALSE)</f>
        <v>60</v>
      </c>
      <c r="P825" s="37">
        <f>VLOOKUP(G825,SLA標準!$A$4:$C$7,3,FALSE)</f>
        <v>8</v>
      </c>
      <c r="Q825" s="35" t="str">
        <f t="shared" si="62"/>
        <v>逾期</v>
      </c>
      <c r="R825" s="34" t="s">
        <v>47</v>
      </c>
      <c r="S825" s="35" t="str">
        <f t="shared" si="63"/>
        <v>是</v>
      </c>
      <c r="T825" s="36">
        <f>IFERROR(VLOOKUP(A825,滿意度調查!$B$4:$D$570,3,FALSE),"")</f>
        <v>4</v>
      </c>
      <c r="U825" s="35" t="str">
        <f t="shared" si="64"/>
        <v>2026-06</v>
      </c>
      <c r="V825" s="38">
        <f>IF(J825="已結案",0,(使用說明!$B$7-B825)*24)</f>
        <v>0</v>
      </c>
    </row>
    <row r="826" spans="1:22">
      <c r="A826" s="32" t="s">
        <v>1387</v>
      </c>
      <c r="B826" s="33">
        <v>46197.603472222225</v>
      </c>
      <c r="C826" s="34" t="s">
        <v>1388</v>
      </c>
      <c r="D826" s="34" t="s">
        <v>210</v>
      </c>
      <c r="E826" s="34" t="s">
        <v>265</v>
      </c>
      <c r="F826" s="34" t="s">
        <v>266</v>
      </c>
      <c r="G826" s="34" t="s">
        <v>221</v>
      </c>
      <c r="H826" s="34" t="s">
        <v>384</v>
      </c>
      <c r="I826" s="35" t="str">
        <f>VLOOKUP(H826,人員與團隊!$A$4:$D$27,3,FALSE)</f>
        <v>線上服務</v>
      </c>
      <c r="J826" s="34" t="s">
        <v>215</v>
      </c>
      <c r="K826" s="33">
        <v>46197.61041666667</v>
      </c>
      <c r="L826" s="33">
        <v>46198.357708680553</v>
      </c>
      <c r="M826" s="36">
        <f t="shared" si="60"/>
        <v>10.000000001164153</v>
      </c>
      <c r="N826" s="37">
        <f t="shared" si="61"/>
        <v>18.1016749998671</v>
      </c>
      <c r="O826" s="36">
        <f>VLOOKUP(G826,SLA標準!$A$4:$C$7,2,FALSE)</f>
        <v>60</v>
      </c>
      <c r="P826" s="37">
        <f>VLOOKUP(G826,SLA標準!$A$4:$C$7,3,FALSE)</f>
        <v>8</v>
      </c>
      <c r="Q826" s="35" t="str">
        <f t="shared" si="62"/>
        <v>逾期</v>
      </c>
      <c r="R826" s="34" t="s">
        <v>47</v>
      </c>
      <c r="S826" s="35" t="str">
        <f t="shared" si="63"/>
        <v>否</v>
      </c>
      <c r="T826" s="36" t="str">
        <f>IFERROR(VLOOKUP(A826,滿意度調查!$B$4:$D$570,3,FALSE),"")</f>
        <v/>
      </c>
      <c r="U826" s="35" t="str">
        <f t="shared" si="64"/>
        <v>2026-06</v>
      </c>
      <c r="V826" s="38">
        <f>IF(J826="已結案",0,(使用說明!$B$7-B826)*24)</f>
        <v>0</v>
      </c>
    </row>
    <row r="827" spans="1:22">
      <c r="A827" s="32" t="s">
        <v>1389</v>
      </c>
      <c r="B827" s="33">
        <v>46197.679861111108</v>
      </c>
      <c r="C827" s="34" t="s">
        <v>605</v>
      </c>
      <c r="D827" s="34" t="s">
        <v>210</v>
      </c>
      <c r="E827" s="34" t="s">
        <v>211</v>
      </c>
      <c r="F827" s="34" t="s">
        <v>226</v>
      </c>
      <c r="G827" s="34" t="s">
        <v>221</v>
      </c>
      <c r="H827" s="34" t="s">
        <v>250</v>
      </c>
      <c r="I827" s="35" t="str">
        <f>VLOOKUP(H827,人員與團隊!$A$4:$D$27,3,FALSE)</f>
        <v>南區服務</v>
      </c>
      <c r="J827" s="34" t="s">
        <v>356</v>
      </c>
      <c r="K827" s="33">
        <v>46197.694444444445</v>
      </c>
      <c r="L827" s="33"/>
      <c r="M827" s="36">
        <f t="shared" si="60"/>
        <v>21.000000005587935</v>
      </c>
      <c r="N827" s="37" t="str">
        <f t="shared" si="61"/>
        <v/>
      </c>
      <c r="O827" s="36">
        <f>VLOOKUP(G827,SLA標準!$A$4:$C$7,2,FALSE)</f>
        <v>60</v>
      </c>
      <c r="P827" s="37">
        <f>VLOOKUP(G827,SLA標準!$A$4:$C$7,3,FALSE)</f>
        <v>8</v>
      </c>
      <c r="Q827" s="35" t="str">
        <f t="shared" si="62"/>
        <v>逾期</v>
      </c>
      <c r="R827" s="34" t="s">
        <v>47</v>
      </c>
      <c r="S827" s="35" t="str">
        <f t="shared" si="63"/>
        <v>否</v>
      </c>
      <c r="T827" s="36" t="str">
        <f>IFERROR(VLOOKUP(A827,滿意度調查!$B$4:$D$570,3,FALSE),"")</f>
        <v/>
      </c>
      <c r="U827" s="35" t="str">
        <f t="shared" si="64"/>
        <v>2026-06</v>
      </c>
      <c r="V827" s="38">
        <f>IF(J827="已結案",0,(使用說明!$B$7-B827)*24)</f>
        <v>160.68333333340706</v>
      </c>
    </row>
    <row r="828" spans="1:22">
      <c r="A828" s="32" t="s">
        <v>1390</v>
      </c>
      <c r="B828" s="33">
        <v>46197.689583333333</v>
      </c>
      <c r="C828" s="34" t="s">
        <v>596</v>
      </c>
      <c r="D828" s="34" t="s">
        <v>240</v>
      </c>
      <c r="E828" s="34" t="s">
        <v>245</v>
      </c>
      <c r="F828" s="34" t="s">
        <v>278</v>
      </c>
      <c r="G828" s="34" t="s">
        <v>242</v>
      </c>
      <c r="H828" s="34" t="s">
        <v>361</v>
      </c>
      <c r="I828" s="35" t="str">
        <f>VLOOKUP(H828,人員與團隊!$A$4:$D$27,3,FALSE)</f>
        <v>南區服務</v>
      </c>
      <c r="J828" s="34" t="s">
        <v>215</v>
      </c>
      <c r="K828" s="33">
        <v>46197.84375</v>
      </c>
      <c r="L828" s="33">
        <v>46198.82912052083</v>
      </c>
      <c r="M828" s="36">
        <f t="shared" si="60"/>
        <v>222.00000000069849</v>
      </c>
      <c r="N828" s="37">
        <f t="shared" si="61"/>
        <v>27.348892499925569</v>
      </c>
      <c r="O828" s="36">
        <f>VLOOKUP(G828,SLA標準!$A$4:$C$7,2,FALSE)</f>
        <v>240</v>
      </c>
      <c r="P828" s="37">
        <f>VLOOKUP(G828,SLA標準!$A$4:$C$7,3,FALSE)</f>
        <v>24</v>
      </c>
      <c r="Q828" s="35" t="str">
        <f t="shared" si="62"/>
        <v>逾期</v>
      </c>
      <c r="R828" s="34" t="s">
        <v>47</v>
      </c>
      <c r="S828" s="35" t="str">
        <f t="shared" si="63"/>
        <v>是</v>
      </c>
      <c r="T828" s="36">
        <f>IFERROR(VLOOKUP(A828,滿意度調查!$B$4:$D$570,3,FALSE),"")</f>
        <v>4</v>
      </c>
      <c r="U828" s="35" t="str">
        <f t="shared" si="64"/>
        <v>2026-06</v>
      </c>
      <c r="V828" s="38">
        <f>IF(J828="已結案",0,(使用說明!$B$7-B828)*24)</f>
        <v>0</v>
      </c>
    </row>
    <row r="829" spans="1:22">
      <c r="A829" s="32" t="s">
        <v>1391</v>
      </c>
      <c r="B829" s="33">
        <v>46197.690972222219</v>
      </c>
      <c r="C829" s="34" t="s">
        <v>458</v>
      </c>
      <c r="D829" s="34" t="s">
        <v>210</v>
      </c>
      <c r="E829" s="34" t="s">
        <v>219</v>
      </c>
      <c r="F829" s="34" t="s">
        <v>371</v>
      </c>
      <c r="G829" s="34" t="s">
        <v>242</v>
      </c>
      <c r="H829" s="34" t="s">
        <v>408</v>
      </c>
      <c r="I829" s="35" t="str">
        <f>VLOOKUP(H829,人員與團隊!$A$4:$D$27,3,FALSE)</f>
        <v>線上服務</v>
      </c>
      <c r="J829" s="34" t="s">
        <v>215</v>
      </c>
      <c r="K829" s="33">
        <v>46197.738888888889</v>
      </c>
      <c r="L829" s="33">
        <v>46198.23411085648</v>
      </c>
      <c r="M829" s="36">
        <f t="shared" si="60"/>
        <v>69.000000004889444</v>
      </c>
      <c r="N829" s="37">
        <f t="shared" si="61"/>
        <v>13.035327222256456</v>
      </c>
      <c r="O829" s="36">
        <f>VLOOKUP(G829,SLA標準!$A$4:$C$7,2,FALSE)</f>
        <v>240</v>
      </c>
      <c r="P829" s="37">
        <f>VLOOKUP(G829,SLA標準!$A$4:$C$7,3,FALSE)</f>
        <v>24</v>
      </c>
      <c r="Q829" s="35" t="str">
        <f t="shared" si="62"/>
        <v>達標</v>
      </c>
      <c r="R829" s="34" t="s">
        <v>47</v>
      </c>
      <c r="S829" s="35" t="str">
        <f t="shared" si="63"/>
        <v>是</v>
      </c>
      <c r="T829" s="36">
        <f>IFERROR(VLOOKUP(A829,滿意度調查!$B$4:$D$570,3,FALSE),"")</f>
        <v>5</v>
      </c>
      <c r="U829" s="35" t="str">
        <f t="shared" si="64"/>
        <v>2026-06</v>
      </c>
      <c r="V829" s="38">
        <f>IF(J829="已結案",0,(使用說明!$B$7-B829)*24)</f>
        <v>0</v>
      </c>
    </row>
    <row r="830" spans="1:22">
      <c r="A830" s="32" t="s">
        <v>1392</v>
      </c>
      <c r="B830" s="33">
        <v>46197.692361111112</v>
      </c>
      <c r="C830" s="34" t="s">
        <v>464</v>
      </c>
      <c r="D830" s="34" t="s">
        <v>225</v>
      </c>
      <c r="E830" s="34" t="s">
        <v>211</v>
      </c>
      <c r="F830" s="34" t="s">
        <v>334</v>
      </c>
      <c r="G830" s="34" t="s">
        <v>221</v>
      </c>
      <c r="H830" s="34" t="s">
        <v>361</v>
      </c>
      <c r="I830" s="35" t="str">
        <f>VLOOKUP(H830,人員與團隊!$A$4:$D$27,3,FALSE)</f>
        <v>南區服務</v>
      </c>
      <c r="J830" s="34" t="s">
        <v>215</v>
      </c>
      <c r="K830" s="33">
        <v>46197.715277777781</v>
      </c>
      <c r="L830" s="33">
        <v>46197.930566527779</v>
      </c>
      <c r="M830" s="36">
        <f t="shared" si="60"/>
        <v>33.000000002793968</v>
      </c>
      <c r="N830" s="37">
        <f t="shared" si="61"/>
        <v>5.7169299999950454</v>
      </c>
      <c r="O830" s="36">
        <f>VLOOKUP(G830,SLA標準!$A$4:$C$7,2,FALSE)</f>
        <v>60</v>
      </c>
      <c r="P830" s="37">
        <f>VLOOKUP(G830,SLA標準!$A$4:$C$7,3,FALSE)</f>
        <v>8</v>
      </c>
      <c r="Q830" s="35" t="str">
        <f t="shared" si="62"/>
        <v>達標</v>
      </c>
      <c r="R830" s="34" t="s">
        <v>47</v>
      </c>
      <c r="S830" s="35" t="str">
        <f t="shared" si="63"/>
        <v>否</v>
      </c>
      <c r="T830" s="36" t="str">
        <f>IFERROR(VLOOKUP(A830,滿意度調查!$B$4:$D$570,3,FALSE),"")</f>
        <v/>
      </c>
      <c r="U830" s="35" t="str">
        <f t="shared" si="64"/>
        <v>2026-06</v>
      </c>
      <c r="V830" s="38">
        <f>IF(J830="已結案",0,(使用說明!$B$7-B830)*24)</f>
        <v>0</v>
      </c>
    </row>
    <row r="831" spans="1:22">
      <c r="A831" s="32" t="s">
        <v>1393</v>
      </c>
      <c r="B831" s="33">
        <v>46197.76666666667</v>
      </c>
      <c r="C831" s="34" t="s">
        <v>920</v>
      </c>
      <c r="D831" s="34" t="s">
        <v>210</v>
      </c>
      <c r="E831" s="34" t="s">
        <v>211</v>
      </c>
      <c r="F831" s="34" t="s">
        <v>226</v>
      </c>
      <c r="G831" s="34" t="s">
        <v>242</v>
      </c>
      <c r="H831" s="34" t="s">
        <v>285</v>
      </c>
      <c r="I831" s="35" t="str">
        <f>VLOOKUP(H831,人員與團隊!$A$4:$D$27,3,FALSE)</f>
        <v>線上服務</v>
      </c>
      <c r="J831" s="34" t="s">
        <v>215</v>
      </c>
      <c r="K831" s="33">
        <v>46197.811805555553</v>
      </c>
      <c r="L831" s="33">
        <v>46198.021671770832</v>
      </c>
      <c r="M831" s="36">
        <f t="shared" si="60"/>
        <v>64.999999991850927</v>
      </c>
      <c r="N831" s="37">
        <f t="shared" si="61"/>
        <v>6.1201224998803809</v>
      </c>
      <c r="O831" s="36">
        <f>VLOOKUP(G831,SLA標準!$A$4:$C$7,2,FALSE)</f>
        <v>240</v>
      </c>
      <c r="P831" s="37">
        <f>VLOOKUP(G831,SLA標準!$A$4:$C$7,3,FALSE)</f>
        <v>24</v>
      </c>
      <c r="Q831" s="35" t="str">
        <f t="shared" si="62"/>
        <v>達標</v>
      </c>
      <c r="R831" s="34" t="s">
        <v>41</v>
      </c>
      <c r="S831" s="35" t="str">
        <f t="shared" si="63"/>
        <v>是</v>
      </c>
      <c r="T831" s="36">
        <f>IFERROR(VLOOKUP(A831,滿意度調查!$B$4:$D$570,3,FALSE),"")</f>
        <v>4</v>
      </c>
      <c r="U831" s="35" t="str">
        <f t="shared" si="64"/>
        <v>2026-06</v>
      </c>
      <c r="V831" s="38">
        <f>IF(J831="已結案",0,(使用說明!$B$7-B831)*24)</f>
        <v>0</v>
      </c>
    </row>
    <row r="832" spans="1:22">
      <c r="A832" s="32" t="s">
        <v>1394</v>
      </c>
      <c r="B832" s="33">
        <v>46198.334027777775</v>
      </c>
      <c r="C832" s="34" t="s">
        <v>1091</v>
      </c>
      <c r="D832" s="34" t="s">
        <v>225</v>
      </c>
      <c r="E832" s="34" t="s">
        <v>211</v>
      </c>
      <c r="F832" s="34" t="s">
        <v>334</v>
      </c>
      <c r="G832" s="34" t="s">
        <v>242</v>
      </c>
      <c r="H832" s="34" t="s">
        <v>361</v>
      </c>
      <c r="I832" s="35" t="str">
        <f>VLOOKUP(H832,人員與團隊!$A$4:$D$27,3,FALSE)</f>
        <v>南區服務</v>
      </c>
      <c r="J832" s="34" t="s">
        <v>215</v>
      </c>
      <c r="K832" s="33">
        <v>46198.472222222219</v>
      </c>
      <c r="L832" s="33">
        <v>46198.439846990739</v>
      </c>
      <c r="M832" s="36">
        <f t="shared" si="60"/>
        <v>198.99999999906868</v>
      </c>
      <c r="N832" s="37">
        <f t="shared" si="61"/>
        <v>2.5396611111355014</v>
      </c>
      <c r="O832" s="36">
        <f>VLOOKUP(G832,SLA標準!$A$4:$C$7,2,FALSE)</f>
        <v>240</v>
      </c>
      <c r="P832" s="37">
        <f>VLOOKUP(G832,SLA標準!$A$4:$C$7,3,FALSE)</f>
        <v>24</v>
      </c>
      <c r="Q832" s="35" t="str">
        <f t="shared" si="62"/>
        <v>達標</v>
      </c>
      <c r="R832" s="34" t="s">
        <v>47</v>
      </c>
      <c r="S832" s="35" t="str">
        <f t="shared" si="63"/>
        <v>是</v>
      </c>
      <c r="T832" s="36">
        <f>IFERROR(VLOOKUP(A832,滿意度調查!$B$4:$D$570,3,FALSE),"")</f>
        <v>5</v>
      </c>
      <c r="U832" s="35" t="str">
        <f t="shared" si="64"/>
        <v>2026-06</v>
      </c>
      <c r="V832" s="38">
        <f>IF(J832="已結案",0,(使用說明!$B$7-B832)*24)</f>
        <v>0</v>
      </c>
    </row>
    <row r="833" spans="1:22">
      <c r="A833" s="32" t="s">
        <v>1395</v>
      </c>
      <c r="B833" s="33">
        <v>46198.463194444441</v>
      </c>
      <c r="C833" s="34" t="s">
        <v>824</v>
      </c>
      <c r="D833" s="34" t="s">
        <v>240</v>
      </c>
      <c r="E833" s="34" t="s">
        <v>211</v>
      </c>
      <c r="F833" s="34" t="s">
        <v>212</v>
      </c>
      <c r="G833" s="34" t="s">
        <v>213</v>
      </c>
      <c r="H833" s="34" t="s">
        <v>237</v>
      </c>
      <c r="I833" s="35" t="str">
        <f>VLOOKUP(H833,人員與團隊!$A$4:$D$27,3,FALSE)</f>
        <v>北區服務</v>
      </c>
      <c r="J833" s="34" t="s">
        <v>215</v>
      </c>
      <c r="K833" s="33">
        <v>46198.888194444444</v>
      </c>
      <c r="L833" s="33">
        <v>46198.943735358793</v>
      </c>
      <c r="M833" s="36">
        <f t="shared" si="60"/>
        <v>612.00000000419095</v>
      </c>
      <c r="N833" s="37">
        <f t="shared" si="61"/>
        <v>11.532981944445055</v>
      </c>
      <c r="O833" s="36">
        <f>VLOOKUP(G833,SLA標準!$A$4:$C$7,2,FALSE)</f>
        <v>480</v>
      </c>
      <c r="P833" s="37">
        <f>VLOOKUP(G833,SLA標準!$A$4:$C$7,3,FALSE)</f>
        <v>48</v>
      </c>
      <c r="Q833" s="35" t="str">
        <f t="shared" si="62"/>
        <v>逾期</v>
      </c>
      <c r="R833" s="34" t="s">
        <v>47</v>
      </c>
      <c r="S833" s="35" t="str">
        <f t="shared" si="63"/>
        <v>是</v>
      </c>
      <c r="T833" s="36">
        <f>IFERROR(VLOOKUP(A833,滿意度調查!$B$4:$D$570,3,FALSE),"")</f>
        <v>3</v>
      </c>
      <c r="U833" s="35" t="str">
        <f t="shared" si="64"/>
        <v>2026-06</v>
      </c>
      <c r="V833" s="38">
        <f>IF(J833="已結案",0,(使用說明!$B$7-B833)*24)</f>
        <v>0</v>
      </c>
    </row>
    <row r="834" spans="1:22">
      <c r="A834" s="32" t="s">
        <v>1396</v>
      </c>
      <c r="B834" s="33">
        <v>46198.5625</v>
      </c>
      <c r="C834" s="34" t="s">
        <v>436</v>
      </c>
      <c r="D834" s="34" t="s">
        <v>225</v>
      </c>
      <c r="E834" s="34" t="s">
        <v>245</v>
      </c>
      <c r="F834" s="34" t="s">
        <v>282</v>
      </c>
      <c r="G834" s="34" t="s">
        <v>242</v>
      </c>
      <c r="H834" s="34" t="s">
        <v>361</v>
      </c>
      <c r="I834" s="35" t="str">
        <f>VLOOKUP(H834,人員與團隊!$A$4:$D$27,3,FALSE)</f>
        <v>南區服務</v>
      </c>
      <c r="J834" s="34" t="s">
        <v>215</v>
      </c>
      <c r="K834" s="33">
        <v>46198.693749999999</v>
      </c>
      <c r="L834" s="33">
        <v>46199.963383935188</v>
      </c>
      <c r="M834" s="36">
        <f t="shared" si="60"/>
        <v>188.99999999790452</v>
      </c>
      <c r="N834" s="37">
        <f t="shared" si="61"/>
        <v>33.621214444516227</v>
      </c>
      <c r="O834" s="36">
        <f>VLOOKUP(G834,SLA標準!$A$4:$C$7,2,FALSE)</f>
        <v>240</v>
      </c>
      <c r="P834" s="37">
        <f>VLOOKUP(G834,SLA標準!$A$4:$C$7,3,FALSE)</f>
        <v>24</v>
      </c>
      <c r="Q834" s="35" t="str">
        <f t="shared" si="62"/>
        <v>逾期</v>
      </c>
      <c r="R834" s="34" t="s">
        <v>47</v>
      </c>
      <c r="S834" s="35" t="str">
        <f t="shared" si="63"/>
        <v>是</v>
      </c>
      <c r="T834" s="36">
        <f>IFERROR(VLOOKUP(A834,滿意度調查!$B$4:$D$570,3,FALSE),"")</f>
        <v>3</v>
      </c>
      <c r="U834" s="35" t="str">
        <f t="shared" si="64"/>
        <v>2026-06</v>
      </c>
      <c r="V834" s="38">
        <f>IF(J834="已結案",0,(使用說明!$B$7-B834)*24)</f>
        <v>0</v>
      </c>
    </row>
    <row r="835" spans="1:22">
      <c r="A835" s="32" t="s">
        <v>1397</v>
      </c>
      <c r="B835" s="33">
        <v>46198.683333333334</v>
      </c>
      <c r="C835" s="34" t="s">
        <v>644</v>
      </c>
      <c r="D835" s="34" t="s">
        <v>210</v>
      </c>
      <c r="E835" s="34" t="s">
        <v>211</v>
      </c>
      <c r="F835" s="34" t="s">
        <v>212</v>
      </c>
      <c r="G835" s="34" t="s">
        <v>221</v>
      </c>
      <c r="H835" s="34" t="s">
        <v>250</v>
      </c>
      <c r="I835" s="35" t="str">
        <f>VLOOKUP(H835,人員與團隊!$A$4:$D$27,3,FALSE)</f>
        <v>南區服務</v>
      </c>
      <c r="J835" s="34" t="s">
        <v>215</v>
      </c>
      <c r="K835" s="33">
        <v>46198.699305555558</v>
      </c>
      <c r="L835" s="33">
        <v>46198.854314456017</v>
      </c>
      <c r="M835" s="36">
        <f t="shared" si="60"/>
        <v>23.000000001629815</v>
      </c>
      <c r="N835" s="37">
        <f t="shared" si="61"/>
        <v>4.1035469443886541</v>
      </c>
      <c r="O835" s="36">
        <f>VLOOKUP(G835,SLA標準!$A$4:$C$7,2,FALSE)</f>
        <v>60</v>
      </c>
      <c r="P835" s="37">
        <f>VLOOKUP(G835,SLA標準!$A$4:$C$7,3,FALSE)</f>
        <v>8</v>
      </c>
      <c r="Q835" s="35" t="str">
        <f t="shared" si="62"/>
        <v>達標</v>
      </c>
      <c r="R835" s="34" t="s">
        <v>47</v>
      </c>
      <c r="S835" s="35" t="str">
        <f t="shared" si="63"/>
        <v>是</v>
      </c>
      <c r="T835" s="36">
        <f>IFERROR(VLOOKUP(A835,滿意度調查!$B$4:$D$570,3,FALSE),"")</f>
        <v>5</v>
      </c>
      <c r="U835" s="35" t="str">
        <f t="shared" si="64"/>
        <v>2026-06</v>
      </c>
      <c r="V835" s="38">
        <f>IF(J835="已結案",0,(使用說明!$B$7-B835)*24)</f>
        <v>0</v>
      </c>
    </row>
    <row r="836" spans="1:22">
      <c r="A836" s="32" t="s">
        <v>1398</v>
      </c>
      <c r="B836" s="33">
        <v>46198.701388888891</v>
      </c>
      <c r="C836" s="34" t="s">
        <v>725</v>
      </c>
      <c r="D836" s="34" t="s">
        <v>210</v>
      </c>
      <c r="E836" s="34" t="s">
        <v>245</v>
      </c>
      <c r="F836" s="34" t="s">
        <v>358</v>
      </c>
      <c r="G836" s="34" t="s">
        <v>242</v>
      </c>
      <c r="H836" s="34" t="s">
        <v>254</v>
      </c>
      <c r="I836" s="35" t="str">
        <f>VLOOKUP(H836,人員與團隊!$A$4:$D$27,3,FALSE)</f>
        <v>線上服務</v>
      </c>
      <c r="J836" s="34" t="s">
        <v>215</v>
      </c>
      <c r="K836" s="33">
        <v>46198.81527777778</v>
      </c>
      <c r="L836" s="33">
        <v>46200.147475636571</v>
      </c>
      <c r="M836" s="36">
        <f t="shared" ref="M836:M903" si="65">IF(K836="","",(K836-B836)*1440)</f>
        <v>164.00000000023283</v>
      </c>
      <c r="N836" s="37">
        <f t="shared" ref="N836:N903" si="66">IF(L836="","",(L836-B836)*24)</f>
        <v>34.706081944343168</v>
      </c>
      <c r="O836" s="36">
        <f>VLOOKUP(G836,SLA標準!$A$4:$C$7,2,FALSE)</f>
        <v>240</v>
      </c>
      <c r="P836" s="37">
        <f>VLOOKUP(G836,SLA標準!$A$4:$C$7,3,FALSE)</f>
        <v>24</v>
      </c>
      <c r="Q836" s="35" t="str">
        <f t="shared" ref="Q836:Q899" si="67">IF(J836="已結案",IF(AND(M836&lt;=O836,N836&lt;=P836),"達標","逾期"),IF(OR(M836&gt;O836,V836&gt;P836),"逾期","進行中"))</f>
        <v>逾期</v>
      </c>
      <c r="R836" s="34" t="s">
        <v>47</v>
      </c>
      <c r="S836" s="35" t="str">
        <f t="shared" ref="S836:S899" si="68">IF(T836="","否","是")</f>
        <v>是</v>
      </c>
      <c r="T836" s="36">
        <f>IFERROR(VLOOKUP(A836,滿意度調查!$B$4:$D$570,3,FALSE),"")</f>
        <v>3</v>
      </c>
      <c r="U836" s="35" t="str">
        <f t="shared" ref="U836:U903" si="69">TEXT(B836,"yyyy-mm")</f>
        <v>2026-06</v>
      </c>
      <c r="V836" s="38">
        <f>IF(J836="已結案",0,(使用說明!$B$7-B836)*24)</f>
        <v>0</v>
      </c>
    </row>
    <row r="837" spans="1:22">
      <c r="A837" s="32" t="s">
        <v>1399</v>
      </c>
      <c r="B837" s="33">
        <v>46198.824305555558</v>
      </c>
      <c r="C837" s="34" t="s">
        <v>396</v>
      </c>
      <c r="D837" s="34" t="s">
        <v>210</v>
      </c>
      <c r="E837" s="34" t="s">
        <v>265</v>
      </c>
      <c r="F837" s="34" t="s">
        <v>304</v>
      </c>
      <c r="G837" s="34" t="s">
        <v>242</v>
      </c>
      <c r="H837" s="34" t="s">
        <v>232</v>
      </c>
      <c r="I837" s="35" t="str">
        <f>VLOOKUP(H837,人員與團隊!$A$4:$D$27,3,FALSE)</f>
        <v>北區服務</v>
      </c>
      <c r="J837" s="34" t="s">
        <v>215</v>
      </c>
      <c r="K837" s="33">
        <v>46198.855555555558</v>
      </c>
      <c r="L837" s="33">
        <v>46199.902562881944</v>
      </c>
      <c r="M837" s="36">
        <f t="shared" si="65"/>
        <v>45</v>
      </c>
      <c r="N837" s="37">
        <f t="shared" si="66"/>
        <v>25.878175833262503</v>
      </c>
      <c r="O837" s="36">
        <f>VLOOKUP(G837,SLA標準!$A$4:$C$7,2,FALSE)</f>
        <v>240</v>
      </c>
      <c r="P837" s="37">
        <f>VLOOKUP(G837,SLA標準!$A$4:$C$7,3,FALSE)</f>
        <v>24</v>
      </c>
      <c r="Q837" s="35" t="str">
        <f t="shared" si="67"/>
        <v>逾期</v>
      </c>
      <c r="R837" s="34" t="s">
        <v>47</v>
      </c>
      <c r="S837" s="35" t="str">
        <f t="shared" si="68"/>
        <v>是</v>
      </c>
      <c r="T837" s="36">
        <f>IFERROR(VLOOKUP(A837,滿意度調查!$B$4:$D$570,3,FALSE),"")</f>
        <v>3</v>
      </c>
      <c r="U837" s="35" t="str">
        <f t="shared" si="69"/>
        <v>2026-06</v>
      </c>
      <c r="V837" s="38">
        <f>IF(J837="已結案",0,(使用說明!$B$7-B837)*24)</f>
        <v>0</v>
      </c>
    </row>
    <row r="838" spans="1:22">
      <c r="A838" s="32" t="s">
        <v>1400</v>
      </c>
      <c r="B838" s="33">
        <v>46198.862500000003</v>
      </c>
      <c r="C838" s="34" t="s">
        <v>495</v>
      </c>
      <c r="D838" s="34" t="s">
        <v>210</v>
      </c>
      <c r="E838" s="34" t="s">
        <v>219</v>
      </c>
      <c r="F838" s="34" t="s">
        <v>220</v>
      </c>
      <c r="G838" s="34" t="s">
        <v>221</v>
      </c>
      <c r="H838" s="34" t="s">
        <v>361</v>
      </c>
      <c r="I838" s="35" t="str">
        <f>VLOOKUP(H838,人員與團隊!$A$4:$D$27,3,FALSE)</f>
        <v>南區服務</v>
      </c>
      <c r="J838" s="34" t="s">
        <v>215</v>
      </c>
      <c r="K838" s="33">
        <v>46198.877083333333</v>
      </c>
      <c r="L838" s="33">
        <v>46199.206682592594</v>
      </c>
      <c r="M838" s="36">
        <f t="shared" si="65"/>
        <v>20.999999995110556</v>
      </c>
      <c r="N838" s="37">
        <f t="shared" si="66"/>
        <v>8.2603822221863084</v>
      </c>
      <c r="O838" s="36">
        <f>VLOOKUP(G838,SLA標準!$A$4:$C$7,2,FALSE)</f>
        <v>60</v>
      </c>
      <c r="P838" s="37">
        <f>VLOOKUP(G838,SLA標準!$A$4:$C$7,3,FALSE)</f>
        <v>8</v>
      </c>
      <c r="Q838" s="35" t="str">
        <f t="shared" si="67"/>
        <v>逾期</v>
      </c>
      <c r="R838" s="34" t="s">
        <v>41</v>
      </c>
      <c r="S838" s="35" t="str">
        <f t="shared" si="68"/>
        <v>是</v>
      </c>
      <c r="T838" s="36">
        <f>IFERROR(VLOOKUP(A838,滿意度調查!$B$4:$D$570,3,FALSE),"")</f>
        <v>3</v>
      </c>
      <c r="U838" s="35" t="str">
        <f t="shared" si="69"/>
        <v>2026-06</v>
      </c>
      <c r="V838" s="38">
        <f>IF(J838="已結案",0,(使用說明!$B$7-B838)*24)</f>
        <v>0</v>
      </c>
    </row>
    <row r="839" spans="1:22">
      <c r="A839" s="32" t="s">
        <v>1401</v>
      </c>
      <c r="B839" s="33">
        <v>46199.363888888889</v>
      </c>
      <c r="C839" s="34" t="s">
        <v>239</v>
      </c>
      <c r="D839" s="34" t="s">
        <v>218</v>
      </c>
      <c r="E839" s="34" t="s">
        <v>235</v>
      </c>
      <c r="F839" s="34" t="s">
        <v>298</v>
      </c>
      <c r="G839" s="34" t="s">
        <v>242</v>
      </c>
      <c r="H839" s="34" t="s">
        <v>305</v>
      </c>
      <c r="I839" s="35" t="str">
        <f>VLOOKUP(H839,人員與團隊!$A$4:$D$27,3,FALSE)</f>
        <v>線上服務</v>
      </c>
      <c r="J839" s="34" t="s">
        <v>215</v>
      </c>
      <c r="K839" s="33">
        <v>46199.595833333333</v>
      </c>
      <c r="L839" s="33">
        <v>46200.055888206021</v>
      </c>
      <c r="M839" s="36">
        <f t="shared" si="65"/>
        <v>333.99999999906868</v>
      </c>
      <c r="N839" s="37">
        <f t="shared" si="66"/>
        <v>16.607983611174859</v>
      </c>
      <c r="O839" s="36">
        <f>VLOOKUP(G839,SLA標準!$A$4:$C$7,2,FALSE)</f>
        <v>240</v>
      </c>
      <c r="P839" s="37">
        <f>VLOOKUP(G839,SLA標準!$A$4:$C$7,3,FALSE)</f>
        <v>24</v>
      </c>
      <c r="Q839" s="35" t="str">
        <f t="shared" si="67"/>
        <v>逾期</v>
      </c>
      <c r="R839" s="34" t="s">
        <v>47</v>
      </c>
      <c r="S839" s="35" t="str">
        <f t="shared" si="68"/>
        <v>是</v>
      </c>
      <c r="T839" s="36">
        <f>IFERROR(VLOOKUP(A839,滿意度調查!$B$4:$D$570,3,FALSE),"")</f>
        <v>4</v>
      </c>
      <c r="U839" s="35" t="str">
        <f t="shared" si="69"/>
        <v>2026-06</v>
      </c>
      <c r="V839" s="38">
        <f>IF(J839="已結案",0,(使用說明!$B$7-B839)*24)</f>
        <v>0</v>
      </c>
    </row>
    <row r="840" spans="1:22">
      <c r="A840" s="32" t="s">
        <v>1402</v>
      </c>
      <c r="B840" s="33">
        <v>46199.377083333333</v>
      </c>
      <c r="C840" s="34" t="s">
        <v>1403</v>
      </c>
      <c r="D840" s="34" t="s">
        <v>218</v>
      </c>
      <c r="E840" s="34" t="s">
        <v>211</v>
      </c>
      <c r="F840" s="34" t="s">
        <v>226</v>
      </c>
      <c r="G840" s="34" t="s">
        <v>242</v>
      </c>
      <c r="H840" s="34" t="s">
        <v>384</v>
      </c>
      <c r="I840" s="35" t="str">
        <f>VLOOKUP(H840,人員與團隊!$A$4:$D$27,3,FALSE)</f>
        <v>線上服務</v>
      </c>
      <c r="J840" s="34" t="s">
        <v>356</v>
      </c>
      <c r="K840" s="33">
        <v>46199.540972222225</v>
      </c>
      <c r="L840" s="33"/>
      <c r="M840" s="36">
        <f t="shared" si="65"/>
        <v>236.00000000442378</v>
      </c>
      <c r="N840" s="37" t="str">
        <f t="shared" si="66"/>
        <v/>
      </c>
      <c r="O840" s="36">
        <f>VLOOKUP(G840,SLA標準!$A$4:$C$7,2,FALSE)</f>
        <v>240</v>
      </c>
      <c r="P840" s="37">
        <f>VLOOKUP(G840,SLA標準!$A$4:$C$7,3,FALSE)</f>
        <v>24</v>
      </c>
      <c r="Q840" s="35" t="str">
        <f t="shared" si="67"/>
        <v>逾期</v>
      </c>
      <c r="R840" s="34" t="s">
        <v>47</v>
      </c>
      <c r="S840" s="35" t="str">
        <f t="shared" si="68"/>
        <v>否</v>
      </c>
      <c r="T840" s="36" t="str">
        <f>IFERROR(VLOOKUP(A840,滿意度調查!$B$4:$D$570,3,FALSE),"")</f>
        <v/>
      </c>
      <c r="U840" s="35" t="str">
        <f t="shared" si="69"/>
        <v>2026-06</v>
      </c>
      <c r="V840" s="38">
        <f>IF(J840="已結案",0,(使用說明!$B$7-B840)*24)</f>
        <v>119.95000000001164</v>
      </c>
    </row>
    <row r="841" spans="1:22">
      <c r="A841" s="32" t="s">
        <v>1404</v>
      </c>
      <c r="B841" s="33">
        <v>46199.458333333336</v>
      </c>
      <c r="C841" s="34" t="s">
        <v>607</v>
      </c>
      <c r="D841" s="34" t="s">
        <v>218</v>
      </c>
      <c r="E841" s="34" t="s">
        <v>265</v>
      </c>
      <c r="F841" s="34" t="s">
        <v>304</v>
      </c>
      <c r="G841" s="34" t="s">
        <v>242</v>
      </c>
      <c r="H841" s="34" t="s">
        <v>361</v>
      </c>
      <c r="I841" s="35" t="str">
        <f>VLOOKUP(H841,人員與團隊!$A$4:$D$27,3,FALSE)</f>
        <v>南區服務</v>
      </c>
      <c r="J841" s="34" t="s">
        <v>356</v>
      </c>
      <c r="K841" s="33">
        <v>46199.70416666667</v>
      </c>
      <c r="L841" s="33"/>
      <c r="M841" s="36">
        <f t="shared" si="65"/>
        <v>354.00000000139698</v>
      </c>
      <c r="N841" s="37" t="str">
        <f t="shared" si="66"/>
        <v/>
      </c>
      <c r="O841" s="36">
        <f>VLOOKUP(G841,SLA標準!$A$4:$C$7,2,FALSE)</f>
        <v>240</v>
      </c>
      <c r="P841" s="37">
        <f>VLOOKUP(G841,SLA標準!$A$4:$C$7,3,FALSE)</f>
        <v>24</v>
      </c>
      <c r="Q841" s="35" t="str">
        <f t="shared" si="67"/>
        <v>逾期</v>
      </c>
      <c r="R841" s="34" t="s">
        <v>41</v>
      </c>
      <c r="S841" s="35" t="str">
        <f t="shared" si="68"/>
        <v>否</v>
      </c>
      <c r="T841" s="36" t="str">
        <f>IFERROR(VLOOKUP(A841,滿意度調查!$B$4:$D$570,3,FALSE),"")</f>
        <v/>
      </c>
      <c r="U841" s="35" t="str">
        <f t="shared" si="69"/>
        <v>2026-06</v>
      </c>
      <c r="V841" s="38">
        <f>IF(J841="已結案",0,(使用說明!$B$7-B841)*24)</f>
        <v>117.99999999994179</v>
      </c>
    </row>
    <row r="842" spans="1:22">
      <c r="A842" s="32" t="s">
        <v>1405</v>
      </c>
      <c r="B842" s="33">
        <v>46199.466666666667</v>
      </c>
      <c r="C842" s="34" t="s">
        <v>512</v>
      </c>
      <c r="D842" s="34" t="s">
        <v>210</v>
      </c>
      <c r="E842" s="34" t="s">
        <v>211</v>
      </c>
      <c r="F842" s="34" t="s">
        <v>226</v>
      </c>
      <c r="G842" s="34" t="s">
        <v>242</v>
      </c>
      <c r="H842" s="34" t="s">
        <v>384</v>
      </c>
      <c r="I842" s="35" t="str">
        <f>VLOOKUP(H842,人員與團隊!$A$4:$D$27,3,FALSE)</f>
        <v>線上服務</v>
      </c>
      <c r="J842" s="34" t="s">
        <v>215</v>
      </c>
      <c r="K842" s="33">
        <v>46199.539583333331</v>
      </c>
      <c r="L842" s="33">
        <v>46199.716810138889</v>
      </c>
      <c r="M842" s="36">
        <f t="shared" si="65"/>
        <v>104.99999999650754</v>
      </c>
      <c r="N842" s="37">
        <f t="shared" si="66"/>
        <v>6.0034433333203197</v>
      </c>
      <c r="O842" s="36">
        <f>VLOOKUP(G842,SLA標準!$A$4:$C$7,2,FALSE)</f>
        <v>240</v>
      </c>
      <c r="P842" s="37">
        <f>VLOOKUP(G842,SLA標準!$A$4:$C$7,3,FALSE)</f>
        <v>24</v>
      </c>
      <c r="Q842" s="35" t="str">
        <f t="shared" si="67"/>
        <v>達標</v>
      </c>
      <c r="R842" s="34" t="s">
        <v>41</v>
      </c>
      <c r="S842" s="35" t="str">
        <f t="shared" si="68"/>
        <v>否</v>
      </c>
      <c r="T842" s="36" t="str">
        <f>IFERROR(VLOOKUP(A842,滿意度調查!$B$4:$D$570,3,FALSE),"")</f>
        <v/>
      </c>
      <c r="U842" s="35" t="str">
        <f t="shared" si="69"/>
        <v>2026-06</v>
      </c>
      <c r="V842" s="38">
        <f>IF(J842="已結案",0,(使用說明!$B$7-B842)*24)</f>
        <v>0</v>
      </c>
    </row>
    <row r="843" spans="1:22">
      <c r="A843" s="32" t="s">
        <v>1406</v>
      </c>
      <c r="B843" s="33">
        <v>46199.494444444441</v>
      </c>
      <c r="C843" s="34" t="s">
        <v>476</v>
      </c>
      <c r="D843" s="34" t="s">
        <v>225</v>
      </c>
      <c r="E843" s="34" t="s">
        <v>211</v>
      </c>
      <c r="F843" s="34" t="s">
        <v>226</v>
      </c>
      <c r="G843" s="34" t="s">
        <v>242</v>
      </c>
      <c r="H843" s="34" t="s">
        <v>361</v>
      </c>
      <c r="I843" s="35" t="str">
        <f>VLOOKUP(H843,人員與團隊!$A$4:$D$27,3,FALSE)</f>
        <v>南區服務</v>
      </c>
      <c r="J843" s="34" t="s">
        <v>215</v>
      </c>
      <c r="K843" s="33">
        <v>46199.574305555558</v>
      </c>
      <c r="L843" s="33">
        <v>46199.648513101849</v>
      </c>
      <c r="M843" s="36">
        <f t="shared" si="65"/>
        <v>115.00000000814907</v>
      </c>
      <c r="N843" s="37">
        <f t="shared" si="66"/>
        <v>3.6976477777934633</v>
      </c>
      <c r="O843" s="36">
        <f>VLOOKUP(G843,SLA標準!$A$4:$C$7,2,FALSE)</f>
        <v>240</v>
      </c>
      <c r="P843" s="37">
        <f>VLOOKUP(G843,SLA標準!$A$4:$C$7,3,FALSE)</f>
        <v>24</v>
      </c>
      <c r="Q843" s="35" t="str">
        <f t="shared" si="67"/>
        <v>達標</v>
      </c>
      <c r="R843" s="34" t="s">
        <v>47</v>
      </c>
      <c r="S843" s="35" t="str">
        <f t="shared" si="68"/>
        <v>是</v>
      </c>
      <c r="T843" s="36">
        <f>IFERROR(VLOOKUP(A843,滿意度調查!$B$4:$D$570,3,FALSE),"")</f>
        <v>5</v>
      </c>
      <c r="U843" s="35" t="str">
        <f t="shared" si="69"/>
        <v>2026-06</v>
      </c>
      <c r="V843" s="38">
        <f>IF(J843="已結案",0,(使用說明!$B$7-B843)*24)</f>
        <v>0</v>
      </c>
    </row>
    <row r="844" spans="1:22">
      <c r="A844" s="32" t="s">
        <v>1407</v>
      </c>
      <c r="B844" s="33">
        <v>46199.741666666669</v>
      </c>
      <c r="C844" s="34" t="s">
        <v>427</v>
      </c>
      <c r="D844" s="34" t="s">
        <v>210</v>
      </c>
      <c r="E844" s="34" t="s">
        <v>211</v>
      </c>
      <c r="F844" s="34" t="s">
        <v>331</v>
      </c>
      <c r="G844" s="34" t="s">
        <v>242</v>
      </c>
      <c r="H844" s="34" t="s">
        <v>254</v>
      </c>
      <c r="I844" s="35" t="str">
        <f>VLOOKUP(H844,人員與團隊!$A$4:$D$27,3,FALSE)</f>
        <v>線上服務</v>
      </c>
      <c r="J844" s="34" t="s">
        <v>356</v>
      </c>
      <c r="K844" s="33">
        <v>46199.76458333333</v>
      </c>
      <c r="L844" s="33"/>
      <c r="M844" s="36">
        <f t="shared" si="65"/>
        <v>32.999999992316589</v>
      </c>
      <c r="N844" s="37" t="str">
        <f t="shared" si="66"/>
        <v/>
      </c>
      <c r="O844" s="36">
        <f>VLOOKUP(G844,SLA標準!$A$4:$C$7,2,FALSE)</f>
        <v>240</v>
      </c>
      <c r="P844" s="37">
        <f>VLOOKUP(G844,SLA標準!$A$4:$C$7,3,FALSE)</f>
        <v>24</v>
      </c>
      <c r="Q844" s="35" t="str">
        <f t="shared" si="67"/>
        <v>逾期</v>
      </c>
      <c r="R844" s="34" t="s">
        <v>41</v>
      </c>
      <c r="S844" s="35" t="str">
        <f t="shared" si="68"/>
        <v>否</v>
      </c>
      <c r="T844" s="36" t="str">
        <f>IFERROR(VLOOKUP(A844,滿意度調查!$B$4:$D$570,3,FALSE),"")</f>
        <v/>
      </c>
      <c r="U844" s="35" t="str">
        <f t="shared" si="69"/>
        <v>2026-06</v>
      </c>
      <c r="V844" s="38">
        <f>IF(J844="已結案",0,(使用說明!$B$7-B844)*24)</f>
        <v>111.19999999995343</v>
      </c>
    </row>
    <row r="845" spans="1:22">
      <c r="A845" s="32" t="s">
        <v>1408</v>
      </c>
      <c r="B845" s="33">
        <v>46199.749305555553</v>
      </c>
      <c r="C845" s="34" t="s">
        <v>705</v>
      </c>
      <c r="D845" s="34" t="s">
        <v>218</v>
      </c>
      <c r="E845" s="34" t="s">
        <v>235</v>
      </c>
      <c r="F845" s="34" t="s">
        <v>241</v>
      </c>
      <c r="G845" s="34" t="s">
        <v>213</v>
      </c>
      <c r="H845" s="34" t="s">
        <v>262</v>
      </c>
      <c r="I845" s="35" t="str">
        <f>VLOOKUP(H845,人員與團隊!$A$4:$D$27,3,FALSE)</f>
        <v>南區服務</v>
      </c>
      <c r="J845" s="34" t="s">
        <v>356</v>
      </c>
      <c r="K845" s="33">
        <v>46200.254166666666</v>
      </c>
      <c r="L845" s="33"/>
      <c r="M845" s="36">
        <f t="shared" si="65"/>
        <v>727.00000000186265</v>
      </c>
      <c r="N845" s="37" t="str">
        <f t="shared" si="66"/>
        <v/>
      </c>
      <c r="O845" s="36">
        <f>VLOOKUP(G845,SLA標準!$A$4:$C$7,2,FALSE)</f>
        <v>480</v>
      </c>
      <c r="P845" s="37">
        <f>VLOOKUP(G845,SLA標準!$A$4:$C$7,3,FALSE)</f>
        <v>48</v>
      </c>
      <c r="Q845" s="35" t="str">
        <f t="shared" si="67"/>
        <v>逾期</v>
      </c>
      <c r="R845" s="34" t="s">
        <v>41</v>
      </c>
      <c r="S845" s="35" t="str">
        <f t="shared" si="68"/>
        <v>否</v>
      </c>
      <c r="T845" s="36" t="str">
        <f>IFERROR(VLOOKUP(A845,滿意度調查!$B$4:$D$570,3,FALSE),"")</f>
        <v/>
      </c>
      <c r="U845" s="35" t="str">
        <f t="shared" si="69"/>
        <v>2026-06</v>
      </c>
      <c r="V845" s="38">
        <f>IF(J845="已結案",0,(使用說明!$B$7-B845)*24)</f>
        <v>111.01666666672099</v>
      </c>
    </row>
    <row r="846" spans="1:22">
      <c r="A846" s="32" t="s">
        <v>1409</v>
      </c>
      <c r="B846" s="33">
        <v>46199.777777777781</v>
      </c>
      <c r="C846" s="34" t="s">
        <v>596</v>
      </c>
      <c r="D846" s="34" t="s">
        <v>210</v>
      </c>
      <c r="E846" s="34" t="s">
        <v>211</v>
      </c>
      <c r="F846" s="34" t="s">
        <v>226</v>
      </c>
      <c r="G846" s="34" t="s">
        <v>350</v>
      </c>
      <c r="H846" s="34" t="s">
        <v>384</v>
      </c>
      <c r="I846" s="35" t="str">
        <f>VLOOKUP(H846,人員與團隊!$A$4:$D$27,3,FALSE)</f>
        <v>線上服務</v>
      </c>
      <c r="J846" s="34" t="s">
        <v>215</v>
      </c>
      <c r="K846" s="33">
        <v>46199.781944444447</v>
      </c>
      <c r="L846" s="33">
        <v>46199.903354386573</v>
      </c>
      <c r="M846" s="36">
        <f t="shared" si="65"/>
        <v>5.9999999986030161</v>
      </c>
      <c r="N846" s="37">
        <f t="shared" si="66"/>
        <v>3.0138386110193096</v>
      </c>
      <c r="O846" s="36">
        <f>VLOOKUP(G846,SLA標準!$A$4:$C$7,2,FALSE)</f>
        <v>30</v>
      </c>
      <c r="P846" s="37">
        <f>VLOOKUP(G846,SLA標準!$A$4:$C$7,3,FALSE)</f>
        <v>4</v>
      </c>
      <c r="Q846" s="35" t="str">
        <f t="shared" si="67"/>
        <v>達標</v>
      </c>
      <c r="R846" s="34" t="s">
        <v>47</v>
      </c>
      <c r="S846" s="35" t="str">
        <f t="shared" si="68"/>
        <v>否</v>
      </c>
      <c r="T846" s="36" t="str">
        <f>IFERROR(VLOOKUP(A846,滿意度調查!$B$4:$D$570,3,FALSE),"")</f>
        <v/>
      </c>
      <c r="U846" s="35" t="str">
        <f t="shared" si="69"/>
        <v>2026-06</v>
      </c>
      <c r="V846" s="38">
        <f>IF(J846="已結案",0,(使用說明!$B$7-B846)*24)</f>
        <v>0</v>
      </c>
    </row>
    <row r="847" spans="1:22">
      <c r="A847" s="32" t="s">
        <v>1410</v>
      </c>
      <c r="B847" s="33">
        <v>46199.843055555553</v>
      </c>
      <c r="C847" s="34" t="s">
        <v>883</v>
      </c>
      <c r="D847" s="34" t="s">
        <v>218</v>
      </c>
      <c r="E847" s="34" t="s">
        <v>245</v>
      </c>
      <c r="F847" s="34" t="s">
        <v>282</v>
      </c>
      <c r="G847" s="34" t="s">
        <v>221</v>
      </c>
      <c r="H847" s="34" t="s">
        <v>279</v>
      </c>
      <c r="I847" s="35" t="str">
        <f>VLOOKUP(H847,人員與團隊!$A$4:$D$27,3,FALSE)</f>
        <v>南區服務</v>
      </c>
      <c r="J847" s="34" t="s">
        <v>275</v>
      </c>
      <c r="K847" s="33">
        <v>46199.883333333331</v>
      </c>
      <c r="L847" s="33"/>
      <c r="M847" s="36">
        <f t="shared" si="65"/>
        <v>58.000000000465661</v>
      </c>
      <c r="N847" s="37" t="str">
        <f t="shared" si="66"/>
        <v/>
      </c>
      <c r="O847" s="36">
        <f>VLOOKUP(G847,SLA標準!$A$4:$C$7,2,FALSE)</f>
        <v>60</v>
      </c>
      <c r="P847" s="37">
        <f>VLOOKUP(G847,SLA標準!$A$4:$C$7,3,FALSE)</f>
        <v>8</v>
      </c>
      <c r="Q847" s="35" t="str">
        <f t="shared" si="67"/>
        <v>逾期</v>
      </c>
      <c r="R847" s="34" t="s">
        <v>47</v>
      </c>
      <c r="S847" s="35" t="str">
        <f t="shared" si="68"/>
        <v>否</v>
      </c>
      <c r="T847" s="36" t="str">
        <f>IFERROR(VLOOKUP(A847,滿意度調查!$B$4:$D$570,3,FALSE),"")</f>
        <v/>
      </c>
      <c r="U847" s="35" t="str">
        <f t="shared" si="69"/>
        <v>2026-06</v>
      </c>
      <c r="V847" s="38">
        <f>IF(J847="已結案",0,(使用說明!$B$7-B847)*24)</f>
        <v>108.76666666672099</v>
      </c>
    </row>
    <row r="848" spans="1:22">
      <c r="A848" s="32" t="s">
        <v>1411</v>
      </c>
      <c r="B848" s="33">
        <v>46200.35833333333</v>
      </c>
      <c r="C848" s="34" t="s">
        <v>1357</v>
      </c>
      <c r="D848" s="34" t="s">
        <v>218</v>
      </c>
      <c r="E848" s="34" t="s">
        <v>230</v>
      </c>
      <c r="F848" s="34" t="s">
        <v>339</v>
      </c>
      <c r="G848" s="34" t="s">
        <v>242</v>
      </c>
      <c r="H848" s="34" t="s">
        <v>340</v>
      </c>
      <c r="I848" s="35" t="str">
        <f>VLOOKUP(H848,人員與團隊!$A$4:$D$27,3,FALSE)</f>
        <v>北區服務</v>
      </c>
      <c r="J848" s="34" t="s">
        <v>275</v>
      </c>
      <c r="K848" s="33">
        <v>46200.558333333334</v>
      </c>
      <c r="L848" s="33"/>
      <c r="M848" s="36">
        <f t="shared" si="65"/>
        <v>288.00000000628643</v>
      </c>
      <c r="N848" s="37" t="str">
        <f t="shared" si="66"/>
        <v/>
      </c>
      <c r="O848" s="36">
        <f>VLOOKUP(G848,SLA標準!$A$4:$C$7,2,FALSE)</f>
        <v>240</v>
      </c>
      <c r="P848" s="37">
        <f>VLOOKUP(G848,SLA標準!$A$4:$C$7,3,FALSE)</f>
        <v>24</v>
      </c>
      <c r="Q848" s="35" t="str">
        <f t="shared" si="67"/>
        <v>逾期</v>
      </c>
      <c r="R848" s="34" t="s">
        <v>47</v>
      </c>
      <c r="S848" s="35" t="str">
        <f t="shared" si="68"/>
        <v>否</v>
      </c>
      <c r="T848" s="36" t="str">
        <f>IFERROR(VLOOKUP(A848,滿意度調查!$B$4:$D$570,3,FALSE),"")</f>
        <v/>
      </c>
      <c r="U848" s="35" t="str">
        <f t="shared" si="69"/>
        <v>2026-06</v>
      </c>
      <c r="V848" s="38">
        <f>IF(J848="已結案",0,(使用說明!$B$7-B848)*24)</f>
        <v>96.400000000081491</v>
      </c>
    </row>
    <row r="849" spans="1:22">
      <c r="A849" s="32" t="s">
        <v>1412</v>
      </c>
      <c r="B849" s="33">
        <v>46200.412499999999</v>
      </c>
      <c r="C849" s="34" t="s">
        <v>1032</v>
      </c>
      <c r="D849" s="34" t="s">
        <v>218</v>
      </c>
      <c r="E849" s="34" t="s">
        <v>265</v>
      </c>
      <c r="F849" s="34" t="s">
        <v>304</v>
      </c>
      <c r="G849" s="34" t="s">
        <v>242</v>
      </c>
      <c r="H849" s="34" t="s">
        <v>328</v>
      </c>
      <c r="I849" s="35" t="str">
        <f>VLOOKUP(H849,人員與團隊!$A$4:$D$27,3,FALSE)</f>
        <v>北區服務</v>
      </c>
      <c r="J849" s="34" t="s">
        <v>215</v>
      </c>
      <c r="K849" s="33">
        <v>46200.711111111108</v>
      </c>
      <c r="L849" s="33">
        <v>46201.638597939818</v>
      </c>
      <c r="M849" s="36">
        <f t="shared" si="65"/>
        <v>429.99999999767169</v>
      </c>
      <c r="N849" s="37">
        <f t="shared" si="66"/>
        <v>29.426350555673707</v>
      </c>
      <c r="O849" s="36">
        <f>VLOOKUP(G849,SLA標準!$A$4:$C$7,2,FALSE)</f>
        <v>240</v>
      </c>
      <c r="P849" s="37">
        <f>VLOOKUP(G849,SLA標準!$A$4:$C$7,3,FALSE)</f>
        <v>24</v>
      </c>
      <c r="Q849" s="35" t="str">
        <f t="shared" si="67"/>
        <v>逾期</v>
      </c>
      <c r="R849" s="34" t="s">
        <v>47</v>
      </c>
      <c r="S849" s="35" t="str">
        <f t="shared" si="68"/>
        <v>是</v>
      </c>
      <c r="T849" s="36">
        <f>IFERROR(VLOOKUP(A849,滿意度調查!$B$4:$D$570,3,FALSE),"")</f>
        <v>4</v>
      </c>
      <c r="U849" s="35" t="str">
        <f t="shared" si="69"/>
        <v>2026-06</v>
      </c>
      <c r="V849" s="38">
        <f>IF(J849="已結案",0,(使用說明!$B$7-B849)*24)</f>
        <v>0</v>
      </c>
    </row>
    <row r="850" spans="1:22">
      <c r="A850" s="32" t="s">
        <v>1413</v>
      </c>
      <c r="B850" s="33">
        <v>46200.443749999999</v>
      </c>
      <c r="C850" s="34" t="s">
        <v>662</v>
      </c>
      <c r="D850" s="34" t="s">
        <v>210</v>
      </c>
      <c r="E850" s="34" t="s">
        <v>235</v>
      </c>
      <c r="F850" s="34" t="s">
        <v>253</v>
      </c>
      <c r="G850" s="34" t="s">
        <v>242</v>
      </c>
      <c r="H850" s="34" t="s">
        <v>315</v>
      </c>
      <c r="I850" s="35" t="str">
        <f>VLOOKUP(H850,人員與團隊!$A$4:$D$27,3,FALSE)</f>
        <v>北區服務</v>
      </c>
      <c r="J850" s="34" t="s">
        <v>356</v>
      </c>
      <c r="K850" s="33">
        <v>46200.522222222222</v>
      </c>
      <c r="L850" s="33"/>
      <c r="M850" s="36">
        <f t="shared" si="65"/>
        <v>113.00000000162981</v>
      </c>
      <c r="N850" s="37" t="str">
        <f t="shared" si="66"/>
        <v/>
      </c>
      <c r="O850" s="36">
        <f>VLOOKUP(G850,SLA標準!$A$4:$C$7,2,FALSE)</f>
        <v>240</v>
      </c>
      <c r="P850" s="37">
        <f>VLOOKUP(G850,SLA標準!$A$4:$C$7,3,FALSE)</f>
        <v>24</v>
      </c>
      <c r="Q850" s="35" t="str">
        <f t="shared" si="67"/>
        <v>逾期</v>
      </c>
      <c r="R850" s="34" t="s">
        <v>47</v>
      </c>
      <c r="S850" s="35" t="str">
        <f t="shared" si="68"/>
        <v>否</v>
      </c>
      <c r="T850" s="36" t="str">
        <f>IFERROR(VLOOKUP(A850,滿意度調查!$B$4:$D$570,3,FALSE),"")</f>
        <v/>
      </c>
      <c r="U850" s="35" t="str">
        <f t="shared" si="69"/>
        <v>2026-06</v>
      </c>
      <c r="V850" s="38">
        <f>IF(J850="已結案",0,(使用說明!$B$7-B850)*24)</f>
        <v>94.350000000034925</v>
      </c>
    </row>
    <row r="851" spans="1:22">
      <c r="A851" s="32" t="s">
        <v>1414</v>
      </c>
      <c r="B851" s="33">
        <v>46200.49722222222</v>
      </c>
      <c r="C851" s="34" t="s">
        <v>700</v>
      </c>
      <c r="D851" s="34" t="s">
        <v>240</v>
      </c>
      <c r="E851" s="34" t="s">
        <v>211</v>
      </c>
      <c r="F851" s="34" t="s">
        <v>226</v>
      </c>
      <c r="G851" s="34" t="s">
        <v>213</v>
      </c>
      <c r="H851" s="34" t="s">
        <v>262</v>
      </c>
      <c r="I851" s="35" t="str">
        <f>VLOOKUP(H851,人員與團隊!$A$4:$D$27,3,FALSE)</f>
        <v>南區服務</v>
      </c>
      <c r="J851" s="34" t="s">
        <v>215</v>
      </c>
      <c r="K851" s="33">
        <v>46200.828472222223</v>
      </c>
      <c r="L851" s="33">
        <v>46200.668583993058</v>
      </c>
      <c r="M851" s="36">
        <f t="shared" si="65"/>
        <v>477.00000000419095</v>
      </c>
      <c r="N851" s="37">
        <f t="shared" si="66"/>
        <v>4.112682500097435</v>
      </c>
      <c r="O851" s="36">
        <f>VLOOKUP(G851,SLA標準!$A$4:$C$7,2,FALSE)</f>
        <v>480</v>
      </c>
      <c r="P851" s="37">
        <f>VLOOKUP(G851,SLA標準!$A$4:$C$7,3,FALSE)</f>
        <v>48</v>
      </c>
      <c r="Q851" s="35" t="str">
        <f t="shared" si="67"/>
        <v>達標</v>
      </c>
      <c r="R851" s="34" t="s">
        <v>47</v>
      </c>
      <c r="S851" s="35" t="str">
        <f t="shared" si="68"/>
        <v>否</v>
      </c>
      <c r="T851" s="36" t="str">
        <f>IFERROR(VLOOKUP(A851,滿意度調查!$B$4:$D$570,3,FALSE),"")</f>
        <v/>
      </c>
      <c r="U851" s="35" t="str">
        <f t="shared" si="69"/>
        <v>2026-06</v>
      </c>
      <c r="V851" s="38">
        <f>IF(J851="已結案",0,(使用說明!$B$7-B851)*24)</f>
        <v>0</v>
      </c>
    </row>
    <row r="852" spans="1:22">
      <c r="A852" s="32" t="s">
        <v>1415</v>
      </c>
      <c r="B852" s="33">
        <v>46200.570138888892</v>
      </c>
      <c r="C852" s="34" t="s">
        <v>711</v>
      </c>
      <c r="D852" s="34" t="s">
        <v>218</v>
      </c>
      <c r="E852" s="34" t="s">
        <v>219</v>
      </c>
      <c r="F852" s="34" t="s">
        <v>371</v>
      </c>
      <c r="G852" s="34" t="s">
        <v>242</v>
      </c>
      <c r="H852" s="34" t="s">
        <v>279</v>
      </c>
      <c r="I852" s="35" t="str">
        <f>VLOOKUP(H852,人員與團隊!$A$4:$D$27,3,FALSE)</f>
        <v>南區服務</v>
      </c>
      <c r="J852" s="34" t="s">
        <v>774</v>
      </c>
      <c r="K852" s="33">
        <v>46200.711111111108</v>
      </c>
      <c r="L852" s="33"/>
      <c r="M852" s="36">
        <f t="shared" si="65"/>
        <v>202.99999999115244</v>
      </c>
      <c r="N852" s="37" t="str">
        <f t="shared" si="66"/>
        <v/>
      </c>
      <c r="O852" s="36">
        <f>VLOOKUP(G852,SLA標準!$A$4:$C$7,2,FALSE)</f>
        <v>240</v>
      </c>
      <c r="P852" s="37">
        <f>VLOOKUP(G852,SLA標準!$A$4:$C$7,3,FALSE)</f>
        <v>24</v>
      </c>
      <c r="Q852" s="35" t="str">
        <f t="shared" si="67"/>
        <v>逾期</v>
      </c>
      <c r="R852" s="34" t="s">
        <v>47</v>
      </c>
      <c r="S852" s="35" t="str">
        <f t="shared" si="68"/>
        <v>否</v>
      </c>
      <c r="T852" s="36" t="str">
        <f>IFERROR(VLOOKUP(A852,滿意度調查!$B$4:$D$570,3,FALSE),"")</f>
        <v/>
      </c>
      <c r="U852" s="35" t="str">
        <f t="shared" si="69"/>
        <v>2026-06</v>
      </c>
      <c r="V852" s="38">
        <f>IF(J852="已結案",0,(使用說明!$B$7-B852)*24)</f>
        <v>91.316666666592937</v>
      </c>
    </row>
    <row r="853" spans="1:22">
      <c r="A853" s="32" t="s">
        <v>1416</v>
      </c>
      <c r="B853" s="33">
        <v>46200.609722222223</v>
      </c>
      <c r="C853" s="34" t="s">
        <v>1060</v>
      </c>
      <c r="D853" s="34" t="s">
        <v>210</v>
      </c>
      <c r="E853" s="34" t="s">
        <v>265</v>
      </c>
      <c r="F853" s="34" t="s">
        <v>266</v>
      </c>
      <c r="G853" s="34" t="s">
        <v>242</v>
      </c>
      <c r="H853" s="34" t="s">
        <v>381</v>
      </c>
      <c r="I853" s="35" t="str">
        <f>VLOOKUP(H853,人員與團隊!$A$4:$D$27,3,FALSE)</f>
        <v>線上服務</v>
      </c>
      <c r="J853" s="34" t="s">
        <v>215</v>
      </c>
      <c r="K853" s="33">
        <v>46200.638194444444</v>
      </c>
      <c r="L853" s="33">
        <v>46201.430680740741</v>
      </c>
      <c r="M853" s="36">
        <f t="shared" si="65"/>
        <v>40.999999997438863</v>
      </c>
      <c r="N853" s="37">
        <f t="shared" si="66"/>
        <v>19.70300444442546</v>
      </c>
      <c r="O853" s="36">
        <f>VLOOKUP(G853,SLA標準!$A$4:$C$7,2,FALSE)</f>
        <v>240</v>
      </c>
      <c r="P853" s="37">
        <f>VLOOKUP(G853,SLA標準!$A$4:$C$7,3,FALSE)</f>
        <v>24</v>
      </c>
      <c r="Q853" s="35" t="str">
        <f t="shared" si="67"/>
        <v>達標</v>
      </c>
      <c r="R853" s="34" t="s">
        <v>47</v>
      </c>
      <c r="S853" s="35" t="str">
        <f t="shared" si="68"/>
        <v>是</v>
      </c>
      <c r="T853" s="36">
        <f>IFERROR(VLOOKUP(A853,滿意度調查!$B$4:$D$570,3,FALSE),"")</f>
        <v>5</v>
      </c>
      <c r="U853" s="35" t="str">
        <f t="shared" si="69"/>
        <v>2026-06</v>
      </c>
      <c r="V853" s="38">
        <f>IF(J853="已結案",0,(使用說明!$B$7-B853)*24)</f>
        <v>0</v>
      </c>
    </row>
    <row r="854" spans="1:22">
      <c r="A854" s="32" t="s">
        <v>1417</v>
      </c>
      <c r="B854" s="33">
        <v>46200.623611111114</v>
      </c>
      <c r="C854" s="34" t="s">
        <v>746</v>
      </c>
      <c r="D854" s="34" t="s">
        <v>218</v>
      </c>
      <c r="E854" s="34" t="s">
        <v>245</v>
      </c>
      <c r="F854" s="34" t="s">
        <v>278</v>
      </c>
      <c r="G854" s="34" t="s">
        <v>242</v>
      </c>
      <c r="H854" s="34" t="s">
        <v>267</v>
      </c>
      <c r="I854" s="35" t="str">
        <f>VLOOKUP(H854,人員與團隊!$A$4:$D$27,3,FALSE)</f>
        <v>南區服務</v>
      </c>
      <c r="J854" s="34" t="s">
        <v>356</v>
      </c>
      <c r="K854" s="33">
        <v>46200.915972222225</v>
      </c>
      <c r="L854" s="33"/>
      <c r="M854" s="36">
        <f t="shared" si="65"/>
        <v>420.99999999976717</v>
      </c>
      <c r="N854" s="37" t="str">
        <f t="shared" si="66"/>
        <v/>
      </c>
      <c r="O854" s="36">
        <f>VLOOKUP(G854,SLA標準!$A$4:$C$7,2,FALSE)</f>
        <v>240</v>
      </c>
      <c r="P854" s="37">
        <f>VLOOKUP(G854,SLA標準!$A$4:$C$7,3,FALSE)</f>
        <v>24</v>
      </c>
      <c r="Q854" s="35" t="str">
        <f t="shared" si="67"/>
        <v>逾期</v>
      </c>
      <c r="R854" s="34" t="s">
        <v>47</v>
      </c>
      <c r="S854" s="35" t="str">
        <f t="shared" si="68"/>
        <v>否</v>
      </c>
      <c r="T854" s="36" t="str">
        <f>IFERROR(VLOOKUP(A854,滿意度調查!$B$4:$D$570,3,FALSE),"")</f>
        <v/>
      </c>
      <c r="U854" s="35" t="str">
        <f t="shared" si="69"/>
        <v>2026-06</v>
      </c>
      <c r="V854" s="38">
        <f>IF(J854="已結案",0,(使用說明!$B$7-B854)*24)</f>
        <v>90.033333333267365</v>
      </c>
    </row>
    <row r="855" spans="1:22">
      <c r="A855" s="32" t="s">
        <v>1418</v>
      </c>
      <c r="B855" s="33">
        <v>46200.643055555556</v>
      </c>
      <c r="C855" s="34" t="s">
        <v>620</v>
      </c>
      <c r="D855" s="34" t="s">
        <v>210</v>
      </c>
      <c r="E855" s="34" t="s">
        <v>211</v>
      </c>
      <c r="F855" s="34" t="s">
        <v>212</v>
      </c>
      <c r="G855" s="34" t="s">
        <v>242</v>
      </c>
      <c r="H855" s="34" t="s">
        <v>384</v>
      </c>
      <c r="I855" s="35" t="str">
        <f>VLOOKUP(H855,人員與團隊!$A$4:$D$27,3,FALSE)</f>
        <v>線上服務</v>
      </c>
      <c r="J855" s="34" t="s">
        <v>215</v>
      </c>
      <c r="K855" s="33">
        <v>46200.663888888892</v>
      </c>
      <c r="L855" s="33">
        <v>46200.862746284722</v>
      </c>
      <c r="M855" s="36">
        <f t="shared" si="65"/>
        <v>30.00000000349246</v>
      </c>
      <c r="N855" s="37">
        <f t="shared" si="66"/>
        <v>5.2725774999707937</v>
      </c>
      <c r="O855" s="36">
        <f>VLOOKUP(G855,SLA標準!$A$4:$C$7,2,FALSE)</f>
        <v>240</v>
      </c>
      <c r="P855" s="37">
        <f>VLOOKUP(G855,SLA標準!$A$4:$C$7,3,FALSE)</f>
        <v>24</v>
      </c>
      <c r="Q855" s="35" t="str">
        <f t="shared" si="67"/>
        <v>達標</v>
      </c>
      <c r="R855" s="34" t="s">
        <v>47</v>
      </c>
      <c r="S855" s="35" t="str">
        <f t="shared" si="68"/>
        <v>是</v>
      </c>
      <c r="T855" s="36">
        <f>IFERROR(VLOOKUP(A855,滿意度調查!$B$4:$D$570,3,FALSE),"")</f>
        <v>5</v>
      </c>
      <c r="U855" s="35" t="str">
        <f t="shared" si="69"/>
        <v>2026-06</v>
      </c>
      <c r="V855" s="38">
        <f>IF(J855="已結案",0,(使用說明!$B$7-B855)*24)</f>
        <v>0</v>
      </c>
    </row>
    <row r="856" spans="1:22">
      <c r="A856" s="32" t="s">
        <v>1419</v>
      </c>
      <c r="B856" s="33">
        <v>46200.643055555556</v>
      </c>
      <c r="C856" s="34" t="s">
        <v>1420</v>
      </c>
      <c r="D856" s="34" t="s">
        <v>225</v>
      </c>
      <c r="E856" s="34" t="s">
        <v>211</v>
      </c>
      <c r="F856" s="34" t="s">
        <v>331</v>
      </c>
      <c r="G856" s="34" t="s">
        <v>242</v>
      </c>
      <c r="H856" s="34" t="s">
        <v>372</v>
      </c>
      <c r="I856" s="35" t="str">
        <f>VLOOKUP(H856,人員與團隊!$A$4:$D$27,3,FALSE)</f>
        <v>南區服務</v>
      </c>
      <c r="J856" s="34" t="s">
        <v>275</v>
      </c>
      <c r="K856" s="33">
        <v>46200.768055555556</v>
      </c>
      <c r="L856" s="33"/>
      <c r="M856" s="36">
        <f t="shared" si="65"/>
        <v>180</v>
      </c>
      <c r="N856" s="37" t="str">
        <f t="shared" si="66"/>
        <v/>
      </c>
      <c r="O856" s="36">
        <f>VLOOKUP(G856,SLA標準!$A$4:$C$7,2,FALSE)</f>
        <v>240</v>
      </c>
      <c r="P856" s="37">
        <f>VLOOKUP(G856,SLA標準!$A$4:$C$7,3,FALSE)</f>
        <v>24</v>
      </c>
      <c r="Q856" s="35" t="str">
        <f t="shared" si="67"/>
        <v>逾期</v>
      </c>
      <c r="R856" s="34" t="s">
        <v>41</v>
      </c>
      <c r="S856" s="35" t="str">
        <f t="shared" si="68"/>
        <v>否</v>
      </c>
      <c r="T856" s="36" t="str">
        <f>IFERROR(VLOOKUP(A856,滿意度調查!$B$4:$D$570,3,FALSE),"")</f>
        <v/>
      </c>
      <c r="U856" s="35" t="str">
        <f t="shared" si="69"/>
        <v>2026-06</v>
      </c>
      <c r="V856" s="38">
        <f>IF(J856="已結案",0,(使用說明!$B$7-B856)*24)</f>
        <v>89.566666666651145</v>
      </c>
    </row>
    <row r="857" spans="1:22">
      <c r="A857" s="32" t="s">
        <v>1421</v>
      </c>
      <c r="B857" s="33">
        <v>46200.690972222219</v>
      </c>
      <c r="C857" s="34" t="s">
        <v>638</v>
      </c>
      <c r="D857" s="34" t="s">
        <v>210</v>
      </c>
      <c r="E857" s="34" t="s">
        <v>211</v>
      </c>
      <c r="F857" s="34" t="s">
        <v>331</v>
      </c>
      <c r="G857" s="34" t="s">
        <v>242</v>
      </c>
      <c r="H857" s="34" t="s">
        <v>408</v>
      </c>
      <c r="I857" s="35" t="str">
        <f>VLOOKUP(H857,人員與團隊!$A$4:$D$27,3,FALSE)</f>
        <v>線上服務</v>
      </c>
      <c r="J857" s="34" t="s">
        <v>774</v>
      </c>
      <c r="K857" s="33">
        <v>46200.793055555558</v>
      </c>
      <c r="L857" s="33"/>
      <c r="M857" s="36">
        <f t="shared" si="65"/>
        <v>147.00000000768341</v>
      </c>
      <c r="N857" s="37" t="str">
        <f t="shared" si="66"/>
        <v/>
      </c>
      <c r="O857" s="36">
        <f>VLOOKUP(G857,SLA標準!$A$4:$C$7,2,FALSE)</f>
        <v>240</v>
      </c>
      <c r="P857" s="37">
        <f>VLOOKUP(G857,SLA標準!$A$4:$C$7,3,FALSE)</f>
        <v>24</v>
      </c>
      <c r="Q857" s="35" t="str">
        <f t="shared" si="67"/>
        <v>逾期</v>
      </c>
      <c r="R857" s="34" t="s">
        <v>41</v>
      </c>
      <c r="S857" s="35" t="str">
        <f t="shared" si="68"/>
        <v>否</v>
      </c>
      <c r="T857" s="36" t="str">
        <f>IFERROR(VLOOKUP(A857,滿意度調查!$B$4:$D$570,3,FALSE),"")</f>
        <v/>
      </c>
      <c r="U857" s="35" t="str">
        <f t="shared" si="69"/>
        <v>2026-06</v>
      </c>
      <c r="V857" s="38">
        <f>IF(J857="已結案",0,(使用說明!$B$7-B857)*24)</f>
        <v>88.416666666744277</v>
      </c>
    </row>
    <row r="858" spans="1:22">
      <c r="A858" s="32" t="s">
        <v>1422</v>
      </c>
      <c r="B858" s="33">
        <v>46200.738194444442</v>
      </c>
      <c r="C858" s="34" t="s">
        <v>317</v>
      </c>
      <c r="D858" s="34" t="s">
        <v>210</v>
      </c>
      <c r="E858" s="34" t="s">
        <v>230</v>
      </c>
      <c r="F858" s="34" t="s">
        <v>272</v>
      </c>
      <c r="G858" s="34" t="s">
        <v>242</v>
      </c>
      <c r="H858" s="34" t="s">
        <v>372</v>
      </c>
      <c r="I858" s="35" t="str">
        <f>VLOOKUP(H858,人員與團隊!$A$4:$D$27,3,FALSE)</f>
        <v>南區服務</v>
      </c>
      <c r="J858" s="34" t="s">
        <v>215</v>
      </c>
      <c r="K858" s="33">
        <v>46200.777083333334</v>
      </c>
      <c r="L858" s="33">
        <v>46201.737104189815</v>
      </c>
      <c r="M858" s="36">
        <f t="shared" si="65"/>
        <v>56.000000004423782</v>
      </c>
      <c r="N858" s="37">
        <f t="shared" si="66"/>
        <v>23.973833888943773</v>
      </c>
      <c r="O858" s="36">
        <f>VLOOKUP(G858,SLA標準!$A$4:$C$7,2,FALSE)</f>
        <v>240</v>
      </c>
      <c r="P858" s="37">
        <f>VLOOKUP(G858,SLA標準!$A$4:$C$7,3,FALSE)</f>
        <v>24</v>
      </c>
      <c r="Q858" s="35" t="str">
        <f t="shared" si="67"/>
        <v>達標</v>
      </c>
      <c r="R858" s="34" t="s">
        <v>41</v>
      </c>
      <c r="S858" s="35" t="str">
        <f t="shared" si="68"/>
        <v>是</v>
      </c>
      <c r="T858" s="36">
        <f>IFERROR(VLOOKUP(A858,滿意度調查!$B$4:$D$570,3,FALSE),"")</f>
        <v>4</v>
      </c>
      <c r="U858" s="35" t="str">
        <f t="shared" si="69"/>
        <v>2026-06</v>
      </c>
      <c r="V858" s="38">
        <f>IF(J858="已結案",0,(使用說明!$B$7-B858)*24)</f>
        <v>0</v>
      </c>
    </row>
    <row r="859" spans="1:22">
      <c r="A859" s="32" t="s">
        <v>1423</v>
      </c>
      <c r="B859" s="33">
        <v>46200.740972222222</v>
      </c>
      <c r="C859" s="34" t="s">
        <v>1270</v>
      </c>
      <c r="D859" s="34" t="s">
        <v>225</v>
      </c>
      <c r="E859" s="34" t="s">
        <v>211</v>
      </c>
      <c r="F859" s="34" t="s">
        <v>334</v>
      </c>
      <c r="G859" s="34" t="s">
        <v>242</v>
      </c>
      <c r="H859" s="34" t="s">
        <v>250</v>
      </c>
      <c r="I859" s="35" t="str">
        <f>VLOOKUP(H859,人員與團隊!$A$4:$D$27,3,FALSE)</f>
        <v>南區服務</v>
      </c>
      <c r="J859" s="34" t="s">
        <v>215</v>
      </c>
      <c r="K859" s="33">
        <v>46200.839583333334</v>
      </c>
      <c r="L859" s="33">
        <v>46201.035303206016</v>
      </c>
      <c r="M859" s="36">
        <f t="shared" si="65"/>
        <v>142.00000000186265</v>
      </c>
      <c r="N859" s="37">
        <f t="shared" si="66"/>
        <v>7.0639436110504903</v>
      </c>
      <c r="O859" s="36">
        <f>VLOOKUP(G859,SLA標準!$A$4:$C$7,2,FALSE)</f>
        <v>240</v>
      </c>
      <c r="P859" s="37">
        <f>VLOOKUP(G859,SLA標準!$A$4:$C$7,3,FALSE)</f>
        <v>24</v>
      </c>
      <c r="Q859" s="35" t="str">
        <f t="shared" si="67"/>
        <v>達標</v>
      </c>
      <c r="R859" s="34" t="s">
        <v>47</v>
      </c>
      <c r="S859" s="35" t="str">
        <f t="shared" si="68"/>
        <v>否</v>
      </c>
      <c r="T859" s="36" t="str">
        <f>IFERROR(VLOOKUP(A859,滿意度調查!$B$4:$D$570,3,FALSE),"")</f>
        <v/>
      </c>
      <c r="U859" s="35" t="str">
        <f t="shared" si="69"/>
        <v>2026-06</v>
      </c>
      <c r="V859" s="38">
        <f>IF(J859="已結案",0,(使用說明!$B$7-B859)*24)</f>
        <v>0</v>
      </c>
    </row>
    <row r="860" spans="1:22">
      <c r="A860" s="32" t="s">
        <v>1424</v>
      </c>
      <c r="B860" s="33">
        <v>46200.793749999997</v>
      </c>
      <c r="C860" s="34" t="s">
        <v>436</v>
      </c>
      <c r="D860" s="34" t="s">
        <v>210</v>
      </c>
      <c r="E860" s="34" t="s">
        <v>219</v>
      </c>
      <c r="F860" s="34" t="s">
        <v>371</v>
      </c>
      <c r="G860" s="34" t="s">
        <v>242</v>
      </c>
      <c r="H860" s="34" t="s">
        <v>328</v>
      </c>
      <c r="I860" s="35" t="str">
        <f>VLOOKUP(H860,人員與團隊!$A$4:$D$27,3,FALSE)</f>
        <v>北區服務</v>
      </c>
      <c r="J860" s="34" t="s">
        <v>215</v>
      </c>
      <c r="K860" s="33">
        <v>46200.854166666664</v>
      </c>
      <c r="L860" s="33">
        <v>46201.232386736112</v>
      </c>
      <c r="M860" s="36">
        <f t="shared" si="65"/>
        <v>87.000000000698492</v>
      </c>
      <c r="N860" s="37">
        <f t="shared" si="66"/>
        <v>10.527281666756608</v>
      </c>
      <c r="O860" s="36">
        <f>VLOOKUP(G860,SLA標準!$A$4:$C$7,2,FALSE)</f>
        <v>240</v>
      </c>
      <c r="P860" s="37">
        <f>VLOOKUP(G860,SLA標準!$A$4:$C$7,3,FALSE)</f>
        <v>24</v>
      </c>
      <c r="Q860" s="35" t="str">
        <f t="shared" si="67"/>
        <v>達標</v>
      </c>
      <c r="R860" s="34" t="s">
        <v>47</v>
      </c>
      <c r="S860" s="35" t="str">
        <f t="shared" si="68"/>
        <v>是</v>
      </c>
      <c r="T860" s="36">
        <f>IFERROR(VLOOKUP(A860,滿意度調查!$B$4:$D$570,3,FALSE),"")</f>
        <v>5</v>
      </c>
      <c r="U860" s="35" t="str">
        <f t="shared" si="69"/>
        <v>2026-06</v>
      </c>
      <c r="V860" s="38">
        <f>IF(J860="已結案",0,(使用說明!$B$7-B860)*24)</f>
        <v>0</v>
      </c>
    </row>
    <row r="861" spans="1:22">
      <c r="A861" s="32" t="s">
        <v>1425</v>
      </c>
      <c r="B861" s="33">
        <v>46200.818055555559</v>
      </c>
      <c r="C861" s="34" t="s">
        <v>427</v>
      </c>
      <c r="D861" s="34" t="s">
        <v>210</v>
      </c>
      <c r="E861" s="34" t="s">
        <v>211</v>
      </c>
      <c r="F861" s="34" t="s">
        <v>334</v>
      </c>
      <c r="G861" s="34" t="s">
        <v>213</v>
      </c>
      <c r="H861" s="34" t="s">
        <v>285</v>
      </c>
      <c r="I861" s="35" t="str">
        <f>VLOOKUP(H861,人員與團隊!$A$4:$D$27,3,FALSE)</f>
        <v>線上服務</v>
      </c>
      <c r="J861" s="34" t="s">
        <v>215</v>
      </c>
      <c r="K861" s="33">
        <v>46200.952777777777</v>
      </c>
      <c r="L861" s="33">
        <v>46201.148522465279</v>
      </c>
      <c r="M861" s="36">
        <f t="shared" si="65"/>
        <v>193.99999999324791</v>
      </c>
      <c r="N861" s="37">
        <f t="shared" si="66"/>
        <v>7.9312058332725428</v>
      </c>
      <c r="O861" s="36">
        <f>VLOOKUP(G861,SLA標準!$A$4:$C$7,2,FALSE)</f>
        <v>480</v>
      </c>
      <c r="P861" s="37">
        <f>VLOOKUP(G861,SLA標準!$A$4:$C$7,3,FALSE)</f>
        <v>48</v>
      </c>
      <c r="Q861" s="35" t="str">
        <f t="shared" si="67"/>
        <v>達標</v>
      </c>
      <c r="R861" s="34" t="s">
        <v>41</v>
      </c>
      <c r="S861" s="35" t="str">
        <f t="shared" si="68"/>
        <v>是</v>
      </c>
      <c r="T861" s="36">
        <f>IFERROR(VLOOKUP(A861,滿意度調查!$B$4:$D$570,3,FALSE),"")</f>
        <v>4</v>
      </c>
      <c r="U861" s="35" t="str">
        <f t="shared" si="69"/>
        <v>2026-06</v>
      </c>
      <c r="V861" s="38">
        <f>IF(J861="已結案",0,(使用說明!$B$7-B861)*24)</f>
        <v>0</v>
      </c>
    </row>
    <row r="862" spans="1:22">
      <c r="A862" s="32" t="s">
        <v>1426</v>
      </c>
      <c r="B862" s="33">
        <v>46200.824305555558</v>
      </c>
      <c r="C862" s="34" t="s">
        <v>872</v>
      </c>
      <c r="D862" s="34" t="s">
        <v>225</v>
      </c>
      <c r="E862" s="34" t="s">
        <v>245</v>
      </c>
      <c r="F862" s="34" t="s">
        <v>358</v>
      </c>
      <c r="G862" s="34" t="s">
        <v>242</v>
      </c>
      <c r="H862" s="34" t="s">
        <v>262</v>
      </c>
      <c r="I862" s="35" t="str">
        <f>VLOOKUP(H862,人員與團隊!$A$4:$D$27,3,FALSE)</f>
        <v>南區服務</v>
      </c>
      <c r="J862" s="34" t="s">
        <v>356</v>
      </c>
      <c r="K862" s="33">
        <v>46200.997916666667</v>
      </c>
      <c r="L862" s="33"/>
      <c r="M862" s="36">
        <f t="shared" si="65"/>
        <v>249.99999999767169</v>
      </c>
      <c r="N862" s="37" t="str">
        <f t="shared" si="66"/>
        <v/>
      </c>
      <c r="O862" s="36">
        <f>VLOOKUP(G862,SLA標準!$A$4:$C$7,2,FALSE)</f>
        <v>240</v>
      </c>
      <c r="P862" s="37">
        <f>VLOOKUP(G862,SLA標準!$A$4:$C$7,3,FALSE)</f>
        <v>24</v>
      </c>
      <c r="Q862" s="35" t="str">
        <f t="shared" si="67"/>
        <v>逾期</v>
      </c>
      <c r="R862" s="34" t="s">
        <v>47</v>
      </c>
      <c r="S862" s="35" t="str">
        <f t="shared" si="68"/>
        <v>否</v>
      </c>
      <c r="T862" s="36" t="str">
        <f>IFERROR(VLOOKUP(A862,滿意度調查!$B$4:$D$570,3,FALSE),"")</f>
        <v/>
      </c>
      <c r="U862" s="35" t="str">
        <f t="shared" si="69"/>
        <v>2026-06</v>
      </c>
      <c r="V862" s="38">
        <f>IF(J862="已結案",0,(使用說明!$B$7-B862)*24)</f>
        <v>85.21666666661622</v>
      </c>
    </row>
    <row r="863" spans="1:22">
      <c r="A863" s="32" t="s">
        <v>1427</v>
      </c>
      <c r="B863" s="33">
        <v>46201.342361111114</v>
      </c>
      <c r="C863" s="34" t="s">
        <v>1375</v>
      </c>
      <c r="D863" s="34" t="s">
        <v>225</v>
      </c>
      <c r="E863" s="34" t="s">
        <v>211</v>
      </c>
      <c r="F863" s="34" t="s">
        <v>226</v>
      </c>
      <c r="G863" s="34" t="s">
        <v>242</v>
      </c>
      <c r="H863" s="34" t="s">
        <v>325</v>
      </c>
      <c r="I863" s="35" t="str">
        <f>VLOOKUP(H863,人員與團隊!$A$4:$D$27,3,FALSE)</f>
        <v>線上服務</v>
      </c>
      <c r="J863" s="34" t="s">
        <v>275</v>
      </c>
      <c r="K863" s="33">
        <v>46201.435416666667</v>
      </c>
      <c r="L863" s="33"/>
      <c r="M863" s="36">
        <f t="shared" si="65"/>
        <v>133.99999999674037</v>
      </c>
      <c r="N863" s="37" t="str">
        <f t="shared" si="66"/>
        <v/>
      </c>
      <c r="O863" s="36">
        <f>VLOOKUP(G863,SLA標準!$A$4:$C$7,2,FALSE)</f>
        <v>240</v>
      </c>
      <c r="P863" s="37">
        <f>VLOOKUP(G863,SLA標準!$A$4:$C$7,3,FALSE)</f>
        <v>24</v>
      </c>
      <c r="Q863" s="35" t="str">
        <f t="shared" si="67"/>
        <v>逾期</v>
      </c>
      <c r="R863" s="34" t="s">
        <v>47</v>
      </c>
      <c r="S863" s="35" t="str">
        <f t="shared" si="68"/>
        <v>否</v>
      </c>
      <c r="T863" s="36" t="str">
        <f>IFERROR(VLOOKUP(A863,滿意度調查!$B$4:$D$570,3,FALSE),"")</f>
        <v/>
      </c>
      <c r="U863" s="35" t="str">
        <f t="shared" si="69"/>
        <v>2026-06</v>
      </c>
      <c r="V863" s="38">
        <f>IF(J863="已結案",0,(使用說明!$B$7-B863)*24)</f>
        <v>72.783333333267365</v>
      </c>
    </row>
    <row r="864" spans="1:22">
      <c r="A864" s="32" t="s">
        <v>1428</v>
      </c>
      <c r="B864" s="33">
        <v>46201.368055555555</v>
      </c>
      <c r="C864" s="34" t="s">
        <v>1429</v>
      </c>
      <c r="D864" s="34" t="s">
        <v>225</v>
      </c>
      <c r="E864" s="34" t="s">
        <v>211</v>
      </c>
      <c r="F864" s="34" t="s">
        <v>212</v>
      </c>
      <c r="G864" s="34" t="s">
        <v>221</v>
      </c>
      <c r="H864" s="34" t="s">
        <v>372</v>
      </c>
      <c r="I864" s="35" t="str">
        <f>VLOOKUP(H864,人員與團隊!$A$4:$D$27,3,FALSE)</f>
        <v>南區服務</v>
      </c>
      <c r="J864" s="34" t="s">
        <v>356</v>
      </c>
      <c r="K864" s="33">
        <v>46201.4</v>
      </c>
      <c r="L864" s="33"/>
      <c r="M864" s="36">
        <f t="shared" si="65"/>
        <v>46.000000003259629</v>
      </c>
      <c r="N864" s="37" t="str">
        <f t="shared" si="66"/>
        <v/>
      </c>
      <c r="O864" s="36">
        <f>VLOOKUP(G864,SLA標準!$A$4:$C$7,2,FALSE)</f>
        <v>60</v>
      </c>
      <c r="P864" s="37">
        <f>VLOOKUP(G864,SLA標準!$A$4:$C$7,3,FALSE)</f>
        <v>8</v>
      </c>
      <c r="Q864" s="35" t="str">
        <f t="shared" si="67"/>
        <v>逾期</v>
      </c>
      <c r="R864" s="34" t="s">
        <v>47</v>
      </c>
      <c r="S864" s="35" t="str">
        <f t="shared" si="68"/>
        <v>否</v>
      </c>
      <c r="T864" s="36" t="str">
        <f>IFERROR(VLOOKUP(A864,滿意度調查!$B$4:$D$570,3,FALSE),"")</f>
        <v/>
      </c>
      <c r="U864" s="35" t="str">
        <f t="shared" si="69"/>
        <v>2026-06</v>
      </c>
      <c r="V864" s="38">
        <f>IF(J864="已結案",0,(使用說明!$B$7-B864)*24)</f>
        <v>72.166666666686069</v>
      </c>
    </row>
    <row r="865" spans="1:22">
      <c r="A865" s="32" t="s">
        <v>1430</v>
      </c>
      <c r="B865" s="33">
        <v>46201.430555555555</v>
      </c>
      <c r="C865" s="34" t="s">
        <v>947</v>
      </c>
      <c r="D865" s="34" t="s">
        <v>210</v>
      </c>
      <c r="E865" s="34" t="s">
        <v>211</v>
      </c>
      <c r="F865" s="34" t="s">
        <v>334</v>
      </c>
      <c r="G865" s="34" t="s">
        <v>242</v>
      </c>
      <c r="H865" s="34" t="s">
        <v>232</v>
      </c>
      <c r="I865" s="35" t="str">
        <f>VLOOKUP(H865,人員與團隊!$A$4:$D$27,3,FALSE)</f>
        <v>北區服務</v>
      </c>
      <c r="J865" s="34" t="s">
        <v>356</v>
      </c>
      <c r="K865" s="33">
        <v>46201.542361111111</v>
      </c>
      <c r="L865" s="33"/>
      <c r="M865" s="36">
        <f t="shared" si="65"/>
        <v>161.00000000093132</v>
      </c>
      <c r="N865" s="37" t="str">
        <f t="shared" si="66"/>
        <v/>
      </c>
      <c r="O865" s="36">
        <f>VLOOKUP(G865,SLA標準!$A$4:$C$7,2,FALSE)</f>
        <v>240</v>
      </c>
      <c r="P865" s="37">
        <f>VLOOKUP(G865,SLA標準!$A$4:$C$7,3,FALSE)</f>
        <v>24</v>
      </c>
      <c r="Q865" s="35" t="str">
        <f t="shared" si="67"/>
        <v>逾期</v>
      </c>
      <c r="R865" s="34" t="s">
        <v>41</v>
      </c>
      <c r="S865" s="35" t="str">
        <f t="shared" si="68"/>
        <v>否</v>
      </c>
      <c r="T865" s="36" t="str">
        <f>IFERROR(VLOOKUP(A865,滿意度調查!$B$4:$D$570,3,FALSE),"")</f>
        <v/>
      </c>
      <c r="U865" s="35" t="str">
        <f t="shared" si="69"/>
        <v>2026-06</v>
      </c>
      <c r="V865" s="38">
        <f>IF(J865="已結案",0,(使用說明!$B$7-B865)*24)</f>
        <v>70.666666666686069</v>
      </c>
    </row>
    <row r="866" spans="1:22">
      <c r="A866" s="32" t="s">
        <v>1431</v>
      </c>
      <c r="B866" s="33">
        <v>46201.435416666667</v>
      </c>
      <c r="C866" s="34" t="s">
        <v>664</v>
      </c>
      <c r="D866" s="34" t="s">
        <v>210</v>
      </c>
      <c r="E866" s="34" t="s">
        <v>235</v>
      </c>
      <c r="F866" s="34" t="s">
        <v>236</v>
      </c>
      <c r="G866" s="34" t="s">
        <v>213</v>
      </c>
      <c r="H866" s="34" t="s">
        <v>328</v>
      </c>
      <c r="I866" s="35" t="str">
        <f>VLOOKUP(H866,人員與團隊!$A$4:$D$27,3,FALSE)</f>
        <v>北區服務</v>
      </c>
      <c r="J866" s="34" t="s">
        <v>215</v>
      </c>
      <c r="K866" s="33">
        <v>46201.675694444442</v>
      </c>
      <c r="L866" s="33">
        <v>46202.207828368053</v>
      </c>
      <c r="M866" s="36">
        <f t="shared" si="65"/>
        <v>345.99999999627471</v>
      </c>
      <c r="N866" s="37">
        <f t="shared" si="66"/>
        <v>18.537880833260715</v>
      </c>
      <c r="O866" s="36">
        <f>VLOOKUP(G866,SLA標準!$A$4:$C$7,2,FALSE)</f>
        <v>480</v>
      </c>
      <c r="P866" s="37">
        <f>VLOOKUP(G866,SLA標準!$A$4:$C$7,3,FALSE)</f>
        <v>48</v>
      </c>
      <c r="Q866" s="35" t="str">
        <f t="shared" si="67"/>
        <v>達標</v>
      </c>
      <c r="R866" s="34" t="s">
        <v>47</v>
      </c>
      <c r="S866" s="35" t="str">
        <f t="shared" si="68"/>
        <v>否</v>
      </c>
      <c r="T866" s="36" t="str">
        <f>IFERROR(VLOOKUP(A866,滿意度調查!$B$4:$D$570,3,FALSE),"")</f>
        <v/>
      </c>
      <c r="U866" s="35" t="str">
        <f t="shared" si="69"/>
        <v>2026-06</v>
      </c>
      <c r="V866" s="38">
        <f>IF(J866="已結案",0,(使用說明!$B$7-B866)*24)</f>
        <v>0</v>
      </c>
    </row>
    <row r="867" spans="1:22">
      <c r="A867" s="32" t="s">
        <v>1432</v>
      </c>
      <c r="B867" s="33">
        <v>46201.45</v>
      </c>
      <c r="C867" s="34" t="s">
        <v>1023</v>
      </c>
      <c r="D867" s="34" t="s">
        <v>218</v>
      </c>
      <c r="E867" s="34" t="s">
        <v>211</v>
      </c>
      <c r="F867" s="34" t="s">
        <v>226</v>
      </c>
      <c r="G867" s="34" t="s">
        <v>242</v>
      </c>
      <c r="H867" s="34" t="s">
        <v>340</v>
      </c>
      <c r="I867" s="35" t="str">
        <f>VLOOKUP(H867,人員與團隊!$A$4:$D$27,3,FALSE)</f>
        <v>北區服務</v>
      </c>
      <c r="J867" s="34" t="s">
        <v>356</v>
      </c>
      <c r="K867" s="33">
        <v>46201.684027777781</v>
      </c>
      <c r="L867" s="33"/>
      <c r="M867" s="36">
        <f t="shared" si="65"/>
        <v>337.00000000884756</v>
      </c>
      <c r="N867" s="37" t="str">
        <f t="shared" si="66"/>
        <v/>
      </c>
      <c r="O867" s="36">
        <f>VLOOKUP(G867,SLA標準!$A$4:$C$7,2,FALSE)</f>
        <v>240</v>
      </c>
      <c r="P867" s="37">
        <f>VLOOKUP(G867,SLA標準!$A$4:$C$7,3,FALSE)</f>
        <v>24</v>
      </c>
      <c r="Q867" s="35" t="str">
        <f t="shared" si="67"/>
        <v>逾期</v>
      </c>
      <c r="R867" s="34" t="s">
        <v>47</v>
      </c>
      <c r="S867" s="35" t="str">
        <f t="shared" si="68"/>
        <v>否</v>
      </c>
      <c r="T867" s="36" t="str">
        <f>IFERROR(VLOOKUP(A867,滿意度調查!$B$4:$D$570,3,FALSE),"")</f>
        <v/>
      </c>
      <c r="U867" s="35" t="str">
        <f t="shared" si="69"/>
        <v>2026-06</v>
      </c>
      <c r="V867" s="38">
        <f>IF(J867="已結案",0,(使用說明!$B$7-B867)*24)</f>
        <v>70.200000000069849</v>
      </c>
    </row>
    <row r="868" spans="1:22">
      <c r="A868" s="32" t="s">
        <v>1433</v>
      </c>
      <c r="B868" s="33">
        <v>46201.468055555553</v>
      </c>
      <c r="C868" s="34" t="s">
        <v>500</v>
      </c>
      <c r="D868" s="34" t="s">
        <v>225</v>
      </c>
      <c r="E868" s="34" t="s">
        <v>245</v>
      </c>
      <c r="F868" s="34" t="s">
        <v>246</v>
      </c>
      <c r="G868" s="34" t="s">
        <v>242</v>
      </c>
      <c r="H868" s="34" t="s">
        <v>372</v>
      </c>
      <c r="I868" s="35" t="str">
        <f>VLOOKUP(H868,人員與團隊!$A$4:$D$27,3,FALSE)</f>
        <v>南區服務</v>
      </c>
      <c r="J868" s="34" t="s">
        <v>215</v>
      </c>
      <c r="K868" s="33">
        <v>46201.57708333333</v>
      </c>
      <c r="L868" s="33">
        <v>46202.111048680556</v>
      </c>
      <c r="M868" s="36">
        <f t="shared" si="65"/>
        <v>156.99999999837019</v>
      </c>
      <c r="N868" s="37">
        <f t="shared" si="66"/>
        <v>15.431835000053979</v>
      </c>
      <c r="O868" s="36">
        <f>VLOOKUP(G868,SLA標準!$A$4:$C$7,2,FALSE)</f>
        <v>240</v>
      </c>
      <c r="P868" s="37">
        <f>VLOOKUP(G868,SLA標準!$A$4:$C$7,3,FALSE)</f>
        <v>24</v>
      </c>
      <c r="Q868" s="35" t="str">
        <f t="shared" si="67"/>
        <v>達標</v>
      </c>
      <c r="R868" s="34" t="s">
        <v>47</v>
      </c>
      <c r="S868" s="35" t="str">
        <f t="shared" si="68"/>
        <v>否</v>
      </c>
      <c r="T868" s="36" t="str">
        <f>IFERROR(VLOOKUP(A868,滿意度調查!$B$4:$D$570,3,FALSE),"")</f>
        <v/>
      </c>
      <c r="U868" s="35" t="str">
        <f t="shared" si="69"/>
        <v>2026-06</v>
      </c>
      <c r="V868" s="38">
        <f>IF(J868="已結案",0,(使用說明!$B$7-B868)*24)</f>
        <v>0</v>
      </c>
    </row>
    <row r="869" spans="1:22">
      <c r="A869" s="32" t="s">
        <v>1434</v>
      </c>
      <c r="B869" s="33">
        <v>46201.49722222222</v>
      </c>
      <c r="C869" s="34" t="s">
        <v>678</v>
      </c>
      <c r="D869" s="34" t="s">
        <v>210</v>
      </c>
      <c r="E869" s="34" t="s">
        <v>211</v>
      </c>
      <c r="F869" s="34" t="s">
        <v>334</v>
      </c>
      <c r="G869" s="34" t="s">
        <v>242</v>
      </c>
      <c r="H869" s="34" t="s">
        <v>381</v>
      </c>
      <c r="I869" s="35" t="str">
        <f>VLOOKUP(H869,人員與團隊!$A$4:$D$27,3,FALSE)</f>
        <v>線上服務</v>
      </c>
      <c r="J869" s="34" t="s">
        <v>356</v>
      </c>
      <c r="K869" s="33">
        <v>46201.594444444447</v>
      </c>
      <c r="L869" s="33"/>
      <c r="M869" s="36">
        <f t="shared" si="65"/>
        <v>140.00000000582077</v>
      </c>
      <c r="N869" s="37" t="str">
        <f t="shared" si="66"/>
        <v/>
      </c>
      <c r="O869" s="36">
        <f>VLOOKUP(G869,SLA標準!$A$4:$C$7,2,FALSE)</f>
        <v>240</v>
      </c>
      <c r="P869" s="37">
        <f>VLOOKUP(G869,SLA標準!$A$4:$C$7,3,FALSE)</f>
        <v>24</v>
      </c>
      <c r="Q869" s="35" t="str">
        <f t="shared" si="67"/>
        <v>逾期</v>
      </c>
      <c r="R869" s="34" t="s">
        <v>47</v>
      </c>
      <c r="S869" s="35" t="str">
        <f t="shared" si="68"/>
        <v>否</v>
      </c>
      <c r="T869" s="36" t="str">
        <f>IFERROR(VLOOKUP(A869,滿意度調查!$B$4:$D$570,3,FALSE),"")</f>
        <v/>
      </c>
      <c r="U869" s="35" t="str">
        <f t="shared" si="69"/>
        <v>2026-06</v>
      </c>
      <c r="V869" s="38">
        <f>IF(J869="已結案",0,(使用說明!$B$7-B869)*24)</f>
        <v>69.066666666709352</v>
      </c>
    </row>
    <row r="870" spans="1:22">
      <c r="A870" s="32" t="s">
        <v>1435</v>
      </c>
      <c r="B870" s="33">
        <v>46201.541666666664</v>
      </c>
      <c r="C870" s="34" t="s">
        <v>552</v>
      </c>
      <c r="D870" s="34" t="s">
        <v>218</v>
      </c>
      <c r="E870" s="34" t="s">
        <v>211</v>
      </c>
      <c r="F870" s="34" t="s">
        <v>226</v>
      </c>
      <c r="G870" s="34" t="s">
        <v>242</v>
      </c>
      <c r="H870" s="34" t="s">
        <v>250</v>
      </c>
      <c r="I870" s="35" t="str">
        <f>VLOOKUP(H870,人員與團隊!$A$4:$D$27,3,FALSE)</f>
        <v>南區服務</v>
      </c>
      <c r="J870" s="34" t="s">
        <v>215</v>
      </c>
      <c r="K870" s="33">
        <v>46201.708333333336</v>
      </c>
      <c r="L870" s="33">
        <v>46201.690838946757</v>
      </c>
      <c r="M870" s="36">
        <f t="shared" si="65"/>
        <v>240.00000000698492</v>
      </c>
      <c r="N870" s="37">
        <f t="shared" si="66"/>
        <v>3.580134722229559</v>
      </c>
      <c r="O870" s="36">
        <f>VLOOKUP(G870,SLA標準!$A$4:$C$7,2,FALSE)</f>
        <v>240</v>
      </c>
      <c r="P870" s="37">
        <f>VLOOKUP(G870,SLA標準!$A$4:$C$7,3,FALSE)</f>
        <v>24</v>
      </c>
      <c r="Q870" s="35" t="str">
        <f t="shared" si="67"/>
        <v>逾期</v>
      </c>
      <c r="R870" s="34" t="s">
        <v>47</v>
      </c>
      <c r="S870" s="35" t="str">
        <f t="shared" si="68"/>
        <v>否</v>
      </c>
      <c r="T870" s="36" t="str">
        <f>IFERROR(VLOOKUP(A870,滿意度調查!$B$4:$D$570,3,FALSE),"")</f>
        <v/>
      </c>
      <c r="U870" s="35" t="str">
        <f t="shared" si="69"/>
        <v>2026-06</v>
      </c>
      <c r="V870" s="38">
        <f>IF(J870="已結案",0,(使用說明!$B$7-B870)*24)</f>
        <v>0</v>
      </c>
    </row>
    <row r="871" spans="1:22">
      <c r="A871" s="32" t="s">
        <v>1436</v>
      </c>
      <c r="B871" s="33">
        <v>46201.597916666666</v>
      </c>
      <c r="C871" s="34" t="s">
        <v>1437</v>
      </c>
      <c r="D871" s="34" t="s">
        <v>210</v>
      </c>
      <c r="E871" s="34" t="s">
        <v>235</v>
      </c>
      <c r="F871" s="34" t="s">
        <v>253</v>
      </c>
      <c r="G871" s="34" t="s">
        <v>213</v>
      </c>
      <c r="H871" s="34" t="s">
        <v>305</v>
      </c>
      <c r="I871" s="35" t="str">
        <f>VLOOKUP(H871,人員與團隊!$A$4:$D$27,3,FALSE)</f>
        <v>線上服務</v>
      </c>
      <c r="J871" s="34" t="s">
        <v>275</v>
      </c>
      <c r="K871" s="33">
        <v>46201.681944444441</v>
      </c>
      <c r="L871" s="33"/>
      <c r="M871" s="36">
        <f t="shared" si="65"/>
        <v>120.99999999627471</v>
      </c>
      <c r="N871" s="37" t="str">
        <f t="shared" si="66"/>
        <v/>
      </c>
      <c r="O871" s="36">
        <f>VLOOKUP(G871,SLA標準!$A$4:$C$7,2,FALSE)</f>
        <v>480</v>
      </c>
      <c r="P871" s="37">
        <f>VLOOKUP(G871,SLA標準!$A$4:$C$7,3,FALSE)</f>
        <v>48</v>
      </c>
      <c r="Q871" s="35" t="str">
        <f t="shared" si="67"/>
        <v>逾期</v>
      </c>
      <c r="R871" s="34" t="s">
        <v>47</v>
      </c>
      <c r="S871" s="35" t="str">
        <f t="shared" si="68"/>
        <v>否</v>
      </c>
      <c r="T871" s="36" t="str">
        <f>IFERROR(VLOOKUP(A871,滿意度調查!$B$4:$D$570,3,FALSE),"")</f>
        <v/>
      </c>
      <c r="U871" s="35" t="str">
        <f t="shared" si="69"/>
        <v>2026-06</v>
      </c>
      <c r="V871" s="38">
        <f>IF(J871="已結案",0,(使用說明!$B$7-B871)*24)</f>
        <v>66.650000000023283</v>
      </c>
    </row>
    <row r="872" spans="1:22">
      <c r="A872" s="32" t="s">
        <v>1438</v>
      </c>
      <c r="B872" s="33">
        <v>46201.65347222222</v>
      </c>
      <c r="C872" s="34" t="s">
        <v>510</v>
      </c>
      <c r="D872" s="34" t="s">
        <v>218</v>
      </c>
      <c r="E872" s="34" t="s">
        <v>211</v>
      </c>
      <c r="F872" s="34" t="s">
        <v>331</v>
      </c>
      <c r="G872" s="34" t="s">
        <v>242</v>
      </c>
      <c r="H872" s="34" t="s">
        <v>328</v>
      </c>
      <c r="I872" s="35" t="str">
        <f>VLOOKUP(H872,人員與團隊!$A$4:$D$27,3,FALSE)</f>
        <v>北區服務</v>
      </c>
      <c r="J872" s="34" t="s">
        <v>215</v>
      </c>
      <c r="K872" s="33">
        <v>46201.927083333336</v>
      </c>
      <c r="L872" s="33">
        <v>46202.002860162036</v>
      </c>
      <c r="M872" s="36">
        <f t="shared" si="65"/>
        <v>394.0000000060536</v>
      </c>
      <c r="N872" s="37">
        <f t="shared" si="66"/>
        <v>8.3853105555754155</v>
      </c>
      <c r="O872" s="36">
        <f>VLOOKUP(G872,SLA標準!$A$4:$C$7,2,FALSE)</f>
        <v>240</v>
      </c>
      <c r="P872" s="37">
        <f>VLOOKUP(G872,SLA標準!$A$4:$C$7,3,FALSE)</f>
        <v>24</v>
      </c>
      <c r="Q872" s="35" t="str">
        <f t="shared" si="67"/>
        <v>逾期</v>
      </c>
      <c r="R872" s="34" t="s">
        <v>41</v>
      </c>
      <c r="S872" s="35" t="str">
        <f t="shared" si="68"/>
        <v>是</v>
      </c>
      <c r="T872" s="36">
        <f>IFERROR(VLOOKUP(A872,滿意度調查!$B$4:$D$570,3,FALSE),"")</f>
        <v>3</v>
      </c>
      <c r="U872" s="35" t="str">
        <f t="shared" si="69"/>
        <v>2026-06</v>
      </c>
      <c r="V872" s="38">
        <f>IF(J872="已結案",0,(使用說明!$B$7-B872)*24)</f>
        <v>0</v>
      </c>
    </row>
    <row r="873" spans="1:22">
      <c r="A873" s="32" t="s">
        <v>1439</v>
      </c>
      <c r="B873" s="33">
        <v>46201.670138888891</v>
      </c>
      <c r="C873" s="34" t="s">
        <v>777</v>
      </c>
      <c r="D873" s="34" t="s">
        <v>210</v>
      </c>
      <c r="E873" s="34" t="s">
        <v>265</v>
      </c>
      <c r="F873" s="34" t="s">
        <v>266</v>
      </c>
      <c r="G873" s="34" t="s">
        <v>242</v>
      </c>
      <c r="H873" s="34" t="s">
        <v>279</v>
      </c>
      <c r="I873" s="35" t="str">
        <f>VLOOKUP(H873,人員與團隊!$A$4:$D$27,3,FALSE)</f>
        <v>南區服務</v>
      </c>
      <c r="J873" s="34" t="s">
        <v>215</v>
      </c>
      <c r="K873" s="33">
        <v>46201.704861111109</v>
      </c>
      <c r="L873" s="33">
        <v>46202.843627881943</v>
      </c>
      <c r="M873" s="36">
        <f t="shared" si="65"/>
        <v>49.999999995343387</v>
      </c>
      <c r="N873" s="37">
        <f t="shared" si="66"/>
        <v>28.163735833251849</v>
      </c>
      <c r="O873" s="36">
        <f>VLOOKUP(G873,SLA標準!$A$4:$C$7,2,FALSE)</f>
        <v>240</v>
      </c>
      <c r="P873" s="37">
        <f>VLOOKUP(G873,SLA標準!$A$4:$C$7,3,FALSE)</f>
        <v>24</v>
      </c>
      <c r="Q873" s="35" t="str">
        <f t="shared" si="67"/>
        <v>逾期</v>
      </c>
      <c r="R873" s="34" t="s">
        <v>47</v>
      </c>
      <c r="S873" s="35" t="str">
        <f t="shared" si="68"/>
        <v>否</v>
      </c>
      <c r="T873" s="36" t="str">
        <f>IFERROR(VLOOKUP(A873,滿意度調查!$B$4:$D$570,3,FALSE),"")</f>
        <v/>
      </c>
      <c r="U873" s="35" t="str">
        <f t="shared" si="69"/>
        <v>2026-06</v>
      </c>
      <c r="V873" s="38">
        <f>IF(J873="已結案",0,(使用說明!$B$7-B873)*24)</f>
        <v>0</v>
      </c>
    </row>
    <row r="874" spans="1:22">
      <c r="A874" s="32" t="s">
        <v>1440</v>
      </c>
      <c r="B874" s="33">
        <v>46201.754861111112</v>
      </c>
      <c r="C874" s="34" t="s">
        <v>961</v>
      </c>
      <c r="D874" s="34" t="s">
        <v>225</v>
      </c>
      <c r="E874" s="34" t="s">
        <v>211</v>
      </c>
      <c r="F874" s="34" t="s">
        <v>334</v>
      </c>
      <c r="G874" s="34" t="s">
        <v>242</v>
      </c>
      <c r="H874" s="34" t="s">
        <v>372</v>
      </c>
      <c r="I874" s="35" t="str">
        <f>VLOOKUP(H874,人員與團隊!$A$4:$D$27,3,FALSE)</f>
        <v>南區服務</v>
      </c>
      <c r="J874" s="34" t="s">
        <v>215</v>
      </c>
      <c r="K874" s="33">
        <v>46201.880555555559</v>
      </c>
      <c r="L874" s="33">
        <v>46201.892201099537</v>
      </c>
      <c r="M874" s="36">
        <f t="shared" si="65"/>
        <v>181.00000000325963</v>
      </c>
      <c r="N874" s="37">
        <f t="shared" si="66"/>
        <v>3.2961597222019918</v>
      </c>
      <c r="O874" s="36">
        <f>VLOOKUP(G874,SLA標準!$A$4:$C$7,2,FALSE)</f>
        <v>240</v>
      </c>
      <c r="P874" s="37">
        <f>VLOOKUP(G874,SLA標準!$A$4:$C$7,3,FALSE)</f>
        <v>24</v>
      </c>
      <c r="Q874" s="35" t="str">
        <f t="shared" si="67"/>
        <v>達標</v>
      </c>
      <c r="R874" s="34" t="s">
        <v>47</v>
      </c>
      <c r="S874" s="35" t="str">
        <f t="shared" si="68"/>
        <v>是</v>
      </c>
      <c r="T874" s="36">
        <f>IFERROR(VLOOKUP(A874,滿意度調查!$B$4:$D$570,3,FALSE),"")</f>
        <v>5</v>
      </c>
      <c r="U874" s="35" t="str">
        <f t="shared" si="69"/>
        <v>2026-06</v>
      </c>
      <c r="V874" s="38">
        <f>IF(J874="已結案",0,(使用說明!$B$7-B874)*24)</f>
        <v>0</v>
      </c>
    </row>
    <row r="875" spans="1:22">
      <c r="A875" s="32" t="s">
        <v>1441</v>
      </c>
      <c r="B875" s="33">
        <v>46201.863194444442</v>
      </c>
      <c r="C875" s="34" t="s">
        <v>930</v>
      </c>
      <c r="D875" s="34" t="s">
        <v>240</v>
      </c>
      <c r="E875" s="34" t="s">
        <v>265</v>
      </c>
      <c r="F875" s="34" t="s">
        <v>304</v>
      </c>
      <c r="G875" s="34" t="s">
        <v>242</v>
      </c>
      <c r="H875" s="34" t="s">
        <v>237</v>
      </c>
      <c r="I875" s="35" t="str">
        <f>VLOOKUP(H875,人員與團隊!$A$4:$D$27,3,FALSE)</f>
        <v>北區服務</v>
      </c>
      <c r="J875" s="34" t="s">
        <v>275</v>
      </c>
      <c r="K875" s="33">
        <v>46202.115972222222</v>
      </c>
      <c r="L875" s="33"/>
      <c r="M875" s="36">
        <f t="shared" si="65"/>
        <v>364.00000000256114</v>
      </c>
      <c r="N875" s="37" t="str">
        <f t="shared" si="66"/>
        <v/>
      </c>
      <c r="O875" s="36">
        <f>VLOOKUP(G875,SLA標準!$A$4:$C$7,2,FALSE)</f>
        <v>240</v>
      </c>
      <c r="P875" s="37">
        <f>VLOOKUP(G875,SLA標準!$A$4:$C$7,3,FALSE)</f>
        <v>24</v>
      </c>
      <c r="Q875" s="35" t="str">
        <f t="shared" si="67"/>
        <v>逾期</v>
      </c>
      <c r="R875" s="34" t="s">
        <v>47</v>
      </c>
      <c r="S875" s="35" t="str">
        <f t="shared" si="68"/>
        <v>否</v>
      </c>
      <c r="T875" s="36" t="str">
        <f>IFERROR(VLOOKUP(A875,滿意度調查!$B$4:$D$570,3,FALSE),"")</f>
        <v/>
      </c>
      <c r="U875" s="35" t="str">
        <f t="shared" si="69"/>
        <v>2026-06</v>
      </c>
      <c r="V875" s="38">
        <f>IF(J875="已結案",0,(使用說明!$B$7-B875)*24)</f>
        <v>60.28333333338378</v>
      </c>
    </row>
    <row r="876" spans="1:22">
      <c r="A876" s="32" t="s">
        <v>1442</v>
      </c>
      <c r="B876" s="33">
        <v>46202.334027777775</v>
      </c>
      <c r="C876" s="34" t="s">
        <v>672</v>
      </c>
      <c r="D876" s="34" t="s">
        <v>225</v>
      </c>
      <c r="E876" s="34" t="s">
        <v>235</v>
      </c>
      <c r="F876" s="34" t="s">
        <v>236</v>
      </c>
      <c r="G876" s="34" t="s">
        <v>242</v>
      </c>
      <c r="H876" s="34" t="s">
        <v>279</v>
      </c>
      <c r="I876" s="35" t="str">
        <f>VLOOKUP(H876,人員與團隊!$A$4:$D$27,3,FALSE)</f>
        <v>南區服務</v>
      </c>
      <c r="J876" s="34" t="s">
        <v>215</v>
      </c>
      <c r="K876" s="33">
        <v>46202.379861111112</v>
      </c>
      <c r="L876" s="33">
        <v>46202.724982928237</v>
      </c>
      <c r="M876" s="36">
        <f t="shared" si="65"/>
        <v>66.000000005587935</v>
      </c>
      <c r="N876" s="37">
        <f t="shared" si="66"/>
        <v>9.3829236110905185</v>
      </c>
      <c r="O876" s="36">
        <f>VLOOKUP(G876,SLA標準!$A$4:$C$7,2,FALSE)</f>
        <v>240</v>
      </c>
      <c r="P876" s="37">
        <f>VLOOKUP(G876,SLA標準!$A$4:$C$7,3,FALSE)</f>
        <v>24</v>
      </c>
      <c r="Q876" s="35" t="str">
        <f t="shared" si="67"/>
        <v>達標</v>
      </c>
      <c r="R876" s="34" t="s">
        <v>47</v>
      </c>
      <c r="S876" s="35" t="str">
        <f t="shared" si="68"/>
        <v>否</v>
      </c>
      <c r="T876" s="36" t="str">
        <f>IFERROR(VLOOKUP(A876,滿意度調查!$B$4:$D$570,3,FALSE),"")</f>
        <v/>
      </c>
      <c r="U876" s="35" t="str">
        <f t="shared" si="69"/>
        <v>2026-06</v>
      </c>
      <c r="V876" s="38">
        <f>IF(J876="已結案",0,(使用說明!$B$7-B876)*24)</f>
        <v>0</v>
      </c>
    </row>
    <row r="877" spans="1:22">
      <c r="A877" s="32" t="s">
        <v>1443</v>
      </c>
      <c r="B877" s="33">
        <v>46202.458333333336</v>
      </c>
      <c r="C877" s="34" t="s">
        <v>662</v>
      </c>
      <c r="D877" s="34" t="s">
        <v>210</v>
      </c>
      <c r="E877" s="34" t="s">
        <v>235</v>
      </c>
      <c r="F877" s="34" t="s">
        <v>253</v>
      </c>
      <c r="G877" s="34" t="s">
        <v>350</v>
      </c>
      <c r="H877" s="34" t="s">
        <v>310</v>
      </c>
      <c r="I877" s="35" t="str">
        <f>VLOOKUP(H877,人員與團隊!$A$4:$D$27,3,FALSE)</f>
        <v>線上服務</v>
      </c>
      <c r="J877" s="34" t="s">
        <v>356</v>
      </c>
      <c r="K877" s="33">
        <v>46202.463888888888</v>
      </c>
      <c r="L877" s="33"/>
      <c r="M877" s="36">
        <f t="shared" si="65"/>
        <v>7.9999999946448952</v>
      </c>
      <c r="N877" s="37" t="str">
        <f t="shared" si="66"/>
        <v/>
      </c>
      <c r="O877" s="36">
        <f>VLOOKUP(G877,SLA標準!$A$4:$C$7,2,FALSE)</f>
        <v>30</v>
      </c>
      <c r="P877" s="37">
        <f>VLOOKUP(G877,SLA標準!$A$4:$C$7,3,FALSE)</f>
        <v>4</v>
      </c>
      <c r="Q877" s="35" t="str">
        <f t="shared" si="67"/>
        <v>逾期</v>
      </c>
      <c r="R877" s="34" t="s">
        <v>41</v>
      </c>
      <c r="S877" s="35" t="str">
        <f t="shared" si="68"/>
        <v>否</v>
      </c>
      <c r="T877" s="36" t="str">
        <f>IFERROR(VLOOKUP(A877,滿意度調查!$B$4:$D$570,3,FALSE),"")</f>
        <v/>
      </c>
      <c r="U877" s="35" t="str">
        <f t="shared" si="69"/>
        <v>2026-06</v>
      </c>
      <c r="V877" s="38">
        <f>IF(J877="已結案",0,(使用說明!$B$7-B877)*24)</f>
        <v>45.999999999941792</v>
      </c>
    </row>
    <row r="878" spans="1:22">
      <c r="A878" s="32" t="s">
        <v>1444</v>
      </c>
      <c r="B878" s="33">
        <v>46202.48333333333</v>
      </c>
      <c r="C878" s="34" t="s">
        <v>1328</v>
      </c>
      <c r="D878" s="34" t="s">
        <v>210</v>
      </c>
      <c r="E878" s="34" t="s">
        <v>211</v>
      </c>
      <c r="F878" s="34" t="s">
        <v>334</v>
      </c>
      <c r="G878" s="34" t="s">
        <v>242</v>
      </c>
      <c r="H878" s="34" t="s">
        <v>381</v>
      </c>
      <c r="I878" s="35" t="str">
        <f>VLOOKUP(H878,人員與團隊!$A$4:$D$27,3,FALSE)</f>
        <v>線上服務</v>
      </c>
      <c r="J878" s="34" t="s">
        <v>774</v>
      </c>
      <c r="K878" s="33">
        <v>46202.5625</v>
      </c>
      <c r="L878" s="33"/>
      <c r="M878" s="36">
        <f t="shared" si="65"/>
        <v>114.00000000488944</v>
      </c>
      <c r="N878" s="37" t="str">
        <f t="shared" si="66"/>
        <v/>
      </c>
      <c r="O878" s="36">
        <f>VLOOKUP(G878,SLA標準!$A$4:$C$7,2,FALSE)</f>
        <v>240</v>
      </c>
      <c r="P878" s="37">
        <f>VLOOKUP(G878,SLA標準!$A$4:$C$7,3,FALSE)</f>
        <v>24</v>
      </c>
      <c r="Q878" s="35" t="str">
        <f t="shared" si="67"/>
        <v>逾期</v>
      </c>
      <c r="R878" s="34" t="s">
        <v>41</v>
      </c>
      <c r="S878" s="35" t="str">
        <f t="shared" si="68"/>
        <v>否</v>
      </c>
      <c r="T878" s="36" t="str">
        <f>IFERROR(VLOOKUP(A878,滿意度調查!$B$4:$D$570,3,FALSE),"")</f>
        <v/>
      </c>
      <c r="U878" s="35" t="str">
        <f t="shared" si="69"/>
        <v>2026-06</v>
      </c>
      <c r="V878" s="38">
        <f>IF(J878="已結案",0,(使用說明!$B$7-B878)*24)</f>
        <v>45.400000000081491</v>
      </c>
    </row>
    <row r="879" spans="1:22">
      <c r="A879" s="32" t="s">
        <v>1445</v>
      </c>
      <c r="B879" s="33">
        <v>46202.501388888886</v>
      </c>
      <c r="C879" s="34" t="s">
        <v>1446</v>
      </c>
      <c r="D879" s="34" t="s">
        <v>240</v>
      </c>
      <c r="E879" s="34" t="s">
        <v>265</v>
      </c>
      <c r="F879" s="34" t="s">
        <v>304</v>
      </c>
      <c r="G879" s="34" t="s">
        <v>242</v>
      </c>
      <c r="H879" s="34" t="s">
        <v>340</v>
      </c>
      <c r="I879" s="35" t="str">
        <f>VLOOKUP(H879,人員與團隊!$A$4:$D$27,3,FALSE)</f>
        <v>北區服務</v>
      </c>
      <c r="J879" s="34" t="s">
        <v>356</v>
      </c>
      <c r="K879" s="33">
        <v>46202.625</v>
      </c>
      <c r="L879" s="33"/>
      <c r="M879" s="36">
        <f t="shared" si="65"/>
        <v>178.00000000395812</v>
      </c>
      <c r="N879" s="37" t="str">
        <f t="shared" si="66"/>
        <v/>
      </c>
      <c r="O879" s="36">
        <f>VLOOKUP(G879,SLA標準!$A$4:$C$7,2,FALSE)</f>
        <v>240</v>
      </c>
      <c r="P879" s="37">
        <f>VLOOKUP(G879,SLA標準!$A$4:$C$7,3,FALSE)</f>
        <v>24</v>
      </c>
      <c r="Q879" s="35" t="str">
        <f t="shared" si="67"/>
        <v>逾期</v>
      </c>
      <c r="R879" s="34" t="s">
        <v>47</v>
      </c>
      <c r="S879" s="35" t="str">
        <f t="shared" si="68"/>
        <v>否</v>
      </c>
      <c r="T879" s="36" t="str">
        <f>IFERROR(VLOOKUP(A879,滿意度調查!$B$4:$D$570,3,FALSE),"")</f>
        <v/>
      </c>
      <c r="U879" s="35" t="str">
        <f t="shared" si="69"/>
        <v>2026-06</v>
      </c>
      <c r="V879" s="38">
        <f>IF(J879="已結案",0,(使用說明!$B$7-B879)*24)</f>
        <v>44.966666666732635</v>
      </c>
    </row>
    <row r="880" spans="1:22">
      <c r="A880" s="32" t="s">
        <v>1447</v>
      </c>
      <c r="B880" s="33">
        <v>46202.556250000001</v>
      </c>
      <c r="C880" s="34" t="s">
        <v>378</v>
      </c>
      <c r="D880" s="34" t="s">
        <v>225</v>
      </c>
      <c r="E880" s="34" t="s">
        <v>265</v>
      </c>
      <c r="F880" s="34" t="s">
        <v>304</v>
      </c>
      <c r="G880" s="34" t="s">
        <v>242</v>
      </c>
      <c r="H880" s="34" t="s">
        <v>237</v>
      </c>
      <c r="I880" s="35" t="str">
        <f>VLOOKUP(H880,人員與團隊!$A$4:$D$27,3,FALSE)</f>
        <v>北區服務</v>
      </c>
      <c r="J880" s="34" t="s">
        <v>356</v>
      </c>
      <c r="K880" s="33">
        <v>46202.646527777775</v>
      </c>
      <c r="L880" s="33"/>
      <c r="M880" s="36">
        <f t="shared" si="65"/>
        <v>129.99999999417923</v>
      </c>
      <c r="N880" s="37" t="str">
        <f t="shared" si="66"/>
        <v/>
      </c>
      <c r="O880" s="36">
        <f>VLOOKUP(G880,SLA標準!$A$4:$C$7,2,FALSE)</f>
        <v>240</v>
      </c>
      <c r="P880" s="37">
        <f>VLOOKUP(G880,SLA標準!$A$4:$C$7,3,FALSE)</f>
        <v>24</v>
      </c>
      <c r="Q880" s="35" t="str">
        <f t="shared" si="67"/>
        <v>逾期</v>
      </c>
      <c r="R880" s="34" t="s">
        <v>47</v>
      </c>
      <c r="S880" s="35" t="str">
        <f t="shared" si="68"/>
        <v>否</v>
      </c>
      <c r="T880" s="36" t="str">
        <f>IFERROR(VLOOKUP(A880,滿意度調查!$B$4:$D$570,3,FALSE),"")</f>
        <v/>
      </c>
      <c r="U880" s="35" t="str">
        <f t="shared" si="69"/>
        <v>2026-06</v>
      </c>
      <c r="V880" s="38">
        <f>IF(J880="已結案",0,(使用說明!$B$7-B880)*24)</f>
        <v>43.649999999965075</v>
      </c>
    </row>
    <row r="881" spans="1:22">
      <c r="A881" s="32" t="s">
        <v>1448</v>
      </c>
      <c r="B881" s="33">
        <v>46202.574305555558</v>
      </c>
      <c r="C881" s="34" t="s">
        <v>966</v>
      </c>
      <c r="D881" s="34" t="s">
        <v>225</v>
      </c>
      <c r="E881" s="34" t="s">
        <v>235</v>
      </c>
      <c r="F881" s="34" t="s">
        <v>236</v>
      </c>
      <c r="G881" s="34" t="s">
        <v>242</v>
      </c>
      <c r="H881" s="34" t="s">
        <v>214</v>
      </c>
      <c r="I881" s="35" t="str">
        <f>VLOOKUP(H881,人員與團隊!$A$4:$D$27,3,FALSE)</f>
        <v>北區服務</v>
      </c>
      <c r="J881" s="34" t="s">
        <v>215</v>
      </c>
      <c r="K881" s="33">
        <v>46202.722222222219</v>
      </c>
      <c r="L881" s="33">
        <v>46203.539076805559</v>
      </c>
      <c r="M881" s="36">
        <f t="shared" si="65"/>
        <v>212.99999999231659</v>
      </c>
      <c r="N881" s="37">
        <f t="shared" si="66"/>
        <v>23.154510000022128</v>
      </c>
      <c r="O881" s="36">
        <f>VLOOKUP(G881,SLA標準!$A$4:$C$7,2,FALSE)</f>
        <v>240</v>
      </c>
      <c r="P881" s="37">
        <f>VLOOKUP(G881,SLA標準!$A$4:$C$7,3,FALSE)</f>
        <v>24</v>
      </c>
      <c r="Q881" s="35" t="str">
        <f t="shared" si="67"/>
        <v>達標</v>
      </c>
      <c r="R881" s="34" t="s">
        <v>47</v>
      </c>
      <c r="S881" s="35" t="str">
        <f t="shared" si="68"/>
        <v>否</v>
      </c>
      <c r="T881" s="36" t="str">
        <f>IFERROR(VLOOKUP(A881,滿意度調查!$B$4:$D$570,3,FALSE),"")</f>
        <v/>
      </c>
      <c r="U881" s="35" t="str">
        <f t="shared" si="69"/>
        <v>2026-06</v>
      </c>
      <c r="V881" s="38">
        <f>IF(J881="已結案",0,(使用說明!$B$7-B881)*24)</f>
        <v>0</v>
      </c>
    </row>
    <row r="882" spans="1:22">
      <c r="A882" s="32" t="s">
        <v>1449</v>
      </c>
      <c r="B882" s="33">
        <v>46202.611805555556</v>
      </c>
      <c r="C882" s="34" t="s">
        <v>976</v>
      </c>
      <c r="D882" s="34" t="s">
        <v>218</v>
      </c>
      <c r="E882" s="34" t="s">
        <v>211</v>
      </c>
      <c r="F882" s="34" t="s">
        <v>226</v>
      </c>
      <c r="G882" s="34" t="s">
        <v>242</v>
      </c>
      <c r="H882" s="34" t="s">
        <v>262</v>
      </c>
      <c r="I882" s="35" t="str">
        <f>VLOOKUP(H882,人員與團隊!$A$4:$D$27,3,FALSE)</f>
        <v>南區服務</v>
      </c>
      <c r="J882" s="34" t="s">
        <v>215</v>
      </c>
      <c r="K882" s="33">
        <v>46202.786111111112</v>
      </c>
      <c r="L882" s="33">
        <v>46202.885253726854</v>
      </c>
      <c r="M882" s="36">
        <f t="shared" si="65"/>
        <v>251.00000000093132</v>
      </c>
      <c r="N882" s="37">
        <f t="shared" si="66"/>
        <v>6.5627561111468822</v>
      </c>
      <c r="O882" s="36">
        <f>VLOOKUP(G882,SLA標準!$A$4:$C$7,2,FALSE)</f>
        <v>240</v>
      </c>
      <c r="P882" s="37">
        <f>VLOOKUP(G882,SLA標準!$A$4:$C$7,3,FALSE)</f>
        <v>24</v>
      </c>
      <c r="Q882" s="35" t="str">
        <f t="shared" si="67"/>
        <v>逾期</v>
      </c>
      <c r="R882" s="34" t="s">
        <v>47</v>
      </c>
      <c r="S882" s="35" t="str">
        <f t="shared" si="68"/>
        <v>否</v>
      </c>
      <c r="T882" s="36" t="str">
        <f>IFERROR(VLOOKUP(A882,滿意度調查!$B$4:$D$570,3,FALSE),"")</f>
        <v/>
      </c>
      <c r="U882" s="35" t="str">
        <f t="shared" si="69"/>
        <v>2026-06</v>
      </c>
      <c r="V882" s="38">
        <f>IF(J882="已結案",0,(使用說明!$B$7-B882)*24)</f>
        <v>0</v>
      </c>
    </row>
    <row r="883" spans="1:22">
      <c r="A883" s="32" t="s">
        <v>1450</v>
      </c>
      <c r="B883" s="33">
        <v>46202.636805555558</v>
      </c>
      <c r="C883" s="34" t="s">
        <v>1220</v>
      </c>
      <c r="D883" s="34" t="s">
        <v>218</v>
      </c>
      <c r="E883" s="34" t="s">
        <v>211</v>
      </c>
      <c r="F883" s="34" t="s">
        <v>334</v>
      </c>
      <c r="G883" s="34" t="s">
        <v>242</v>
      </c>
      <c r="H883" s="34" t="s">
        <v>237</v>
      </c>
      <c r="I883" s="35" t="str">
        <f>VLOOKUP(H883,人員與團隊!$A$4:$D$27,3,FALSE)</f>
        <v>北區服務</v>
      </c>
      <c r="J883" s="34" t="s">
        <v>356</v>
      </c>
      <c r="K883" s="33">
        <v>46202.865277777775</v>
      </c>
      <c r="L883" s="33"/>
      <c r="M883" s="36">
        <f t="shared" si="65"/>
        <v>328.99999999324791</v>
      </c>
      <c r="N883" s="37" t="str">
        <f t="shared" si="66"/>
        <v/>
      </c>
      <c r="O883" s="36">
        <f>VLOOKUP(G883,SLA標準!$A$4:$C$7,2,FALSE)</f>
        <v>240</v>
      </c>
      <c r="P883" s="37">
        <f>VLOOKUP(G883,SLA標準!$A$4:$C$7,3,FALSE)</f>
        <v>24</v>
      </c>
      <c r="Q883" s="35" t="str">
        <f t="shared" si="67"/>
        <v>逾期</v>
      </c>
      <c r="R883" s="34" t="s">
        <v>47</v>
      </c>
      <c r="S883" s="35" t="str">
        <f t="shared" si="68"/>
        <v>否</v>
      </c>
      <c r="T883" s="36" t="str">
        <f>IFERROR(VLOOKUP(A883,滿意度調查!$B$4:$D$570,3,FALSE),"")</f>
        <v/>
      </c>
      <c r="U883" s="35" t="str">
        <f t="shared" si="69"/>
        <v>2026-06</v>
      </c>
      <c r="V883" s="38">
        <f>IF(J883="已結案",0,(使用說明!$B$7-B883)*24)</f>
        <v>41.71666666661622</v>
      </c>
    </row>
    <row r="884" spans="1:22">
      <c r="A884" s="32" t="s">
        <v>1451</v>
      </c>
      <c r="B884" s="33">
        <v>46202.646527777775</v>
      </c>
      <c r="C884" s="34" t="s">
        <v>935</v>
      </c>
      <c r="D884" s="34" t="s">
        <v>210</v>
      </c>
      <c r="E884" s="34" t="s">
        <v>265</v>
      </c>
      <c r="F884" s="34" t="s">
        <v>304</v>
      </c>
      <c r="G884" s="34" t="s">
        <v>242</v>
      </c>
      <c r="H884" s="34" t="s">
        <v>262</v>
      </c>
      <c r="I884" s="35" t="str">
        <f>VLOOKUP(H884,人員與團隊!$A$4:$D$27,3,FALSE)</f>
        <v>南區服務</v>
      </c>
      <c r="J884" s="34" t="s">
        <v>215</v>
      </c>
      <c r="K884" s="33">
        <v>46202.729861111111</v>
      </c>
      <c r="L884" s="33">
        <v>46203.155469502315</v>
      </c>
      <c r="M884" s="36">
        <f t="shared" si="65"/>
        <v>120.00000000349246</v>
      </c>
      <c r="N884" s="37">
        <f t="shared" si="66"/>
        <v>12.214601388957817</v>
      </c>
      <c r="O884" s="36">
        <f>VLOOKUP(G884,SLA標準!$A$4:$C$7,2,FALSE)</f>
        <v>240</v>
      </c>
      <c r="P884" s="37">
        <f>VLOOKUP(G884,SLA標準!$A$4:$C$7,3,FALSE)</f>
        <v>24</v>
      </c>
      <c r="Q884" s="35" t="str">
        <f t="shared" si="67"/>
        <v>達標</v>
      </c>
      <c r="R884" s="34" t="s">
        <v>41</v>
      </c>
      <c r="S884" s="35" t="str">
        <f t="shared" si="68"/>
        <v>否</v>
      </c>
      <c r="T884" s="36" t="str">
        <f>IFERROR(VLOOKUP(A884,滿意度調查!$B$4:$D$570,3,FALSE),"")</f>
        <v/>
      </c>
      <c r="U884" s="35" t="str">
        <f t="shared" si="69"/>
        <v>2026-06</v>
      </c>
      <c r="V884" s="38">
        <f>IF(J884="已結案",0,(使用說明!$B$7-B884)*24)</f>
        <v>0</v>
      </c>
    </row>
    <row r="885" spans="1:22">
      <c r="A885" s="32" t="s">
        <v>1452</v>
      </c>
      <c r="B885" s="33">
        <v>46202.678472222222</v>
      </c>
      <c r="C885" s="34" t="s">
        <v>1220</v>
      </c>
      <c r="D885" s="34" t="s">
        <v>210</v>
      </c>
      <c r="E885" s="34" t="s">
        <v>235</v>
      </c>
      <c r="F885" s="34" t="s">
        <v>236</v>
      </c>
      <c r="G885" s="34" t="s">
        <v>221</v>
      </c>
      <c r="H885" s="34" t="s">
        <v>214</v>
      </c>
      <c r="I885" s="35" t="str">
        <f>VLOOKUP(H885,人員與團隊!$A$4:$D$27,3,FALSE)</f>
        <v>北區服務</v>
      </c>
      <c r="J885" s="34" t="s">
        <v>215</v>
      </c>
      <c r="K885" s="33">
        <v>46202.70208333333</v>
      </c>
      <c r="L885" s="33">
        <v>46203.436318414351</v>
      </c>
      <c r="M885" s="36">
        <f t="shared" si="65"/>
        <v>33.999999995576218</v>
      </c>
      <c r="N885" s="37">
        <f t="shared" si="66"/>
        <v>18.188308611104731</v>
      </c>
      <c r="O885" s="36">
        <f>VLOOKUP(G885,SLA標準!$A$4:$C$7,2,FALSE)</f>
        <v>60</v>
      </c>
      <c r="P885" s="37">
        <f>VLOOKUP(G885,SLA標準!$A$4:$C$7,3,FALSE)</f>
        <v>8</v>
      </c>
      <c r="Q885" s="35" t="str">
        <f t="shared" si="67"/>
        <v>逾期</v>
      </c>
      <c r="R885" s="34" t="s">
        <v>47</v>
      </c>
      <c r="S885" s="35" t="str">
        <f t="shared" si="68"/>
        <v>否</v>
      </c>
      <c r="T885" s="36" t="str">
        <f>IFERROR(VLOOKUP(A885,滿意度調查!$B$4:$D$570,3,FALSE),"")</f>
        <v/>
      </c>
      <c r="U885" s="35" t="str">
        <f t="shared" si="69"/>
        <v>2026-06</v>
      </c>
      <c r="V885" s="38">
        <f>IF(J885="已結案",0,(使用說明!$B$7-B885)*24)</f>
        <v>0</v>
      </c>
    </row>
    <row r="886" spans="1:22">
      <c r="A886" s="32" t="s">
        <v>1453</v>
      </c>
      <c r="B886" s="33">
        <v>46202.714583333334</v>
      </c>
      <c r="C886" s="34" t="s">
        <v>620</v>
      </c>
      <c r="D886" s="34" t="s">
        <v>225</v>
      </c>
      <c r="E886" s="34" t="s">
        <v>265</v>
      </c>
      <c r="F886" s="34" t="s">
        <v>301</v>
      </c>
      <c r="G886" s="34" t="s">
        <v>242</v>
      </c>
      <c r="H886" s="34" t="s">
        <v>361</v>
      </c>
      <c r="I886" s="35" t="str">
        <f>VLOOKUP(H886,人員與團隊!$A$4:$D$27,3,FALSE)</f>
        <v>南區服務</v>
      </c>
      <c r="J886" s="34" t="s">
        <v>356</v>
      </c>
      <c r="K886" s="33">
        <v>46202.804861111108</v>
      </c>
      <c r="L886" s="33"/>
      <c r="M886" s="36">
        <f t="shared" si="65"/>
        <v>129.99999999417923</v>
      </c>
      <c r="N886" s="37" t="str">
        <f t="shared" si="66"/>
        <v/>
      </c>
      <c r="O886" s="36">
        <f>VLOOKUP(G886,SLA標準!$A$4:$C$7,2,FALSE)</f>
        <v>240</v>
      </c>
      <c r="P886" s="37">
        <f>VLOOKUP(G886,SLA標準!$A$4:$C$7,3,FALSE)</f>
        <v>24</v>
      </c>
      <c r="Q886" s="35" t="str">
        <f t="shared" si="67"/>
        <v>逾期</v>
      </c>
      <c r="R886" s="34" t="s">
        <v>47</v>
      </c>
      <c r="S886" s="35" t="str">
        <f t="shared" si="68"/>
        <v>否</v>
      </c>
      <c r="T886" s="36" t="str">
        <f>IFERROR(VLOOKUP(A886,滿意度調查!$B$4:$D$570,3,FALSE),"")</f>
        <v/>
      </c>
      <c r="U886" s="35" t="str">
        <f t="shared" si="69"/>
        <v>2026-06</v>
      </c>
      <c r="V886" s="38">
        <f>IF(J886="已結案",0,(使用說明!$B$7-B886)*24)</f>
        <v>39.849999999976717</v>
      </c>
    </row>
    <row r="887" spans="1:22">
      <c r="A887" s="32" t="s">
        <v>1454</v>
      </c>
      <c r="B887" s="33">
        <v>46202.722222222219</v>
      </c>
      <c r="C887" s="34" t="s">
        <v>924</v>
      </c>
      <c r="D887" s="34" t="s">
        <v>210</v>
      </c>
      <c r="E887" s="34" t="s">
        <v>211</v>
      </c>
      <c r="F887" s="34" t="s">
        <v>331</v>
      </c>
      <c r="G887" s="34" t="s">
        <v>213</v>
      </c>
      <c r="H887" s="34" t="s">
        <v>325</v>
      </c>
      <c r="I887" s="35" t="str">
        <f>VLOOKUP(H887,人員與團隊!$A$4:$D$27,3,FALSE)</f>
        <v>線上服務</v>
      </c>
      <c r="J887" s="34" t="s">
        <v>215</v>
      </c>
      <c r="K887" s="33">
        <v>46202.892361111109</v>
      </c>
      <c r="L887" s="33">
        <v>46202.990685428238</v>
      </c>
      <c r="M887" s="36">
        <f t="shared" si="65"/>
        <v>245.00000000232831</v>
      </c>
      <c r="N887" s="37">
        <f t="shared" si="66"/>
        <v>6.44311694445787</v>
      </c>
      <c r="O887" s="36">
        <f>VLOOKUP(G887,SLA標準!$A$4:$C$7,2,FALSE)</f>
        <v>480</v>
      </c>
      <c r="P887" s="37">
        <f>VLOOKUP(G887,SLA標準!$A$4:$C$7,3,FALSE)</f>
        <v>48</v>
      </c>
      <c r="Q887" s="35" t="str">
        <f t="shared" si="67"/>
        <v>達標</v>
      </c>
      <c r="R887" s="34" t="s">
        <v>47</v>
      </c>
      <c r="S887" s="35" t="str">
        <f t="shared" si="68"/>
        <v>否</v>
      </c>
      <c r="T887" s="36" t="str">
        <f>IFERROR(VLOOKUP(A887,滿意度調查!$B$4:$D$570,3,FALSE),"")</f>
        <v/>
      </c>
      <c r="U887" s="35" t="str">
        <f t="shared" si="69"/>
        <v>2026-06</v>
      </c>
      <c r="V887" s="38">
        <f>IF(J887="已結案",0,(使用說明!$B$7-B887)*24)</f>
        <v>0</v>
      </c>
    </row>
    <row r="888" spans="1:22">
      <c r="A888" s="32" t="s">
        <v>1455</v>
      </c>
      <c r="B888" s="33">
        <v>46202.790972222225</v>
      </c>
      <c r="C888" s="34" t="s">
        <v>548</v>
      </c>
      <c r="D888" s="34" t="s">
        <v>210</v>
      </c>
      <c r="E888" s="34" t="s">
        <v>211</v>
      </c>
      <c r="F888" s="34" t="s">
        <v>331</v>
      </c>
      <c r="G888" s="34" t="s">
        <v>242</v>
      </c>
      <c r="H888" s="34" t="s">
        <v>372</v>
      </c>
      <c r="I888" s="35" t="str">
        <f>VLOOKUP(H888,人員與團隊!$A$4:$D$27,3,FALSE)</f>
        <v>南區服務</v>
      </c>
      <c r="J888" s="34" t="s">
        <v>356</v>
      </c>
      <c r="K888" s="33">
        <v>46202.868750000001</v>
      </c>
      <c r="L888" s="33"/>
      <c r="M888" s="36">
        <f t="shared" si="65"/>
        <v>111.99999999837019</v>
      </c>
      <c r="N888" s="37" t="str">
        <f t="shared" si="66"/>
        <v/>
      </c>
      <c r="O888" s="36">
        <f>VLOOKUP(G888,SLA標準!$A$4:$C$7,2,FALSE)</f>
        <v>240</v>
      </c>
      <c r="P888" s="37">
        <f>VLOOKUP(G888,SLA標準!$A$4:$C$7,3,FALSE)</f>
        <v>24</v>
      </c>
      <c r="Q888" s="35" t="str">
        <f t="shared" si="67"/>
        <v>逾期</v>
      </c>
      <c r="R888" s="34" t="s">
        <v>47</v>
      </c>
      <c r="S888" s="35" t="str">
        <f t="shared" si="68"/>
        <v>否</v>
      </c>
      <c r="T888" s="36" t="str">
        <f>IFERROR(VLOOKUP(A888,滿意度調查!$B$4:$D$570,3,FALSE),"")</f>
        <v/>
      </c>
      <c r="U888" s="35" t="str">
        <f t="shared" si="69"/>
        <v>2026-06</v>
      </c>
      <c r="V888" s="38">
        <f>IF(J888="已結案",0,(使用說明!$B$7-B888)*24)</f>
        <v>38.016666666604578</v>
      </c>
    </row>
    <row r="889" spans="1:22">
      <c r="A889" s="32" t="s">
        <v>1456</v>
      </c>
      <c r="B889" s="33">
        <v>46203.379166666666</v>
      </c>
      <c r="C889" s="34" t="s">
        <v>610</v>
      </c>
      <c r="D889" s="34" t="s">
        <v>240</v>
      </c>
      <c r="E889" s="34" t="s">
        <v>265</v>
      </c>
      <c r="F889" s="34" t="s">
        <v>266</v>
      </c>
      <c r="G889" s="34" t="s">
        <v>242</v>
      </c>
      <c r="H889" s="34" t="s">
        <v>408</v>
      </c>
      <c r="I889" s="35" t="str">
        <f>VLOOKUP(H889,人員與團隊!$A$4:$D$27,3,FALSE)</f>
        <v>線上服務</v>
      </c>
      <c r="J889" s="34" t="s">
        <v>356</v>
      </c>
      <c r="K889" s="33">
        <v>46203.611805555556</v>
      </c>
      <c r="L889" s="33"/>
      <c r="M889" s="36">
        <f t="shared" si="65"/>
        <v>335.00000000232831</v>
      </c>
      <c r="N889" s="37" t="str">
        <f t="shared" si="66"/>
        <v/>
      </c>
      <c r="O889" s="36">
        <f>VLOOKUP(G889,SLA標準!$A$4:$C$7,2,FALSE)</f>
        <v>240</v>
      </c>
      <c r="P889" s="37">
        <f>VLOOKUP(G889,SLA標準!$A$4:$C$7,3,FALSE)</f>
        <v>24</v>
      </c>
      <c r="Q889" s="35" t="str">
        <f t="shared" si="67"/>
        <v>逾期</v>
      </c>
      <c r="R889" s="34" t="s">
        <v>47</v>
      </c>
      <c r="S889" s="35" t="str">
        <f t="shared" si="68"/>
        <v>否</v>
      </c>
      <c r="T889" s="36" t="str">
        <f>IFERROR(VLOOKUP(A889,滿意度調查!$B$4:$D$570,3,FALSE),"")</f>
        <v/>
      </c>
      <c r="U889" s="35" t="str">
        <f t="shared" si="69"/>
        <v>2026-06</v>
      </c>
      <c r="V889" s="38">
        <f>IF(J889="已結案",0,(使用說明!$B$7-B889)*24)</f>
        <v>23.900000000023283</v>
      </c>
    </row>
    <row r="890" spans="1:22">
      <c r="A890" s="32" t="s">
        <v>1457</v>
      </c>
      <c r="B890" s="33">
        <v>46203.429166666669</v>
      </c>
      <c r="C890" s="34" t="s">
        <v>487</v>
      </c>
      <c r="D890" s="34" t="s">
        <v>218</v>
      </c>
      <c r="E890" s="34" t="s">
        <v>245</v>
      </c>
      <c r="F890" s="34" t="s">
        <v>358</v>
      </c>
      <c r="G890" s="34" t="s">
        <v>242</v>
      </c>
      <c r="H890" s="34" t="s">
        <v>237</v>
      </c>
      <c r="I890" s="35" t="str">
        <f>VLOOKUP(H890,人員與團隊!$A$4:$D$27,3,FALSE)</f>
        <v>北區服務</v>
      </c>
      <c r="J890" s="34" t="s">
        <v>774</v>
      </c>
      <c r="K890" s="33">
        <v>46203.786805555559</v>
      </c>
      <c r="L890" s="33"/>
      <c r="M890" s="36">
        <f t="shared" si="65"/>
        <v>515.00000000232831</v>
      </c>
      <c r="N890" s="37" t="str">
        <f t="shared" si="66"/>
        <v/>
      </c>
      <c r="O890" s="36">
        <f>VLOOKUP(G890,SLA標準!$A$4:$C$7,2,FALSE)</f>
        <v>240</v>
      </c>
      <c r="P890" s="37">
        <f>VLOOKUP(G890,SLA標準!$A$4:$C$7,3,FALSE)</f>
        <v>24</v>
      </c>
      <c r="Q890" s="35" t="str">
        <f t="shared" si="67"/>
        <v>逾期</v>
      </c>
      <c r="R890" s="34" t="s">
        <v>41</v>
      </c>
      <c r="S890" s="35" t="str">
        <f t="shared" si="68"/>
        <v>否</v>
      </c>
      <c r="T890" s="36" t="str">
        <f>IFERROR(VLOOKUP(A890,滿意度調查!$B$4:$D$570,3,FALSE),"")</f>
        <v/>
      </c>
      <c r="U890" s="35" t="str">
        <f t="shared" si="69"/>
        <v>2026-06</v>
      </c>
      <c r="V890" s="38">
        <f>IF(J890="已結案",0,(使用說明!$B$7-B890)*24)</f>
        <v>22.699999999953434</v>
      </c>
    </row>
    <row r="891" spans="1:22">
      <c r="A891" s="32" t="s">
        <v>1458</v>
      </c>
      <c r="B891" s="33">
        <v>46203.431944444441</v>
      </c>
      <c r="C891" s="34" t="s">
        <v>1049</v>
      </c>
      <c r="D891" s="34" t="s">
        <v>210</v>
      </c>
      <c r="E891" s="34" t="s">
        <v>265</v>
      </c>
      <c r="F891" s="34" t="s">
        <v>479</v>
      </c>
      <c r="G891" s="34" t="s">
        <v>242</v>
      </c>
      <c r="H891" s="34" t="s">
        <v>325</v>
      </c>
      <c r="I891" s="35" t="str">
        <f>VLOOKUP(H891,人員與團隊!$A$4:$D$27,3,FALSE)</f>
        <v>線上服務</v>
      </c>
      <c r="J891" s="34" t="s">
        <v>275</v>
      </c>
      <c r="K891" s="33">
        <v>46203.530555555553</v>
      </c>
      <c r="L891" s="33"/>
      <c r="M891" s="36">
        <f t="shared" si="65"/>
        <v>142.00000000186265</v>
      </c>
      <c r="N891" s="37" t="str">
        <f t="shared" si="66"/>
        <v/>
      </c>
      <c r="O891" s="36">
        <f>VLOOKUP(G891,SLA標準!$A$4:$C$7,2,FALSE)</f>
        <v>240</v>
      </c>
      <c r="P891" s="37">
        <f>VLOOKUP(G891,SLA標準!$A$4:$C$7,3,FALSE)</f>
        <v>24</v>
      </c>
      <c r="Q891" s="35" t="str">
        <f t="shared" si="67"/>
        <v>進行中</v>
      </c>
      <c r="R891" s="34" t="s">
        <v>41</v>
      </c>
      <c r="S891" s="35" t="str">
        <f t="shared" si="68"/>
        <v>否</v>
      </c>
      <c r="T891" s="36" t="str">
        <f>IFERROR(VLOOKUP(A891,滿意度調查!$B$4:$D$570,3,FALSE),"")</f>
        <v/>
      </c>
      <c r="U891" s="35" t="str">
        <f t="shared" si="69"/>
        <v>2026-06</v>
      </c>
      <c r="V891" s="38">
        <f>IF(J891="已結案",0,(使用說明!$B$7-B891)*24)</f>
        <v>22.633333333418705</v>
      </c>
    </row>
    <row r="892" spans="1:22">
      <c r="A892" s="32" t="s">
        <v>1459</v>
      </c>
      <c r="B892" s="33">
        <v>46203.554166666669</v>
      </c>
      <c r="C892" s="34" t="s">
        <v>317</v>
      </c>
      <c r="D892" s="34" t="s">
        <v>218</v>
      </c>
      <c r="E892" s="34" t="s">
        <v>211</v>
      </c>
      <c r="F892" s="34" t="s">
        <v>212</v>
      </c>
      <c r="G892" s="34" t="s">
        <v>242</v>
      </c>
      <c r="H892" s="34" t="s">
        <v>250</v>
      </c>
      <c r="I892" s="35" t="str">
        <f>VLOOKUP(H892,人員與團隊!$A$4:$D$27,3,FALSE)</f>
        <v>南區服務</v>
      </c>
      <c r="J892" s="34" t="s">
        <v>215</v>
      </c>
      <c r="K892" s="33">
        <v>46203.711111111108</v>
      </c>
      <c r="L892" s="33">
        <v>46203.801537256943</v>
      </c>
      <c r="M892" s="36">
        <f t="shared" si="65"/>
        <v>225.99999999278225</v>
      </c>
      <c r="N892" s="37">
        <f t="shared" si="66"/>
        <v>5.9368941665743478</v>
      </c>
      <c r="O892" s="36">
        <f>VLOOKUP(G892,SLA標準!$A$4:$C$7,2,FALSE)</f>
        <v>240</v>
      </c>
      <c r="P892" s="37">
        <f>VLOOKUP(G892,SLA標準!$A$4:$C$7,3,FALSE)</f>
        <v>24</v>
      </c>
      <c r="Q892" s="35" t="str">
        <f t="shared" si="67"/>
        <v>達標</v>
      </c>
      <c r="R892" s="34" t="s">
        <v>47</v>
      </c>
      <c r="S892" s="35" t="str">
        <f t="shared" si="68"/>
        <v>否</v>
      </c>
      <c r="T892" s="36" t="str">
        <f>IFERROR(VLOOKUP(A892,滿意度調查!$B$4:$D$570,3,FALSE),"")</f>
        <v/>
      </c>
      <c r="U892" s="35" t="str">
        <f t="shared" si="69"/>
        <v>2026-06</v>
      </c>
      <c r="V892" s="38">
        <f>IF(J892="已結案",0,(使用說明!$B$7-B892)*24)</f>
        <v>0</v>
      </c>
    </row>
    <row r="893" spans="1:22">
      <c r="A893" s="32" t="s">
        <v>1460</v>
      </c>
      <c r="B893" s="33">
        <v>46203.560416666667</v>
      </c>
      <c r="C893" s="34" t="s">
        <v>510</v>
      </c>
      <c r="D893" s="34" t="s">
        <v>218</v>
      </c>
      <c r="E893" s="34" t="s">
        <v>211</v>
      </c>
      <c r="F893" s="34" t="s">
        <v>331</v>
      </c>
      <c r="G893" s="34" t="s">
        <v>242</v>
      </c>
      <c r="H893" s="34" t="s">
        <v>315</v>
      </c>
      <c r="I893" s="35" t="str">
        <f>VLOOKUP(H893,人員與團隊!$A$4:$D$27,3,FALSE)</f>
        <v>北區服務</v>
      </c>
      <c r="J893" s="34" t="s">
        <v>774</v>
      </c>
      <c r="K893" s="33">
        <v>46203.78402777778</v>
      </c>
      <c r="L893" s="33"/>
      <c r="M893" s="36">
        <f t="shared" si="65"/>
        <v>322.00000000186265</v>
      </c>
      <c r="N893" s="37" t="str">
        <f t="shared" si="66"/>
        <v/>
      </c>
      <c r="O893" s="36">
        <f>VLOOKUP(G893,SLA標準!$A$4:$C$7,2,FALSE)</f>
        <v>240</v>
      </c>
      <c r="P893" s="37">
        <f>VLOOKUP(G893,SLA標準!$A$4:$C$7,3,FALSE)</f>
        <v>24</v>
      </c>
      <c r="Q893" s="35" t="str">
        <f t="shared" si="67"/>
        <v>逾期</v>
      </c>
      <c r="R893" s="34" t="s">
        <v>41</v>
      </c>
      <c r="S893" s="35" t="str">
        <f t="shared" si="68"/>
        <v>否</v>
      </c>
      <c r="T893" s="36" t="str">
        <f>IFERROR(VLOOKUP(A893,滿意度調查!$B$4:$D$570,3,FALSE),"")</f>
        <v/>
      </c>
      <c r="U893" s="35" t="str">
        <f t="shared" si="69"/>
        <v>2026-06</v>
      </c>
      <c r="V893" s="38">
        <f>IF(J893="已結案",0,(使用說明!$B$7-B893)*24)</f>
        <v>19.549999999988358</v>
      </c>
    </row>
    <row r="894" spans="1:22">
      <c r="A894" s="32" t="s">
        <v>1461</v>
      </c>
      <c r="B894" s="33">
        <v>46203.565972222219</v>
      </c>
      <c r="C894" s="34" t="s">
        <v>484</v>
      </c>
      <c r="D894" s="34" t="s">
        <v>240</v>
      </c>
      <c r="E894" s="34" t="s">
        <v>235</v>
      </c>
      <c r="F894" s="34" t="s">
        <v>241</v>
      </c>
      <c r="G894" s="34" t="s">
        <v>242</v>
      </c>
      <c r="H894" s="34" t="s">
        <v>305</v>
      </c>
      <c r="I894" s="35" t="str">
        <f>VLOOKUP(H894,人員與團隊!$A$4:$D$27,3,FALSE)</f>
        <v>線上服務</v>
      </c>
      <c r="J894" s="34" t="s">
        <v>356</v>
      </c>
      <c r="K894" s="33">
        <v>46203.671527777777</v>
      </c>
      <c r="L894" s="33"/>
      <c r="M894" s="36">
        <f t="shared" si="65"/>
        <v>152.0000000030268</v>
      </c>
      <c r="N894" s="37" t="str">
        <f t="shared" si="66"/>
        <v/>
      </c>
      <c r="O894" s="36">
        <f>VLOOKUP(G894,SLA標準!$A$4:$C$7,2,FALSE)</f>
        <v>240</v>
      </c>
      <c r="P894" s="37">
        <f>VLOOKUP(G894,SLA標準!$A$4:$C$7,3,FALSE)</f>
        <v>24</v>
      </c>
      <c r="Q894" s="35" t="str">
        <f t="shared" si="67"/>
        <v>進行中</v>
      </c>
      <c r="R894" s="34" t="s">
        <v>47</v>
      </c>
      <c r="S894" s="35" t="str">
        <f t="shared" si="68"/>
        <v>否</v>
      </c>
      <c r="T894" s="36" t="str">
        <f>IFERROR(VLOOKUP(A894,滿意度調查!$B$4:$D$570,3,FALSE),"")</f>
        <v/>
      </c>
      <c r="U894" s="35" t="str">
        <f t="shared" si="69"/>
        <v>2026-06</v>
      </c>
      <c r="V894" s="38">
        <f>IF(J894="已結案",0,(使用說明!$B$7-B894)*24)</f>
        <v>19.416666666744277</v>
      </c>
    </row>
    <row r="895" spans="1:22">
      <c r="A895" s="32" t="s">
        <v>1462</v>
      </c>
      <c r="B895" s="33">
        <v>46203.59375</v>
      </c>
      <c r="C895" s="34" t="s">
        <v>694</v>
      </c>
      <c r="D895" s="34" t="s">
        <v>240</v>
      </c>
      <c r="E895" s="34" t="s">
        <v>211</v>
      </c>
      <c r="F895" s="34" t="s">
        <v>331</v>
      </c>
      <c r="G895" s="34" t="s">
        <v>242</v>
      </c>
      <c r="H895" s="34" t="s">
        <v>267</v>
      </c>
      <c r="I895" s="35" t="str">
        <f>VLOOKUP(H895,人員與團隊!$A$4:$D$27,3,FALSE)</f>
        <v>南區服務</v>
      </c>
      <c r="J895" s="34" t="s">
        <v>215</v>
      </c>
      <c r="K895" s="33">
        <v>46203.707638888889</v>
      </c>
      <c r="L895" s="33">
        <v>46203.893310740743</v>
      </c>
      <c r="M895" s="36">
        <f t="shared" si="65"/>
        <v>164.00000000023283</v>
      </c>
      <c r="N895" s="37">
        <f t="shared" si="66"/>
        <v>7.1894577778293751</v>
      </c>
      <c r="O895" s="36">
        <f>VLOOKUP(G895,SLA標準!$A$4:$C$7,2,FALSE)</f>
        <v>240</v>
      </c>
      <c r="P895" s="37">
        <f>VLOOKUP(G895,SLA標準!$A$4:$C$7,3,FALSE)</f>
        <v>24</v>
      </c>
      <c r="Q895" s="35" t="str">
        <f t="shared" si="67"/>
        <v>達標</v>
      </c>
      <c r="R895" s="34" t="s">
        <v>47</v>
      </c>
      <c r="S895" s="35" t="str">
        <f t="shared" si="68"/>
        <v>否</v>
      </c>
      <c r="T895" s="36" t="str">
        <f>IFERROR(VLOOKUP(A895,滿意度調查!$B$4:$D$570,3,FALSE),"")</f>
        <v/>
      </c>
      <c r="U895" s="35" t="str">
        <f t="shared" si="69"/>
        <v>2026-06</v>
      </c>
      <c r="V895" s="38">
        <f>IF(J895="已結案",0,(使用說明!$B$7-B895)*24)</f>
        <v>0</v>
      </c>
    </row>
    <row r="896" spans="1:22">
      <c r="A896" s="32" t="s">
        <v>1463</v>
      </c>
      <c r="B896" s="33">
        <v>46203.599305555559</v>
      </c>
      <c r="C896" s="34" t="s">
        <v>709</v>
      </c>
      <c r="D896" s="34" t="s">
        <v>210</v>
      </c>
      <c r="E896" s="34" t="s">
        <v>265</v>
      </c>
      <c r="F896" s="34" t="s">
        <v>301</v>
      </c>
      <c r="G896" s="34" t="s">
        <v>242</v>
      </c>
      <c r="H896" s="34" t="s">
        <v>250</v>
      </c>
      <c r="I896" s="35" t="str">
        <f>VLOOKUP(H896,人員與團隊!$A$4:$D$27,3,FALSE)</f>
        <v>南區服務</v>
      </c>
      <c r="J896" s="34" t="s">
        <v>275</v>
      </c>
      <c r="K896" s="33">
        <v>46203.659722222219</v>
      </c>
      <c r="L896" s="33"/>
      <c r="M896" s="36">
        <f t="shared" si="65"/>
        <v>86.999999990221113</v>
      </c>
      <c r="N896" s="37" t="str">
        <f t="shared" si="66"/>
        <v/>
      </c>
      <c r="O896" s="36">
        <f>VLOOKUP(G896,SLA標準!$A$4:$C$7,2,FALSE)</f>
        <v>240</v>
      </c>
      <c r="P896" s="37">
        <f>VLOOKUP(G896,SLA標準!$A$4:$C$7,3,FALSE)</f>
        <v>24</v>
      </c>
      <c r="Q896" s="35" t="str">
        <f t="shared" si="67"/>
        <v>進行中</v>
      </c>
      <c r="R896" s="34" t="s">
        <v>41</v>
      </c>
      <c r="S896" s="35" t="str">
        <f t="shared" si="68"/>
        <v>否</v>
      </c>
      <c r="T896" s="36" t="str">
        <f>IFERROR(VLOOKUP(A896,滿意度調查!$B$4:$D$570,3,FALSE),"")</f>
        <v/>
      </c>
      <c r="U896" s="35" t="str">
        <f t="shared" si="69"/>
        <v>2026-06</v>
      </c>
      <c r="V896" s="38">
        <f>IF(J896="已結案",0,(使用說明!$B$7-B896)*24)</f>
        <v>18.616666666581295</v>
      </c>
    </row>
    <row r="897" spans="1:22">
      <c r="A897" s="32" t="s">
        <v>1464</v>
      </c>
      <c r="B897" s="33">
        <v>46203.625</v>
      </c>
      <c r="C897" s="34" t="s">
        <v>1437</v>
      </c>
      <c r="D897" s="34" t="s">
        <v>210</v>
      </c>
      <c r="E897" s="34" t="s">
        <v>211</v>
      </c>
      <c r="F897" s="34" t="s">
        <v>334</v>
      </c>
      <c r="G897" s="34" t="s">
        <v>242</v>
      </c>
      <c r="H897" s="34" t="s">
        <v>254</v>
      </c>
      <c r="I897" s="35" t="str">
        <f>VLOOKUP(H897,人員與團隊!$A$4:$D$27,3,FALSE)</f>
        <v>線上服務</v>
      </c>
      <c r="J897" s="34" t="s">
        <v>356</v>
      </c>
      <c r="K897" s="33">
        <v>46203.68472222222</v>
      </c>
      <c r="L897" s="33"/>
      <c r="M897" s="36">
        <f t="shared" si="65"/>
        <v>85.999999997438863</v>
      </c>
      <c r="N897" s="37" t="str">
        <f t="shared" si="66"/>
        <v/>
      </c>
      <c r="O897" s="36">
        <f>VLOOKUP(G897,SLA標準!$A$4:$C$7,2,FALSE)</f>
        <v>240</v>
      </c>
      <c r="P897" s="37">
        <f>VLOOKUP(G897,SLA標準!$A$4:$C$7,3,FALSE)</f>
        <v>24</v>
      </c>
      <c r="Q897" s="35" t="str">
        <f t="shared" si="67"/>
        <v>進行中</v>
      </c>
      <c r="R897" s="34" t="s">
        <v>47</v>
      </c>
      <c r="S897" s="35" t="str">
        <f t="shared" si="68"/>
        <v>否</v>
      </c>
      <c r="T897" s="36" t="str">
        <f>IFERROR(VLOOKUP(A897,滿意度調查!$B$4:$D$570,3,FALSE),"")</f>
        <v/>
      </c>
      <c r="U897" s="35" t="str">
        <f t="shared" si="69"/>
        <v>2026-06</v>
      </c>
      <c r="V897" s="38">
        <f>IF(J897="已結案",0,(使用說明!$B$7-B897)*24)</f>
        <v>18</v>
      </c>
    </row>
    <row r="898" spans="1:22">
      <c r="A898" s="32" t="s">
        <v>1465</v>
      </c>
      <c r="B898" s="33">
        <v>46203.695833333331</v>
      </c>
      <c r="C898" s="34" t="s">
        <v>546</v>
      </c>
      <c r="D898" s="34" t="s">
        <v>225</v>
      </c>
      <c r="E898" s="34" t="s">
        <v>230</v>
      </c>
      <c r="F898" s="34" t="s">
        <v>272</v>
      </c>
      <c r="G898" s="34" t="s">
        <v>242</v>
      </c>
      <c r="H898" s="34" t="s">
        <v>250</v>
      </c>
      <c r="I898" s="35" t="str">
        <f>VLOOKUP(H898,人員與團隊!$A$4:$D$27,3,FALSE)</f>
        <v>南區服務</v>
      </c>
      <c r="J898" s="34" t="s">
        <v>275</v>
      </c>
      <c r="K898" s="33">
        <v>46203.804166666669</v>
      </c>
      <c r="L898" s="33"/>
      <c r="M898" s="36">
        <f t="shared" si="65"/>
        <v>156.00000000558794</v>
      </c>
      <c r="N898" s="37" t="str">
        <f t="shared" si="66"/>
        <v/>
      </c>
      <c r="O898" s="36">
        <f>VLOOKUP(G898,SLA標準!$A$4:$C$7,2,FALSE)</f>
        <v>240</v>
      </c>
      <c r="P898" s="37">
        <f>VLOOKUP(G898,SLA標準!$A$4:$C$7,3,FALSE)</f>
        <v>24</v>
      </c>
      <c r="Q898" s="35" t="str">
        <f t="shared" si="67"/>
        <v>進行中</v>
      </c>
      <c r="R898" s="34" t="s">
        <v>47</v>
      </c>
      <c r="S898" s="35" t="str">
        <f t="shared" si="68"/>
        <v>否</v>
      </c>
      <c r="T898" s="36" t="str">
        <f>IFERROR(VLOOKUP(A898,滿意度調查!$B$4:$D$570,3,FALSE),"")</f>
        <v/>
      </c>
      <c r="U898" s="35" t="str">
        <f t="shared" si="69"/>
        <v>2026-06</v>
      </c>
      <c r="V898" s="38">
        <f>IF(J898="已結案",0,(使用說明!$B$7-B898)*24)</f>
        <v>16.300000000046566</v>
      </c>
    </row>
    <row r="899" spans="1:22">
      <c r="A899" s="32" t="s">
        <v>1466</v>
      </c>
      <c r="B899" s="33">
        <v>46203.747916666667</v>
      </c>
      <c r="C899" s="34" t="s">
        <v>1244</v>
      </c>
      <c r="D899" s="34" t="s">
        <v>218</v>
      </c>
      <c r="E899" s="34" t="s">
        <v>265</v>
      </c>
      <c r="F899" s="34" t="s">
        <v>266</v>
      </c>
      <c r="G899" s="34" t="s">
        <v>242</v>
      </c>
      <c r="H899" s="34" t="s">
        <v>381</v>
      </c>
      <c r="I899" s="35" t="str">
        <f>VLOOKUP(H899,人員與團隊!$A$4:$D$27,3,FALSE)</f>
        <v>線上服務</v>
      </c>
      <c r="J899" s="34" t="s">
        <v>356</v>
      </c>
      <c r="K899" s="33">
        <v>46203.920138888891</v>
      </c>
      <c r="L899" s="33"/>
      <c r="M899" s="36">
        <f t="shared" si="65"/>
        <v>248.00000000162981</v>
      </c>
      <c r="N899" s="37" t="str">
        <f t="shared" si="66"/>
        <v/>
      </c>
      <c r="O899" s="36">
        <f>VLOOKUP(G899,SLA標準!$A$4:$C$7,2,FALSE)</f>
        <v>240</v>
      </c>
      <c r="P899" s="37">
        <f>VLOOKUP(G899,SLA標準!$A$4:$C$7,3,FALSE)</f>
        <v>24</v>
      </c>
      <c r="Q899" s="35" t="str">
        <f t="shared" si="67"/>
        <v>逾期</v>
      </c>
      <c r="R899" s="34" t="s">
        <v>47</v>
      </c>
      <c r="S899" s="35" t="str">
        <f t="shared" si="68"/>
        <v>否</v>
      </c>
      <c r="T899" s="36" t="str">
        <f>IFERROR(VLOOKUP(A899,滿意度調查!$B$4:$D$570,3,FALSE),"")</f>
        <v/>
      </c>
      <c r="U899" s="35" t="str">
        <f t="shared" si="69"/>
        <v>2026-06</v>
      </c>
      <c r="V899" s="38">
        <f>IF(J899="已結案",0,(使用說明!$B$7-B899)*24)</f>
        <v>15.049999999988358</v>
      </c>
    </row>
    <row r="900" spans="1:22">
      <c r="A900" s="32" t="s">
        <v>1467</v>
      </c>
      <c r="B900" s="33">
        <v>46203.794444444444</v>
      </c>
      <c r="C900" s="34" t="s">
        <v>746</v>
      </c>
      <c r="D900" s="34" t="s">
        <v>218</v>
      </c>
      <c r="E900" s="34" t="s">
        <v>211</v>
      </c>
      <c r="F900" s="34" t="s">
        <v>331</v>
      </c>
      <c r="G900" s="34" t="s">
        <v>242</v>
      </c>
      <c r="H900" s="34" t="s">
        <v>267</v>
      </c>
      <c r="I900" s="35" t="str">
        <f>VLOOKUP(H900,人員與團隊!$A$4:$D$27,3,FALSE)</f>
        <v>南區服務</v>
      </c>
      <c r="J900" s="34" t="s">
        <v>356</v>
      </c>
      <c r="K900" s="33">
        <v>46204.019444444442</v>
      </c>
      <c r="L900" s="33"/>
      <c r="M900" s="36">
        <f t="shared" si="65"/>
        <v>323.99999999790452</v>
      </c>
      <c r="N900" s="37" t="str">
        <f t="shared" si="66"/>
        <v/>
      </c>
      <c r="O900" s="36">
        <f>VLOOKUP(G900,SLA標準!$A$4:$C$7,2,FALSE)</f>
        <v>240</v>
      </c>
      <c r="P900" s="37">
        <f>VLOOKUP(G900,SLA標準!$A$4:$C$7,3,FALSE)</f>
        <v>24</v>
      </c>
      <c r="Q900" s="35" t="str">
        <f t="shared" ref="Q900:Q903" si="70">IF(J900="已結案",IF(AND(M900&lt;=O900,N900&lt;=P900),"達標","逾期"),IF(OR(M900&gt;O900,V900&gt;P900),"逾期","進行中"))</f>
        <v>逾期</v>
      </c>
      <c r="R900" s="34" t="s">
        <v>47</v>
      </c>
      <c r="S900" s="35" t="str">
        <f t="shared" ref="S900:S903" si="71">IF(T900="","否","是")</f>
        <v>否</v>
      </c>
      <c r="T900" s="36" t="str">
        <f>IFERROR(VLOOKUP(A900,滿意度調查!$B$4:$D$570,3,FALSE),"")</f>
        <v/>
      </c>
      <c r="U900" s="35" t="str">
        <f t="shared" si="69"/>
        <v>2026-06</v>
      </c>
      <c r="V900" s="38">
        <f>IF(J900="已結案",0,(使用說明!$B$7-B900)*24)</f>
        <v>13.933333333348855</v>
      </c>
    </row>
    <row r="901" spans="1:22">
      <c r="A901" s="32" t="s">
        <v>1468</v>
      </c>
      <c r="B901" s="33">
        <v>46203.837500000001</v>
      </c>
      <c r="C901" s="34" t="s">
        <v>881</v>
      </c>
      <c r="D901" s="34" t="s">
        <v>210</v>
      </c>
      <c r="E901" s="34" t="s">
        <v>245</v>
      </c>
      <c r="F901" s="34" t="s">
        <v>278</v>
      </c>
      <c r="G901" s="34" t="s">
        <v>242</v>
      </c>
      <c r="H901" s="34" t="s">
        <v>305</v>
      </c>
      <c r="I901" s="35" t="str">
        <f>VLOOKUP(H901,人員與團隊!$A$4:$D$27,3,FALSE)</f>
        <v>線上服務</v>
      </c>
      <c r="J901" s="34" t="s">
        <v>774</v>
      </c>
      <c r="K901" s="33">
        <v>46203.904861111114</v>
      </c>
      <c r="L901" s="33"/>
      <c r="M901" s="36">
        <f t="shared" si="65"/>
        <v>97.000000001862645</v>
      </c>
      <c r="N901" s="37" t="str">
        <f t="shared" si="66"/>
        <v/>
      </c>
      <c r="O901" s="36">
        <f>VLOOKUP(G901,SLA標準!$A$4:$C$7,2,FALSE)</f>
        <v>240</v>
      </c>
      <c r="P901" s="37">
        <f>VLOOKUP(G901,SLA標準!$A$4:$C$7,3,FALSE)</f>
        <v>24</v>
      </c>
      <c r="Q901" s="35" t="str">
        <f t="shared" si="70"/>
        <v>進行中</v>
      </c>
      <c r="R901" s="34" t="s">
        <v>47</v>
      </c>
      <c r="S901" s="35" t="str">
        <f t="shared" si="71"/>
        <v>否</v>
      </c>
      <c r="T901" s="36" t="str">
        <f>IFERROR(VLOOKUP(A901,滿意度調查!$B$4:$D$570,3,FALSE),"")</f>
        <v/>
      </c>
      <c r="U901" s="35" t="str">
        <f t="shared" si="69"/>
        <v>2026-06</v>
      </c>
      <c r="V901" s="38">
        <f>IF(J901="已結案",0,(使用說明!$B$7-B901)*24)</f>
        <v>12.899999999965075</v>
      </c>
    </row>
    <row r="902" spans="1:22">
      <c r="A902" s="32" t="s">
        <v>1469</v>
      </c>
      <c r="B902" s="33">
        <v>46203.841666666667</v>
      </c>
      <c r="C902" s="34" t="s">
        <v>596</v>
      </c>
      <c r="D902" s="34" t="s">
        <v>210</v>
      </c>
      <c r="E902" s="34" t="s">
        <v>211</v>
      </c>
      <c r="F902" s="34" t="s">
        <v>334</v>
      </c>
      <c r="G902" s="34" t="s">
        <v>242</v>
      </c>
      <c r="H902" s="34" t="s">
        <v>285</v>
      </c>
      <c r="I902" s="35" t="str">
        <f>VLOOKUP(H902,人員與團隊!$A$4:$D$27,3,FALSE)</f>
        <v>線上服務</v>
      </c>
      <c r="J902" s="34" t="s">
        <v>215</v>
      </c>
      <c r="K902" s="33">
        <v>46203.904166666667</v>
      </c>
      <c r="L902" s="33">
        <v>46204.024301863428</v>
      </c>
      <c r="M902" s="36">
        <f t="shared" si="65"/>
        <v>90</v>
      </c>
      <c r="N902" s="37">
        <f t="shared" si="66"/>
        <v>4.3832447222666815</v>
      </c>
      <c r="O902" s="36">
        <f>VLOOKUP(G902,SLA標準!$A$4:$C$7,2,FALSE)</f>
        <v>240</v>
      </c>
      <c r="P902" s="37">
        <f>VLOOKUP(G902,SLA標準!$A$4:$C$7,3,FALSE)</f>
        <v>24</v>
      </c>
      <c r="Q902" s="35" t="str">
        <f t="shared" si="70"/>
        <v>達標</v>
      </c>
      <c r="R902" s="34" t="s">
        <v>47</v>
      </c>
      <c r="S902" s="35" t="str">
        <f t="shared" si="71"/>
        <v>否</v>
      </c>
      <c r="T902" s="36" t="str">
        <f>IFERROR(VLOOKUP(A902,滿意度調查!$B$4:$D$570,3,FALSE),"")</f>
        <v/>
      </c>
      <c r="U902" s="35" t="str">
        <f t="shared" si="69"/>
        <v>2026-06</v>
      </c>
      <c r="V902" s="38">
        <f>IF(J902="已結案",0,(使用說明!$B$7-B902)*24)</f>
        <v>0</v>
      </c>
    </row>
    <row r="903" spans="1:22">
      <c r="A903" s="39" t="s">
        <v>1470</v>
      </c>
      <c r="B903" s="40">
        <v>46203.862500000003</v>
      </c>
      <c r="C903" s="41" t="s">
        <v>1384</v>
      </c>
      <c r="D903" s="41" t="s">
        <v>218</v>
      </c>
      <c r="E903" s="41" t="s">
        <v>230</v>
      </c>
      <c r="F903" s="41" t="s">
        <v>339</v>
      </c>
      <c r="G903" s="41" t="s">
        <v>213</v>
      </c>
      <c r="H903" s="41" t="s">
        <v>315</v>
      </c>
      <c r="I903" s="42" t="str">
        <f>VLOOKUP(H903,人員與團隊!$A$4:$D$27,3,FALSE)</f>
        <v>北區服務</v>
      </c>
      <c r="J903" s="41" t="s">
        <v>356</v>
      </c>
      <c r="K903" s="40">
        <v>46204.283333333333</v>
      </c>
      <c r="L903" s="40"/>
      <c r="M903" s="43">
        <f t="shared" si="65"/>
        <v>605.99999999511056</v>
      </c>
      <c r="N903" s="44" t="str">
        <f t="shared" si="66"/>
        <v/>
      </c>
      <c r="O903" s="43">
        <f>VLOOKUP(G903,SLA標準!$A$4:$C$7,2,FALSE)</f>
        <v>480</v>
      </c>
      <c r="P903" s="44">
        <f>VLOOKUP(G903,SLA標準!$A$4:$C$7,3,FALSE)</f>
        <v>48</v>
      </c>
      <c r="Q903" s="42" t="str">
        <f t="shared" si="70"/>
        <v>逾期</v>
      </c>
      <c r="R903" s="41" t="s">
        <v>47</v>
      </c>
      <c r="S903" s="42" t="str">
        <f t="shared" si="71"/>
        <v>否</v>
      </c>
      <c r="T903" s="43" t="str">
        <f>IFERROR(VLOOKUP(A903,滿意度調查!$B$4:$D$570,3,FALSE),"")</f>
        <v/>
      </c>
      <c r="U903" s="42" t="str">
        <f t="shared" si="69"/>
        <v>2026-06</v>
      </c>
      <c r="V903" s="45">
        <f>IF(J903="已結案",0,(使用說明!$B$7-B903)*24)</f>
        <v>12.299999999930151</v>
      </c>
    </row>
  </sheetData>
  <mergeCells count="2">
    <mergeCell ref="A1:V1"/>
    <mergeCell ref="A2:V2"/>
  </mergeCells>
  <phoneticPr fontId="4" type="noConversion"/>
  <conditionalFormatting sqref="J4:J903">
    <cfRule type="containsText" dxfId="4" priority="3" operator="containsText" text="待處理"/>
  </conditionalFormatting>
  <conditionalFormatting sqref="Q4:Q903">
    <cfRule type="containsText" dxfId="3" priority="1" operator="containsText" text="逾期"/>
    <cfRule type="containsText" dxfId="2" priority="2" operator="containsText" text="達標"/>
  </conditionalFormatting>
  <conditionalFormatting sqref="T4:T903">
    <cfRule type="cellIs" dxfId="1" priority="4" operator="lessThanOrEqual">
      <formula>2</formula>
    </cfRule>
  </conditionalFormatting>
  <dataValidations count="4">
    <dataValidation type="list" sqref="D4:D903" xr:uid="{00000000-0002-0000-0100-000000000000}">
      <formula1>"電話,Email,線上客服,社群"</formula1>
    </dataValidation>
    <dataValidation type="list" sqref="G4:G903" xr:uid="{00000000-0002-0000-0100-000001000000}">
      <formula1>"緊急,高,一般,低"</formula1>
    </dataValidation>
    <dataValidation type="list" sqref="J4:J903" xr:uid="{00000000-0002-0000-0100-000002000000}">
      <formula1>"待處理,處理中,等待客戶,已結案"</formula1>
    </dataValidation>
    <dataValidation type="list" sqref="R4:R903" xr:uid="{00000000-0002-0000-0100-000003000000}">
      <formula1>"是,否"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showGridLines="0" workbookViewId="0">
      <selection sqref="A1:H1"/>
    </sheetView>
  </sheetViews>
  <sheetFormatPr defaultRowHeight="13.8"/>
  <cols>
    <col min="1" max="2" width="14" customWidth="1"/>
    <col min="3" max="3" width="16" customWidth="1"/>
    <col min="4" max="4" width="12" customWidth="1"/>
    <col min="5" max="6" width="18" customWidth="1"/>
    <col min="7" max="7" width="14" customWidth="1"/>
    <col min="8" max="8" width="26" customWidth="1"/>
  </cols>
  <sheetData>
    <row r="1" spans="1:8" ht="31.95" customHeight="1">
      <c r="A1" s="49" t="s">
        <v>1471</v>
      </c>
      <c r="B1" s="49" t="s">
        <v>1471</v>
      </c>
      <c r="C1" s="49" t="s">
        <v>1471</v>
      </c>
      <c r="D1" s="49" t="s">
        <v>1471</v>
      </c>
      <c r="E1" s="49" t="s">
        <v>1471</v>
      </c>
      <c r="F1" s="49" t="s">
        <v>1471</v>
      </c>
      <c r="G1" s="49" t="s">
        <v>1471</v>
      </c>
      <c r="H1" s="49" t="s">
        <v>1471</v>
      </c>
    </row>
    <row r="2" spans="1:8">
      <c r="A2" s="50" t="s">
        <v>1472</v>
      </c>
      <c r="B2" s="50" t="s">
        <v>1472</v>
      </c>
      <c r="C2" s="50" t="s">
        <v>1472</v>
      </c>
      <c r="D2" s="50" t="s">
        <v>1472</v>
      </c>
      <c r="E2" s="50" t="s">
        <v>1472</v>
      </c>
      <c r="F2" s="50" t="s">
        <v>1472</v>
      </c>
      <c r="G2" s="50" t="s">
        <v>1472</v>
      </c>
      <c r="H2" s="50" t="s">
        <v>1472</v>
      </c>
    </row>
    <row r="3" spans="1:8" ht="30" customHeight="1">
      <c r="A3" s="3" t="s">
        <v>1473</v>
      </c>
      <c r="B3" s="3" t="s">
        <v>1474</v>
      </c>
      <c r="C3" s="3" t="s">
        <v>1475</v>
      </c>
      <c r="D3" s="3" t="s">
        <v>1476</v>
      </c>
      <c r="E3" s="3" t="s">
        <v>1477</v>
      </c>
      <c r="F3" s="3" t="s">
        <v>1478</v>
      </c>
      <c r="G3" s="3" t="s">
        <v>1479</v>
      </c>
      <c r="H3" s="3" t="s">
        <v>1480</v>
      </c>
    </row>
    <row r="4" spans="1:8">
      <c r="A4" s="4" t="s">
        <v>328</v>
      </c>
      <c r="B4" s="5" t="s">
        <v>1481</v>
      </c>
      <c r="C4" s="5" t="s">
        <v>1482</v>
      </c>
      <c r="D4" s="5" t="s">
        <v>1483</v>
      </c>
      <c r="E4" s="5" t="s">
        <v>245</v>
      </c>
      <c r="F4" s="24">
        <v>14</v>
      </c>
      <c r="G4" s="5" t="s">
        <v>1484</v>
      </c>
      <c r="H4" s="6"/>
    </row>
    <row r="5" spans="1:8">
      <c r="A5" s="4" t="s">
        <v>227</v>
      </c>
      <c r="B5" s="5" t="s">
        <v>1485</v>
      </c>
      <c r="C5" s="5" t="s">
        <v>1482</v>
      </c>
      <c r="D5" s="5" t="s">
        <v>1483</v>
      </c>
      <c r="E5" s="5" t="s">
        <v>211</v>
      </c>
      <c r="F5" s="24">
        <v>14</v>
      </c>
      <c r="G5" s="5" t="s">
        <v>1486</v>
      </c>
      <c r="H5" s="6" t="s">
        <v>1487</v>
      </c>
    </row>
    <row r="6" spans="1:8">
      <c r="A6" s="4" t="s">
        <v>315</v>
      </c>
      <c r="B6" s="5" t="s">
        <v>1488</v>
      </c>
      <c r="C6" s="5" t="s">
        <v>1482</v>
      </c>
      <c r="D6" s="5" t="s">
        <v>1483</v>
      </c>
      <c r="E6" s="5" t="s">
        <v>235</v>
      </c>
      <c r="F6" s="24">
        <v>14</v>
      </c>
      <c r="G6" s="5" t="s">
        <v>1484</v>
      </c>
      <c r="H6" s="6"/>
    </row>
    <row r="7" spans="1:8">
      <c r="A7" s="4" t="s">
        <v>340</v>
      </c>
      <c r="B7" s="5" t="s">
        <v>1489</v>
      </c>
      <c r="C7" s="5" t="s">
        <v>1482</v>
      </c>
      <c r="D7" s="5" t="s">
        <v>1483</v>
      </c>
      <c r="E7" s="5" t="s">
        <v>265</v>
      </c>
      <c r="F7" s="24">
        <v>14</v>
      </c>
      <c r="G7" s="5" t="s">
        <v>1484</v>
      </c>
      <c r="H7" s="6"/>
    </row>
    <row r="8" spans="1:8">
      <c r="A8" s="4" t="s">
        <v>232</v>
      </c>
      <c r="B8" s="5" t="s">
        <v>1490</v>
      </c>
      <c r="C8" s="5" t="s">
        <v>1482</v>
      </c>
      <c r="D8" s="5" t="s">
        <v>1483</v>
      </c>
      <c r="E8" s="5" t="s">
        <v>230</v>
      </c>
      <c r="F8" s="24">
        <v>14</v>
      </c>
      <c r="G8" s="5" t="s">
        <v>1484</v>
      </c>
      <c r="H8" s="6"/>
    </row>
    <row r="9" spans="1:8">
      <c r="A9" s="4" t="s">
        <v>222</v>
      </c>
      <c r="B9" s="5" t="s">
        <v>1491</v>
      </c>
      <c r="C9" s="5" t="s">
        <v>1482</v>
      </c>
      <c r="D9" s="5" t="s">
        <v>1483</v>
      </c>
      <c r="E9" s="5" t="s">
        <v>219</v>
      </c>
      <c r="F9" s="24">
        <v>14</v>
      </c>
      <c r="G9" s="5" t="s">
        <v>1486</v>
      </c>
      <c r="H9" s="6" t="s">
        <v>1487</v>
      </c>
    </row>
    <row r="10" spans="1:8">
      <c r="A10" s="4" t="s">
        <v>237</v>
      </c>
      <c r="B10" s="5" t="s">
        <v>1492</v>
      </c>
      <c r="C10" s="5" t="s">
        <v>1482</v>
      </c>
      <c r="D10" s="5" t="s">
        <v>1483</v>
      </c>
      <c r="E10" s="5" t="s">
        <v>245</v>
      </c>
      <c r="F10" s="24">
        <v>14</v>
      </c>
      <c r="G10" s="5" t="s">
        <v>1484</v>
      </c>
      <c r="H10" s="6"/>
    </row>
    <row r="11" spans="1:8">
      <c r="A11" s="4" t="s">
        <v>214</v>
      </c>
      <c r="B11" s="5" t="s">
        <v>1493</v>
      </c>
      <c r="C11" s="5" t="s">
        <v>1482</v>
      </c>
      <c r="D11" s="5" t="s">
        <v>1483</v>
      </c>
      <c r="E11" s="5" t="s">
        <v>211</v>
      </c>
      <c r="F11" s="24">
        <v>14</v>
      </c>
      <c r="G11" s="5" t="s">
        <v>1484</v>
      </c>
      <c r="H11" s="6"/>
    </row>
    <row r="12" spans="1:8">
      <c r="A12" s="4" t="s">
        <v>361</v>
      </c>
      <c r="B12" s="5" t="s">
        <v>1494</v>
      </c>
      <c r="C12" s="5" t="s">
        <v>1495</v>
      </c>
      <c r="D12" s="5" t="s">
        <v>1496</v>
      </c>
      <c r="E12" s="5" t="s">
        <v>235</v>
      </c>
      <c r="F12" s="24">
        <v>14</v>
      </c>
      <c r="G12" s="5" t="s">
        <v>1484</v>
      </c>
      <c r="H12" s="6"/>
    </row>
    <row r="13" spans="1:8">
      <c r="A13" s="4" t="s">
        <v>250</v>
      </c>
      <c r="B13" s="5" t="s">
        <v>1497</v>
      </c>
      <c r="C13" s="5" t="s">
        <v>1495</v>
      </c>
      <c r="D13" s="5" t="s">
        <v>1496</v>
      </c>
      <c r="E13" s="5" t="s">
        <v>265</v>
      </c>
      <c r="F13" s="24">
        <v>14</v>
      </c>
      <c r="G13" s="5" t="s">
        <v>1484</v>
      </c>
      <c r="H13" s="6"/>
    </row>
    <row r="14" spans="1:8">
      <c r="A14" s="4" t="s">
        <v>262</v>
      </c>
      <c r="B14" s="5" t="s">
        <v>1498</v>
      </c>
      <c r="C14" s="5" t="s">
        <v>1495</v>
      </c>
      <c r="D14" s="5" t="s">
        <v>1496</v>
      </c>
      <c r="E14" s="5" t="s">
        <v>230</v>
      </c>
      <c r="F14" s="24">
        <v>14</v>
      </c>
      <c r="G14" s="5" t="s">
        <v>1484</v>
      </c>
      <c r="H14" s="6"/>
    </row>
    <row r="15" spans="1:8">
      <c r="A15" s="4" t="s">
        <v>372</v>
      </c>
      <c r="B15" s="5" t="s">
        <v>1499</v>
      </c>
      <c r="C15" s="5" t="s">
        <v>1495</v>
      </c>
      <c r="D15" s="5" t="s">
        <v>1496</v>
      </c>
      <c r="E15" s="5" t="s">
        <v>219</v>
      </c>
      <c r="F15" s="24">
        <v>14</v>
      </c>
      <c r="G15" s="5" t="s">
        <v>1484</v>
      </c>
      <c r="H15" s="6"/>
    </row>
    <row r="16" spans="1:8">
      <c r="A16" s="4" t="s">
        <v>279</v>
      </c>
      <c r="B16" s="5" t="s">
        <v>1500</v>
      </c>
      <c r="C16" s="5" t="s">
        <v>1495</v>
      </c>
      <c r="D16" s="5" t="s">
        <v>1496</v>
      </c>
      <c r="E16" s="5" t="s">
        <v>245</v>
      </c>
      <c r="F16" s="24">
        <v>14</v>
      </c>
      <c r="G16" s="5" t="s">
        <v>1484</v>
      </c>
      <c r="H16" s="6"/>
    </row>
    <row r="17" spans="1:8">
      <c r="A17" s="4" t="s">
        <v>274</v>
      </c>
      <c r="B17" s="5" t="s">
        <v>1501</v>
      </c>
      <c r="C17" s="5" t="s">
        <v>1495</v>
      </c>
      <c r="D17" s="5" t="s">
        <v>1496</v>
      </c>
      <c r="E17" s="5" t="s">
        <v>211</v>
      </c>
      <c r="F17" s="24">
        <v>14</v>
      </c>
      <c r="G17" s="5" t="s">
        <v>1484</v>
      </c>
      <c r="H17" s="6"/>
    </row>
    <row r="18" spans="1:8">
      <c r="A18" s="4" t="s">
        <v>243</v>
      </c>
      <c r="B18" s="5" t="s">
        <v>1502</v>
      </c>
      <c r="C18" s="5" t="s">
        <v>1495</v>
      </c>
      <c r="D18" s="5" t="s">
        <v>1496</v>
      </c>
      <c r="E18" s="5" t="s">
        <v>235</v>
      </c>
      <c r="F18" s="24">
        <v>14</v>
      </c>
      <c r="G18" s="5" t="s">
        <v>1484</v>
      </c>
      <c r="H18" s="6"/>
    </row>
    <row r="19" spans="1:8">
      <c r="A19" s="4" t="s">
        <v>267</v>
      </c>
      <c r="B19" s="5" t="s">
        <v>1503</v>
      </c>
      <c r="C19" s="5" t="s">
        <v>1495</v>
      </c>
      <c r="D19" s="5" t="s">
        <v>1496</v>
      </c>
      <c r="E19" s="5" t="s">
        <v>265</v>
      </c>
      <c r="F19" s="24">
        <v>14</v>
      </c>
      <c r="G19" s="5" t="s">
        <v>1484</v>
      </c>
      <c r="H19" s="6"/>
    </row>
    <row r="20" spans="1:8">
      <c r="A20" s="4" t="s">
        <v>310</v>
      </c>
      <c r="B20" s="5" t="s">
        <v>1504</v>
      </c>
      <c r="C20" s="5" t="s">
        <v>1505</v>
      </c>
      <c r="D20" s="5" t="s">
        <v>1506</v>
      </c>
      <c r="E20" s="5" t="s">
        <v>230</v>
      </c>
      <c r="F20" s="24">
        <v>18</v>
      </c>
      <c r="G20" s="5" t="s">
        <v>1484</v>
      </c>
      <c r="H20" s="6"/>
    </row>
    <row r="21" spans="1:8">
      <c r="A21" s="4" t="s">
        <v>408</v>
      </c>
      <c r="B21" s="5" t="s">
        <v>1507</v>
      </c>
      <c r="C21" s="5" t="s">
        <v>1505</v>
      </c>
      <c r="D21" s="5" t="s">
        <v>1506</v>
      </c>
      <c r="E21" s="5" t="s">
        <v>219</v>
      </c>
      <c r="F21" s="24">
        <v>18</v>
      </c>
      <c r="G21" s="5" t="s">
        <v>1484</v>
      </c>
      <c r="H21" s="6"/>
    </row>
    <row r="22" spans="1:8">
      <c r="A22" s="4" t="s">
        <v>381</v>
      </c>
      <c r="B22" s="5" t="s">
        <v>1508</v>
      </c>
      <c r="C22" s="5" t="s">
        <v>1505</v>
      </c>
      <c r="D22" s="5" t="s">
        <v>1506</v>
      </c>
      <c r="E22" s="5" t="s">
        <v>245</v>
      </c>
      <c r="F22" s="24">
        <v>18</v>
      </c>
      <c r="G22" s="5" t="s">
        <v>1484</v>
      </c>
      <c r="H22" s="6"/>
    </row>
    <row r="23" spans="1:8">
      <c r="A23" s="4" t="s">
        <v>305</v>
      </c>
      <c r="B23" s="5" t="s">
        <v>1509</v>
      </c>
      <c r="C23" s="5" t="s">
        <v>1505</v>
      </c>
      <c r="D23" s="5" t="s">
        <v>1506</v>
      </c>
      <c r="E23" s="5" t="s">
        <v>211</v>
      </c>
      <c r="F23" s="24">
        <v>18</v>
      </c>
      <c r="G23" s="5" t="s">
        <v>1484</v>
      </c>
      <c r="H23" s="6"/>
    </row>
    <row r="24" spans="1:8">
      <c r="A24" s="4" t="s">
        <v>254</v>
      </c>
      <c r="B24" s="5" t="s">
        <v>1510</v>
      </c>
      <c r="C24" s="5" t="s">
        <v>1505</v>
      </c>
      <c r="D24" s="5" t="s">
        <v>1506</v>
      </c>
      <c r="E24" s="5" t="s">
        <v>235</v>
      </c>
      <c r="F24" s="24">
        <v>18</v>
      </c>
      <c r="G24" s="5" t="s">
        <v>1484</v>
      </c>
      <c r="H24" s="6"/>
    </row>
    <row r="25" spans="1:8">
      <c r="A25" s="4" t="s">
        <v>325</v>
      </c>
      <c r="B25" s="5" t="s">
        <v>1511</v>
      </c>
      <c r="C25" s="5" t="s">
        <v>1505</v>
      </c>
      <c r="D25" s="5" t="s">
        <v>1506</v>
      </c>
      <c r="E25" s="5" t="s">
        <v>265</v>
      </c>
      <c r="F25" s="24">
        <v>18</v>
      </c>
      <c r="G25" s="5" t="s">
        <v>1484</v>
      </c>
      <c r="H25" s="6"/>
    </row>
    <row r="26" spans="1:8">
      <c r="A26" s="4" t="s">
        <v>384</v>
      </c>
      <c r="B26" s="5" t="s">
        <v>1512</v>
      </c>
      <c r="C26" s="5" t="s">
        <v>1505</v>
      </c>
      <c r="D26" s="5" t="s">
        <v>1506</v>
      </c>
      <c r="E26" s="5" t="s">
        <v>230</v>
      </c>
      <c r="F26" s="24">
        <v>18</v>
      </c>
      <c r="G26" s="5" t="s">
        <v>1484</v>
      </c>
      <c r="H26" s="6"/>
    </row>
    <row r="27" spans="1:8">
      <c r="A27" s="25" t="s">
        <v>285</v>
      </c>
      <c r="B27" s="26" t="s">
        <v>1513</v>
      </c>
      <c r="C27" s="26" t="s">
        <v>1505</v>
      </c>
      <c r="D27" s="26" t="s">
        <v>1506</v>
      </c>
      <c r="E27" s="26" t="s">
        <v>219</v>
      </c>
      <c r="F27" s="27">
        <v>18</v>
      </c>
      <c r="G27" s="26" t="s">
        <v>1484</v>
      </c>
      <c r="H27" s="28"/>
    </row>
  </sheetData>
  <mergeCells count="2">
    <mergeCell ref="A1:H1"/>
    <mergeCell ref="A2:H2"/>
  </mergeCells>
  <phoneticPr fontId="4" type="noConversion"/>
  <conditionalFormatting sqref="G4:G27">
    <cfRule type="containsText" dxfId="0" priority="1" operator="containsText" text="請假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showGridLines="0" workbookViewId="0">
      <selection sqref="A1:D1"/>
    </sheetView>
  </sheetViews>
  <sheetFormatPr defaultRowHeight="13.8"/>
  <cols>
    <col min="1" max="1" width="14" customWidth="1"/>
    <col min="2" max="3" width="22" customWidth="1"/>
    <col min="4" max="4" width="42" customWidth="1"/>
  </cols>
  <sheetData>
    <row r="1" spans="1:4" ht="31.95" customHeight="1">
      <c r="A1" s="49" t="s">
        <v>1514</v>
      </c>
      <c r="B1" s="49" t="s">
        <v>1514</v>
      </c>
      <c r="C1" s="49" t="s">
        <v>1514</v>
      </c>
      <c r="D1" s="49" t="s">
        <v>1514</v>
      </c>
    </row>
    <row r="2" spans="1:4">
      <c r="A2" s="50" t="s">
        <v>1515</v>
      </c>
      <c r="B2" s="50" t="s">
        <v>1515</v>
      </c>
      <c r="C2" s="50" t="s">
        <v>1515</v>
      </c>
      <c r="D2" s="50" t="s">
        <v>1515</v>
      </c>
    </row>
    <row r="3" spans="1:4" ht="30" customHeight="1">
      <c r="A3" s="15" t="s">
        <v>63</v>
      </c>
      <c r="B3" s="16" t="s">
        <v>168</v>
      </c>
      <c r="C3" s="16" t="s">
        <v>173</v>
      </c>
      <c r="D3" s="17" t="s">
        <v>1516</v>
      </c>
    </row>
    <row r="4" spans="1:4">
      <c r="A4" s="18" t="s">
        <v>350</v>
      </c>
      <c r="B4" s="19">
        <v>30</v>
      </c>
      <c r="C4" s="19">
        <v>4</v>
      </c>
      <c r="D4" s="20" t="s">
        <v>1517</v>
      </c>
    </row>
    <row r="5" spans="1:4">
      <c r="A5" s="18" t="s">
        <v>221</v>
      </c>
      <c r="B5" s="19">
        <v>60</v>
      </c>
      <c r="C5" s="19">
        <v>8</v>
      </c>
      <c r="D5" s="20" t="s">
        <v>1518</v>
      </c>
    </row>
    <row r="6" spans="1:4">
      <c r="A6" s="18" t="s">
        <v>242</v>
      </c>
      <c r="B6" s="19">
        <v>240</v>
      </c>
      <c r="C6" s="19">
        <v>24</v>
      </c>
      <c r="D6" s="20" t="s">
        <v>1519</v>
      </c>
    </row>
    <row r="7" spans="1:4">
      <c r="A7" s="21" t="s">
        <v>213</v>
      </c>
      <c r="B7" s="22">
        <v>480</v>
      </c>
      <c r="C7" s="22">
        <v>48</v>
      </c>
      <c r="D7" s="23" t="s">
        <v>1520</v>
      </c>
    </row>
  </sheetData>
  <mergeCells count="2">
    <mergeCell ref="A1:D1"/>
    <mergeCell ref="A2:D2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70"/>
  <sheetViews>
    <sheetView showGridLines="0" workbookViewId="0">
      <selection sqref="A1:I1"/>
    </sheetView>
  </sheetViews>
  <sheetFormatPr defaultRowHeight="13.8"/>
  <cols>
    <col min="1" max="2" width="16" customWidth="1"/>
    <col min="3" max="3" width="18" customWidth="1"/>
    <col min="4" max="4" width="14" customWidth="1"/>
    <col min="5" max="7" width="12" customWidth="1"/>
    <col min="8" max="8" width="14" customWidth="1"/>
    <col min="9" max="9" width="36" customWidth="1"/>
  </cols>
  <sheetData>
    <row r="1" spans="1:9" ht="31.95" customHeight="1">
      <c r="A1" s="49" t="s">
        <v>1521</v>
      </c>
      <c r="B1" s="49" t="s">
        <v>1521</v>
      </c>
      <c r="C1" s="49" t="s">
        <v>1521</v>
      </c>
      <c r="D1" s="49" t="s">
        <v>1521</v>
      </c>
      <c r="E1" s="49" t="s">
        <v>1521</v>
      </c>
      <c r="F1" s="49" t="s">
        <v>1521</v>
      </c>
      <c r="G1" s="49" t="s">
        <v>1521</v>
      </c>
      <c r="H1" s="49" t="s">
        <v>1521</v>
      </c>
      <c r="I1" s="49" t="s">
        <v>1521</v>
      </c>
    </row>
    <row r="2" spans="1:9">
      <c r="A2" s="50" t="s">
        <v>1522</v>
      </c>
      <c r="B2" s="50" t="s">
        <v>1522</v>
      </c>
      <c r="C2" s="50" t="s">
        <v>1522</v>
      </c>
      <c r="D2" s="50" t="s">
        <v>1522</v>
      </c>
      <c r="E2" s="50" t="s">
        <v>1522</v>
      </c>
      <c r="F2" s="50" t="s">
        <v>1522</v>
      </c>
      <c r="G2" s="50" t="s">
        <v>1522</v>
      </c>
      <c r="H2" s="50" t="s">
        <v>1522</v>
      </c>
      <c r="I2" s="50" t="s">
        <v>1522</v>
      </c>
    </row>
    <row r="3" spans="1:9" ht="30" customHeight="1">
      <c r="A3" s="2" t="s">
        <v>1523</v>
      </c>
      <c r="B3" s="2" t="s">
        <v>101</v>
      </c>
      <c r="C3" s="2" t="s">
        <v>1524</v>
      </c>
      <c r="D3" s="2" t="s">
        <v>191</v>
      </c>
      <c r="E3" s="2" t="s">
        <v>154</v>
      </c>
      <c r="F3" s="2" t="s">
        <v>1525</v>
      </c>
      <c r="G3" s="2" t="s">
        <v>1526</v>
      </c>
      <c r="H3" s="2" t="s">
        <v>1527</v>
      </c>
      <c r="I3" s="2" t="s">
        <v>1528</v>
      </c>
    </row>
    <row r="4" spans="1:9">
      <c r="A4" t="s">
        <v>1529</v>
      </c>
      <c r="B4" t="s">
        <v>228</v>
      </c>
      <c r="C4" s="29">
        <v>46115.948834016206</v>
      </c>
      <c r="D4" s="14">
        <v>4</v>
      </c>
      <c r="E4" s="14">
        <v>3</v>
      </c>
      <c r="F4" s="14">
        <v>5</v>
      </c>
      <c r="G4" s="14">
        <v>5</v>
      </c>
      <c r="H4" t="s">
        <v>41</v>
      </c>
      <c r="I4" s="30" t="s">
        <v>1530</v>
      </c>
    </row>
    <row r="5" spans="1:9">
      <c r="A5" t="s">
        <v>1531</v>
      </c>
      <c r="B5" t="s">
        <v>233</v>
      </c>
      <c r="C5" s="29">
        <v>46115.120462326391</v>
      </c>
      <c r="D5" s="14">
        <v>5</v>
      </c>
      <c r="E5" s="14">
        <v>5</v>
      </c>
      <c r="F5" s="14">
        <v>5</v>
      </c>
      <c r="G5" s="14">
        <v>5</v>
      </c>
      <c r="H5" t="s">
        <v>41</v>
      </c>
      <c r="I5" s="30" t="s">
        <v>1532</v>
      </c>
    </row>
    <row r="6" spans="1:9">
      <c r="A6" t="s">
        <v>1533</v>
      </c>
      <c r="B6" t="s">
        <v>244</v>
      </c>
      <c r="C6" s="29">
        <v>46117.774516620368</v>
      </c>
      <c r="D6" s="14">
        <v>5</v>
      </c>
      <c r="E6" s="14">
        <v>5</v>
      </c>
      <c r="F6" s="14">
        <v>5</v>
      </c>
      <c r="G6" s="14">
        <v>5</v>
      </c>
      <c r="H6" t="s">
        <v>41</v>
      </c>
      <c r="I6" s="30" t="s">
        <v>1530</v>
      </c>
    </row>
    <row r="7" spans="1:9">
      <c r="A7" t="s">
        <v>1534</v>
      </c>
      <c r="B7" t="s">
        <v>247</v>
      </c>
      <c r="C7" s="29">
        <v>46116.066665324077</v>
      </c>
      <c r="D7" s="14">
        <v>3</v>
      </c>
      <c r="E7" s="14">
        <v>2</v>
      </c>
      <c r="F7" s="14">
        <v>2</v>
      </c>
      <c r="G7" s="14">
        <v>4</v>
      </c>
      <c r="H7" t="s">
        <v>47</v>
      </c>
      <c r="I7" s="30" t="s">
        <v>1535</v>
      </c>
    </row>
    <row r="8" spans="1:9">
      <c r="A8" t="s">
        <v>1536</v>
      </c>
      <c r="B8" t="s">
        <v>258</v>
      </c>
      <c r="C8" s="29">
        <v>46116.733077604164</v>
      </c>
      <c r="D8" s="14">
        <v>3</v>
      </c>
      <c r="E8" s="14">
        <v>2</v>
      </c>
      <c r="F8" s="14">
        <v>4</v>
      </c>
      <c r="G8" s="14">
        <v>4</v>
      </c>
      <c r="H8" t="s">
        <v>47</v>
      </c>
      <c r="I8" s="30" t="s">
        <v>1537</v>
      </c>
    </row>
    <row r="9" spans="1:9">
      <c r="A9" t="s">
        <v>1538</v>
      </c>
      <c r="B9" t="s">
        <v>260</v>
      </c>
      <c r="C9" s="29">
        <v>46117.320405625003</v>
      </c>
      <c r="D9" s="14">
        <v>4</v>
      </c>
      <c r="E9" s="14">
        <v>5</v>
      </c>
      <c r="F9" s="14">
        <v>5</v>
      </c>
      <c r="G9" s="14">
        <v>5</v>
      </c>
      <c r="H9" t="s">
        <v>41</v>
      </c>
      <c r="I9" s="30" t="s">
        <v>1539</v>
      </c>
    </row>
    <row r="10" spans="1:9">
      <c r="A10" t="s">
        <v>1540</v>
      </c>
      <c r="B10" t="s">
        <v>268</v>
      </c>
      <c r="C10" s="29">
        <v>46117.337783576389</v>
      </c>
      <c r="D10" s="14">
        <v>3</v>
      </c>
      <c r="E10" s="14">
        <v>4</v>
      </c>
      <c r="F10" s="14">
        <v>2</v>
      </c>
      <c r="G10" s="14">
        <v>4</v>
      </c>
      <c r="H10" t="s">
        <v>47</v>
      </c>
      <c r="I10" s="30" t="s">
        <v>1541</v>
      </c>
    </row>
    <row r="11" spans="1:9">
      <c r="A11" t="s">
        <v>1542</v>
      </c>
      <c r="B11" t="s">
        <v>270</v>
      </c>
      <c r="C11" s="29">
        <v>46118.797814201389</v>
      </c>
      <c r="D11" s="14">
        <v>5</v>
      </c>
      <c r="E11" s="14">
        <v>5</v>
      </c>
      <c r="F11" s="14">
        <v>5</v>
      </c>
      <c r="G11" s="14">
        <v>5</v>
      </c>
      <c r="H11" t="s">
        <v>41</v>
      </c>
      <c r="I11" s="30" t="s">
        <v>1530</v>
      </c>
    </row>
    <row r="12" spans="1:9">
      <c r="A12" t="s">
        <v>1543</v>
      </c>
      <c r="B12" t="s">
        <v>276</v>
      </c>
      <c r="C12" s="29">
        <v>46118.178588078707</v>
      </c>
      <c r="D12" s="14">
        <v>5</v>
      </c>
      <c r="E12" s="14">
        <v>4</v>
      </c>
      <c r="F12" s="14">
        <v>5</v>
      </c>
      <c r="G12" s="14">
        <v>5</v>
      </c>
      <c r="H12" t="s">
        <v>41</v>
      </c>
      <c r="I12" s="30" t="s">
        <v>1530</v>
      </c>
    </row>
    <row r="13" spans="1:9">
      <c r="A13" t="s">
        <v>1544</v>
      </c>
      <c r="B13" t="s">
        <v>280</v>
      </c>
      <c r="C13" s="29">
        <v>46120.605412025463</v>
      </c>
      <c r="D13" s="14">
        <v>3</v>
      </c>
      <c r="E13" s="14">
        <v>2</v>
      </c>
      <c r="F13" s="14">
        <v>2</v>
      </c>
      <c r="G13" s="14">
        <v>4</v>
      </c>
      <c r="H13" t="s">
        <v>47</v>
      </c>
      <c r="I13" s="30" t="s">
        <v>1541</v>
      </c>
    </row>
    <row r="14" spans="1:9">
      <c r="A14" t="s">
        <v>1545</v>
      </c>
      <c r="B14" t="s">
        <v>283</v>
      </c>
      <c r="C14" s="29">
        <v>46118.809971817129</v>
      </c>
      <c r="D14" s="14">
        <v>3</v>
      </c>
      <c r="E14" s="14">
        <v>4</v>
      </c>
      <c r="F14" s="14">
        <v>2</v>
      </c>
      <c r="G14" s="14">
        <v>3</v>
      </c>
      <c r="H14" t="s">
        <v>47</v>
      </c>
      <c r="I14" s="30" t="s">
        <v>1537</v>
      </c>
    </row>
    <row r="15" spans="1:9">
      <c r="A15" t="s">
        <v>1546</v>
      </c>
      <c r="B15" t="s">
        <v>288</v>
      </c>
      <c r="C15" s="29">
        <v>46119.365789664349</v>
      </c>
      <c r="D15" s="14">
        <v>4</v>
      </c>
      <c r="E15" s="14">
        <v>3</v>
      </c>
      <c r="F15" s="14">
        <v>3</v>
      </c>
      <c r="G15" s="14">
        <v>5</v>
      </c>
      <c r="H15" t="s">
        <v>41</v>
      </c>
      <c r="I15" s="30" t="s">
        <v>1530</v>
      </c>
    </row>
    <row r="16" spans="1:9">
      <c r="A16" t="s">
        <v>1547</v>
      </c>
      <c r="B16" t="s">
        <v>290</v>
      </c>
      <c r="C16" s="29">
        <v>46120.813017546294</v>
      </c>
      <c r="D16" s="14">
        <v>2</v>
      </c>
      <c r="E16" s="14">
        <v>3</v>
      </c>
      <c r="F16" s="14">
        <v>1</v>
      </c>
      <c r="G16" s="14">
        <v>3</v>
      </c>
      <c r="H16" t="s">
        <v>47</v>
      </c>
      <c r="I16" s="30" t="s">
        <v>1548</v>
      </c>
    </row>
    <row r="17" spans="1:9">
      <c r="A17" t="s">
        <v>1549</v>
      </c>
      <c r="B17" t="s">
        <v>292</v>
      </c>
      <c r="C17" s="29">
        <v>46118.793172418984</v>
      </c>
      <c r="D17" s="14">
        <v>4</v>
      </c>
      <c r="E17" s="14">
        <v>4</v>
      </c>
      <c r="F17" s="14">
        <v>3</v>
      </c>
      <c r="G17" s="14">
        <v>4</v>
      </c>
      <c r="H17" t="s">
        <v>41</v>
      </c>
      <c r="I17" s="30" t="s">
        <v>1532</v>
      </c>
    </row>
    <row r="18" spans="1:9">
      <c r="A18" t="s">
        <v>1550</v>
      </c>
      <c r="B18" t="s">
        <v>296</v>
      </c>
      <c r="C18" s="29">
        <v>46118.731382395832</v>
      </c>
      <c r="D18" s="14">
        <v>5</v>
      </c>
      <c r="E18" s="14">
        <v>5</v>
      </c>
      <c r="F18" s="14">
        <v>5</v>
      </c>
      <c r="G18" s="14">
        <v>5</v>
      </c>
      <c r="H18" t="s">
        <v>41</v>
      </c>
      <c r="I18" s="30" t="s">
        <v>1530</v>
      </c>
    </row>
    <row r="19" spans="1:9">
      <c r="A19" t="s">
        <v>1551</v>
      </c>
      <c r="B19" t="s">
        <v>302</v>
      </c>
      <c r="C19" s="29">
        <v>46119.440735891207</v>
      </c>
      <c r="D19" s="14">
        <v>5</v>
      </c>
      <c r="E19" s="14">
        <v>5</v>
      </c>
      <c r="F19" s="14">
        <v>5</v>
      </c>
      <c r="G19" s="14">
        <v>5</v>
      </c>
      <c r="H19" t="s">
        <v>41</v>
      </c>
      <c r="I19" s="30" t="s">
        <v>1530</v>
      </c>
    </row>
    <row r="20" spans="1:9">
      <c r="A20" t="s">
        <v>1552</v>
      </c>
      <c r="B20" t="s">
        <v>306</v>
      </c>
      <c r="C20" s="29">
        <v>46119.765563194444</v>
      </c>
      <c r="D20" s="14">
        <v>5</v>
      </c>
      <c r="E20" s="14">
        <v>4</v>
      </c>
      <c r="F20" s="14">
        <v>4</v>
      </c>
      <c r="G20" s="14">
        <v>5</v>
      </c>
      <c r="H20" t="s">
        <v>41</v>
      </c>
      <c r="I20" s="30" t="s">
        <v>1530</v>
      </c>
    </row>
    <row r="21" spans="1:9">
      <c r="A21" t="s">
        <v>1553</v>
      </c>
      <c r="B21" t="s">
        <v>308</v>
      </c>
      <c r="C21" s="29">
        <v>46119.327675972221</v>
      </c>
      <c r="D21" s="14">
        <v>5</v>
      </c>
      <c r="E21" s="14">
        <v>5</v>
      </c>
      <c r="F21" s="14">
        <v>5</v>
      </c>
      <c r="G21" s="14">
        <v>5</v>
      </c>
      <c r="H21" t="s">
        <v>41</v>
      </c>
      <c r="I21" s="30" t="s">
        <v>1532</v>
      </c>
    </row>
    <row r="22" spans="1:9">
      <c r="A22" t="s">
        <v>1554</v>
      </c>
      <c r="B22" t="s">
        <v>311</v>
      </c>
      <c r="C22" s="29">
        <v>46121.037621944444</v>
      </c>
      <c r="D22" s="14">
        <v>5</v>
      </c>
      <c r="E22" s="14">
        <v>5</v>
      </c>
      <c r="F22" s="14">
        <v>5</v>
      </c>
      <c r="G22" s="14">
        <v>5</v>
      </c>
      <c r="H22" t="s">
        <v>41</v>
      </c>
      <c r="I22" s="30" t="s">
        <v>1532</v>
      </c>
    </row>
    <row r="23" spans="1:9">
      <c r="A23" t="s">
        <v>1555</v>
      </c>
      <c r="B23" t="s">
        <v>313</v>
      </c>
      <c r="C23" s="29">
        <v>46120.645317835646</v>
      </c>
      <c r="D23" s="14">
        <v>3</v>
      </c>
      <c r="E23" s="14">
        <v>2</v>
      </c>
      <c r="F23" s="14">
        <v>2</v>
      </c>
      <c r="G23" s="14">
        <v>4</v>
      </c>
      <c r="H23" t="s">
        <v>47</v>
      </c>
      <c r="I23" s="30" t="s">
        <v>1537</v>
      </c>
    </row>
    <row r="24" spans="1:9">
      <c r="A24" t="s">
        <v>1556</v>
      </c>
      <c r="B24" t="s">
        <v>316</v>
      </c>
      <c r="C24" s="29">
        <v>46121.326837303241</v>
      </c>
      <c r="D24" s="14">
        <v>4</v>
      </c>
      <c r="E24" s="14">
        <v>4</v>
      </c>
      <c r="F24" s="14">
        <v>4</v>
      </c>
      <c r="G24" s="14">
        <v>5</v>
      </c>
      <c r="H24" t="s">
        <v>41</v>
      </c>
      <c r="I24" s="30" t="s">
        <v>1530</v>
      </c>
    </row>
    <row r="25" spans="1:9">
      <c r="A25" t="s">
        <v>1557</v>
      </c>
      <c r="B25" t="s">
        <v>318</v>
      </c>
      <c r="C25" s="29">
        <v>46121.155438726855</v>
      </c>
      <c r="D25" s="14">
        <v>4</v>
      </c>
      <c r="E25" s="14">
        <v>4</v>
      </c>
      <c r="F25" s="14">
        <v>3</v>
      </c>
      <c r="G25" s="14">
        <v>5</v>
      </c>
      <c r="H25" t="s">
        <v>41</v>
      </c>
      <c r="I25" s="30" t="s">
        <v>1532</v>
      </c>
    </row>
    <row r="26" spans="1:9">
      <c r="A26" t="s">
        <v>1558</v>
      </c>
      <c r="B26" t="s">
        <v>321</v>
      </c>
      <c r="C26" s="29">
        <v>46120.967676736109</v>
      </c>
      <c r="D26" s="14">
        <v>4</v>
      </c>
      <c r="E26" s="14">
        <v>3</v>
      </c>
      <c r="F26" s="14">
        <v>5</v>
      </c>
      <c r="G26" s="14">
        <v>4</v>
      </c>
      <c r="H26" t="s">
        <v>41</v>
      </c>
      <c r="I26" s="30" t="s">
        <v>1539</v>
      </c>
    </row>
    <row r="27" spans="1:9">
      <c r="A27" t="s">
        <v>1559</v>
      </c>
      <c r="B27" t="s">
        <v>323</v>
      </c>
      <c r="C27" s="29">
        <v>46122.363078391201</v>
      </c>
      <c r="D27" s="14">
        <v>5</v>
      </c>
      <c r="E27" s="14">
        <v>5</v>
      </c>
      <c r="F27" s="14">
        <v>5</v>
      </c>
      <c r="G27" s="14">
        <v>5</v>
      </c>
      <c r="H27" t="s">
        <v>41</v>
      </c>
      <c r="I27" s="30" t="s">
        <v>1530</v>
      </c>
    </row>
    <row r="28" spans="1:9">
      <c r="A28" t="s">
        <v>1560</v>
      </c>
      <c r="B28" t="s">
        <v>329</v>
      </c>
      <c r="C28" s="29">
        <v>46120.969655416666</v>
      </c>
      <c r="D28" s="14">
        <v>4</v>
      </c>
      <c r="E28" s="14">
        <v>3</v>
      </c>
      <c r="F28" s="14">
        <v>3</v>
      </c>
      <c r="G28" s="14">
        <v>5</v>
      </c>
      <c r="H28" t="s">
        <v>41</v>
      </c>
      <c r="I28" s="30" t="s">
        <v>1532</v>
      </c>
    </row>
    <row r="29" spans="1:9">
      <c r="A29" t="s">
        <v>1561</v>
      </c>
      <c r="B29" t="s">
        <v>335</v>
      </c>
      <c r="C29" s="29">
        <v>46121.238324791666</v>
      </c>
      <c r="D29" s="14">
        <v>4</v>
      </c>
      <c r="E29" s="14">
        <v>5</v>
      </c>
      <c r="F29" s="14">
        <v>4</v>
      </c>
      <c r="G29" s="14">
        <v>4</v>
      </c>
      <c r="H29" t="s">
        <v>41</v>
      </c>
      <c r="I29" s="30" t="s">
        <v>1539</v>
      </c>
    </row>
    <row r="30" spans="1:9">
      <c r="A30" t="s">
        <v>1562</v>
      </c>
      <c r="B30" t="s">
        <v>337</v>
      </c>
      <c r="C30" s="29">
        <v>46122.019791064813</v>
      </c>
      <c r="D30" s="14">
        <v>3</v>
      </c>
      <c r="E30" s="14">
        <v>2</v>
      </c>
      <c r="F30" s="14">
        <v>2</v>
      </c>
      <c r="G30" s="14">
        <v>4</v>
      </c>
      <c r="H30" t="s">
        <v>47</v>
      </c>
      <c r="I30" s="30" t="s">
        <v>1537</v>
      </c>
    </row>
    <row r="31" spans="1:9">
      <c r="A31" t="s">
        <v>1563</v>
      </c>
      <c r="B31" t="s">
        <v>341</v>
      </c>
      <c r="C31" s="29">
        <v>46121.102049351852</v>
      </c>
      <c r="D31" s="14">
        <v>3</v>
      </c>
      <c r="E31" s="14">
        <v>2</v>
      </c>
      <c r="F31" s="14">
        <v>4</v>
      </c>
      <c r="G31" s="14">
        <v>3</v>
      </c>
      <c r="H31" t="s">
        <v>47</v>
      </c>
      <c r="I31" s="30" t="s">
        <v>1535</v>
      </c>
    </row>
    <row r="32" spans="1:9">
      <c r="A32" t="s">
        <v>1564</v>
      </c>
      <c r="B32" t="s">
        <v>343</v>
      </c>
      <c r="C32" s="29">
        <v>46121.459726527777</v>
      </c>
      <c r="D32" s="14">
        <v>3</v>
      </c>
      <c r="E32" s="14">
        <v>3</v>
      </c>
      <c r="F32" s="14">
        <v>2</v>
      </c>
      <c r="G32" s="14">
        <v>3</v>
      </c>
      <c r="H32" t="s">
        <v>47</v>
      </c>
      <c r="I32" s="30" t="s">
        <v>1535</v>
      </c>
    </row>
    <row r="33" spans="1:9">
      <c r="A33" t="s">
        <v>1565</v>
      </c>
      <c r="B33" t="s">
        <v>345</v>
      </c>
      <c r="C33" s="29">
        <v>46120.456469444442</v>
      </c>
      <c r="D33" s="14">
        <v>3</v>
      </c>
      <c r="E33" s="14">
        <v>2</v>
      </c>
      <c r="F33" s="14">
        <v>4</v>
      </c>
      <c r="G33" s="14">
        <v>3</v>
      </c>
      <c r="H33" t="s">
        <v>47</v>
      </c>
      <c r="I33" s="30" t="s">
        <v>1541</v>
      </c>
    </row>
    <row r="34" spans="1:9">
      <c r="A34" t="s">
        <v>1566</v>
      </c>
      <c r="B34" t="s">
        <v>347</v>
      </c>
      <c r="C34" s="29">
        <v>46122.887772060189</v>
      </c>
      <c r="D34" s="14">
        <v>2</v>
      </c>
      <c r="E34" s="14">
        <v>3</v>
      </c>
      <c r="F34" s="14">
        <v>1</v>
      </c>
      <c r="G34" s="14">
        <v>3</v>
      </c>
      <c r="H34" t="s">
        <v>47</v>
      </c>
      <c r="I34" s="30" t="s">
        <v>1548</v>
      </c>
    </row>
    <row r="35" spans="1:9">
      <c r="A35" t="s">
        <v>1567</v>
      </c>
      <c r="B35" t="s">
        <v>348</v>
      </c>
      <c r="C35" s="29">
        <v>46122.093221678238</v>
      </c>
      <c r="D35" s="14">
        <v>4</v>
      </c>
      <c r="E35" s="14">
        <v>5</v>
      </c>
      <c r="F35" s="14">
        <v>3</v>
      </c>
      <c r="G35" s="14">
        <v>4</v>
      </c>
      <c r="H35" t="s">
        <v>41</v>
      </c>
      <c r="I35" s="30" t="s">
        <v>1539</v>
      </c>
    </row>
    <row r="36" spans="1:9">
      <c r="A36" t="s">
        <v>1568</v>
      </c>
      <c r="B36" t="s">
        <v>351</v>
      </c>
      <c r="C36" s="29">
        <v>46121.994902511571</v>
      </c>
      <c r="D36" s="14">
        <v>5</v>
      </c>
      <c r="E36" s="14">
        <v>4</v>
      </c>
      <c r="F36" s="14">
        <v>4</v>
      </c>
      <c r="G36" s="14">
        <v>5</v>
      </c>
      <c r="H36" t="s">
        <v>41</v>
      </c>
      <c r="I36" s="30" t="s">
        <v>1539</v>
      </c>
    </row>
    <row r="37" spans="1:9">
      <c r="A37" t="s">
        <v>1569</v>
      </c>
      <c r="B37" t="s">
        <v>353</v>
      </c>
      <c r="C37" s="29">
        <v>46122.387252002314</v>
      </c>
      <c r="D37" s="14">
        <v>2</v>
      </c>
      <c r="E37" s="14">
        <v>3</v>
      </c>
      <c r="F37" s="14">
        <v>1</v>
      </c>
      <c r="G37" s="14">
        <v>2</v>
      </c>
      <c r="H37" t="s">
        <v>47</v>
      </c>
      <c r="I37" s="30" t="s">
        <v>1570</v>
      </c>
    </row>
    <row r="38" spans="1:9">
      <c r="A38" t="s">
        <v>1571</v>
      </c>
      <c r="B38" t="s">
        <v>359</v>
      </c>
      <c r="C38" s="29">
        <v>46122.633438657409</v>
      </c>
      <c r="D38" s="14">
        <v>3</v>
      </c>
      <c r="E38" s="14">
        <v>2</v>
      </c>
      <c r="F38" s="14">
        <v>4</v>
      </c>
      <c r="G38" s="14">
        <v>3</v>
      </c>
      <c r="H38" t="s">
        <v>47</v>
      </c>
      <c r="I38" s="30" t="s">
        <v>1537</v>
      </c>
    </row>
    <row r="39" spans="1:9">
      <c r="A39" t="s">
        <v>1572</v>
      </c>
      <c r="B39" t="s">
        <v>367</v>
      </c>
      <c r="C39" s="29">
        <v>46123.061450393521</v>
      </c>
      <c r="D39" s="14">
        <v>3</v>
      </c>
      <c r="E39" s="14">
        <v>2</v>
      </c>
      <c r="F39" s="14">
        <v>4</v>
      </c>
      <c r="G39" s="14">
        <v>4</v>
      </c>
      <c r="H39" t="s">
        <v>47</v>
      </c>
      <c r="I39" s="30" t="s">
        <v>1537</v>
      </c>
    </row>
    <row r="40" spans="1:9">
      <c r="A40" t="s">
        <v>1573</v>
      </c>
      <c r="B40" t="s">
        <v>373</v>
      </c>
      <c r="C40" s="29">
        <v>46125.544063506946</v>
      </c>
      <c r="D40" s="14">
        <v>5</v>
      </c>
      <c r="E40" s="14">
        <v>5</v>
      </c>
      <c r="F40" s="14">
        <v>5</v>
      </c>
      <c r="G40" s="14">
        <v>5</v>
      </c>
      <c r="H40" t="s">
        <v>41</v>
      </c>
      <c r="I40" s="30" t="s">
        <v>1539</v>
      </c>
    </row>
    <row r="41" spans="1:9">
      <c r="A41" t="s">
        <v>1574</v>
      </c>
      <c r="B41" t="s">
        <v>375</v>
      </c>
      <c r="C41" s="29">
        <v>46124.759349305554</v>
      </c>
      <c r="D41" s="14">
        <v>5</v>
      </c>
      <c r="E41" s="14">
        <v>4</v>
      </c>
      <c r="F41" s="14">
        <v>4</v>
      </c>
      <c r="G41" s="14">
        <v>5</v>
      </c>
      <c r="H41" t="s">
        <v>41</v>
      </c>
      <c r="I41" s="30" t="s">
        <v>1532</v>
      </c>
    </row>
    <row r="42" spans="1:9">
      <c r="A42" t="s">
        <v>1575</v>
      </c>
      <c r="B42" t="s">
        <v>377</v>
      </c>
      <c r="C42" s="29">
        <v>46125.696040486109</v>
      </c>
      <c r="D42" s="14">
        <v>5</v>
      </c>
      <c r="E42" s="14">
        <v>4</v>
      </c>
      <c r="F42" s="14">
        <v>4</v>
      </c>
      <c r="G42" s="14">
        <v>5</v>
      </c>
      <c r="H42" t="s">
        <v>41</v>
      </c>
      <c r="I42" s="30" t="s">
        <v>1539</v>
      </c>
    </row>
    <row r="43" spans="1:9">
      <c r="A43" t="s">
        <v>1576</v>
      </c>
      <c r="B43" t="s">
        <v>382</v>
      </c>
      <c r="C43" s="29">
        <v>46125.348678240742</v>
      </c>
      <c r="D43" s="14">
        <v>4</v>
      </c>
      <c r="E43" s="14">
        <v>5</v>
      </c>
      <c r="F43" s="14">
        <v>3</v>
      </c>
      <c r="G43" s="14">
        <v>4</v>
      </c>
      <c r="H43" t="s">
        <v>41</v>
      </c>
      <c r="I43" s="30" t="s">
        <v>1539</v>
      </c>
    </row>
    <row r="44" spans="1:9">
      <c r="A44" t="s">
        <v>1577</v>
      </c>
      <c r="B44" t="s">
        <v>385</v>
      </c>
      <c r="C44" s="29">
        <v>46125.037117743057</v>
      </c>
      <c r="D44" s="14">
        <v>2</v>
      </c>
      <c r="E44" s="14">
        <v>3</v>
      </c>
      <c r="F44" s="14">
        <v>1</v>
      </c>
      <c r="G44" s="14">
        <v>2</v>
      </c>
      <c r="H44" t="s">
        <v>47</v>
      </c>
      <c r="I44" s="30" t="s">
        <v>1548</v>
      </c>
    </row>
    <row r="45" spans="1:9">
      <c r="A45" t="s">
        <v>1578</v>
      </c>
      <c r="B45" t="s">
        <v>386</v>
      </c>
      <c r="C45" s="29">
        <v>46126.706328703702</v>
      </c>
      <c r="D45" s="14">
        <v>5</v>
      </c>
      <c r="E45" s="14">
        <v>5</v>
      </c>
      <c r="F45" s="14">
        <v>5</v>
      </c>
      <c r="G45" s="14">
        <v>5</v>
      </c>
      <c r="H45" t="s">
        <v>41</v>
      </c>
      <c r="I45" s="30" t="s">
        <v>1530</v>
      </c>
    </row>
    <row r="46" spans="1:9">
      <c r="A46" t="s">
        <v>1579</v>
      </c>
      <c r="B46" t="s">
        <v>390</v>
      </c>
      <c r="C46" s="29">
        <v>46126.907628217596</v>
      </c>
      <c r="D46" s="14">
        <v>5</v>
      </c>
      <c r="E46" s="14">
        <v>4</v>
      </c>
      <c r="F46" s="14">
        <v>5</v>
      </c>
      <c r="G46" s="14">
        <v>5</v>
      </c>
      <c r="H46" t="s">
        <v>41</v>
      </c>
      <c r="I46" s="30" t="s">
        <v>1530</v>
      </c>
    </row>
    <row r="47" spans="1:9">
      <c r="A47" t="s">
        <v>1580</v>
      </c>
      <c r="B47" t="s">
        <v>392</v>
      </c>
      <c r="C47" s="29">
        <v>46127.177024583332</v>
      </c>
      <c r="D47" s="14">
        <v>5</v>
      </c>
      <c r="E47" s="14">
        <v>5</v>
      </c>
      <c r="F47" s="14">
        <v>4</v>
      </c>
      <c r="G47" s="14">
        <v>5</v>
      </c>
      <c r="H47" t="s">
        <v>41</v>
      </c>
      <c r="I47" s="30" t="s">
        <v>1532</v>
      </c>
    </row>
    <row r="48" spans="1:9">
      <c r="A48" t="s">
        <v>1581</v>
      </c>
      <c r="B48" t="s">
        <v>395</v>
      </c>
      <c r="C48" s="29">
        <v>46126.244522384259</v>
      </c>
      <c r="D48" s="14">
        <v>3</v>
      </c>
      <c r="E48" s="14">
        <v>2</v>
      </c>
      <c r="F48" s="14">
        <v>2</v>
      </c>
      <c r="G48" s="14">
        <v>3</v>
      </c>
      <c r="H48" t="s">
        <v>47</v>
      </c>
      <c r="I48" s="30" t="s">
        <v>1535</v>
      </c>
    </row>
    <row r="49" spans="1:9">
      <c r="A49" t="s">
        <v>1582</v>
      </c>
      <c r="B49" t="s">
        <v>397</v>
      </c>
      <c r="C49" s="29">
        <v>46125.146620636573</v>
      </c>
      <c r="D49" s="14">
        <v>4</v>
      </c>
      <c r="E49" s="14">
        <v>3</v>
      </c>
      <c r="F49" s="14">
        <v>4</v>
      </c>
      <c r="G49" s="14">
        <v>5</v>
      </c>
      <c r="H49" t="s">
        <v>41</v>
      </c>
      <c r="I49" s="30" t="s">
        <v>1539</v>
      </c>
    </row>
    <row r="50" spans="1:9">
      <c r="A50" t="s">
        <v>1583</v>
      </c>
      <c r="B50" t="s">
        <v>401</v>
      </c>
      <c r="C50" s="29">
        <v>46128.008847060184</v>
      </c>
      <c r="D50" s="14">
        <v>3</v>
      </c>
      <c r="E50" s="14">
        <v>2</v>
      </c>
      <c r="F50" s="14">
        <v>2</v>
      </c>
      <c r="G50" s="14">
        <v>4</v>
      </c>
      <c r="H50" t="s">
        <v>47</v>
      </c>
      <c r="I50" s="30" t="s">
        <v>1537</v>
      </c>
    </row>
    <row r="51" spans="1:9">
      <c r="A51" t="s">
        <v>1584</v>
      </c>
      <c r="B51" t="s">
        <v>404</v>
      </c>
      <c r="C51" s="29">
        <v>46128.416539699072</v>
      </c>
      <c r="D51" s="14">
        <v>2</v>
      </c>
      <c r="E51" s="14">
        <v>1</v>
      </c>
      <c r="F51" s="14">
        <v>1</v>
      </c>
      <c r="G51" s="14">
        <v>2</v>
      </c>
      <c r="H51" t="s">
        <v>47</v>
      </c>
      <c r="I51" s="30" t="s">
        <v>1548</v>
      </c>
    </row>
    <row r="52" spans="1:9">
      <c r="A52" t="s">
        <v>1585</v>
      </c>
      <c r="B52" t="s">
        <v>409</v>
      </c>
      <c r="C52" s="29">
        <v>46126.38304547454</v>
      </c>
      <c r="D52" s="14">
        <v>4</v>
      </c>
      <c r="E52" s="14">
        <v>4</v>
      </c>
      <c r="F52" s="14">
        <v>3</v>
      </c>
      <c r="G52" s="14">
        <v>5</v>
      </c>
      <c r="H52" t="s">
        <v>41</v>
      </c>
      <c r="I52" s="30" t="s">
        <v>1532</v>
      </c>
    </row>
    <row r="53" spans="1:9">
      <c r="A53" t="s">
        <v>1586</v>
      </c>
      <c r="B53" t="s">
        <v>412</v>
      </c>
      <c r="C53" s="29">
        <v>46128.564650949076</v>
      </c>
      <c r="D53" s="14">
        <v>4</v>
      </c>
      <c r="E53" s="14">
        <v>3</v>
      </c>
      <c r="F53" s="14">
        <v>3</v>
      </c>
      <c r="G53" s="14">
        <v>4</v>
      </c>
      <c r="H53" t="s">
        <v>41</v>
      </c>
      <c r="I53" s="30" t="s">
        <v>1539</v>
      </c>
    </row>
    <row r="54" spans="1:9">
      <c r="A54" t="s">
        <v>1587</v>
      </c>
      <c r="B54" t="s">
        <v>416</v>
      </c>
      <c r="C54" s="29">
        <v>46127.84581903935</v>
      </c>
      <c r="D54" s="14">
        <v>3</v>
      </c>
      <c r="E54" s="14">
        <v>2</v>
      </c>
      <c r="F54" s="14">
        <v>4</v>
      </c>
      <c r="G54" s="14">
        <v>4</v>
      </c>
      <c r="H54" t="s">
        <v>47</v>
      </c>
      <c r="I54" s="30" t="s">
        <v>1537</v>
      </c>
    </row>
    <row r="55" spans="1:9">
      <c r="A55" t="s">
        <v>1588</v>
      </c>
      <c r="B55" t="s">
        <v>418</v>
      </c>
      <c r="C55" s="29">
        <v>46128.266212187496</v>
      </c>
      <c r="D55" s="14">
        <v>5</v>
      </c>
      <c r="E55" s="14">
        <v>4</v>
      </c>
      <c r="F55" s="14">
        <v>5</v>
      </c>
      <c r="G55" s="14">
        <v>5</v>
      </c>
      <c r="H55" t="s">
        <v>41</v>
      </c>
      <c r="I55" s="30" t="s">
        <v>1530</v>
      </c>
    </row>
    <row r="56" spans="1:9">
      <c r="A56" t="s">
        <v>1589</v>
      </c>
      <c r="B56" t="s">
        <v>419</v>
      </c>
      <c r="C56" s="29">
        <v>46128.653423356482</v>
      </c>
      <c r="D56" s="14">
        <v>5</v>
      </c>
      <c r="E56" s="14">
        <v>5</v>
      </c>
      <c r="F56" s="14">
        <v>5</v>
      </c>
      <c r="G56" s="14">
        <v>5</v>
      </c>
      <c r="H56" t="s">
        <v>41</v>
      </c>
      <c r="I56" s="30" t="s">
        <v>1539</v>
      </c>
    </row>
    <row r="57" spans="1:9">
      <c r="A57" t="s">
        <v>1590</v>
      </c>
      <c r="B57" t="s">
        <v>421</v>
      </c>
      <c r="C57" s="29">
        <v>46127.354826041665</v>
      </c>
      <c r="D57" s="14">
        <v>5</v>
      </c>
      <c r="E57" s="14">
        <v>4</v>
      </c>
      <c r="F57" s="14">
        <v>4</v>
      </c>
      <c r="G57" s="14">
        <v>5</v>
      </c>
      <c r="H57" t="s">
        <v>41</v>
      </c>
      <c r="I57" s="30" t="s">
        <v>1539</v>
      </c>
    </row>
    <row r="58" spans="1:9">
      <c r="A58" t="s">
        <v>1591</v>
      </c>
      <c r="B58" t="s">
        <v>422</v>
      </c>
      <c r="C58" s="29">
        <v>46127.399698865738</v>
      </c>
      <c r="D58" s="14">
        <v>3</v>
      </c>
      <c r="E58" s="14">
        <v>2</v>
      </c>
      <c r="F58" s="14">
        <v>3</v>
      </c>
      <c r="G58" s="14">
        <v>3</v>
      </c>
      <c r="H58" t="s">
        <v>47</v>
      </c>
      <c r="I58" s="30" t="s">
        <v>1537</v>
      </c>
    </row>
    <row r="59" spans="1:9">
      <c r="A59" t="s">
        <v>1592</v>
      </c>
      <c r="B59" t="s">
        <v>424</v>
      </c>
      <c r="C59" s="29">
        <v>46129.226205185187</v>
      </c>
      <c r="D59" s="14">
        <v>3</v>
      </c>
      <c r="E59" s="14">
        <v>3</v>
      </c>
      <c r="F59" s="14">
        <v>2</v>
      </c>
      <c r="G59" s="14">
        <v>4</v>
      </c>
      <c r="H59" t="s">
        <v>47</v>
      </c>
      <c r="I59" s="30" t="s">
        <v>1541</v>
      </c>
    </row>
    <row r="60" spans="1:9">
      <c r="A60" t="s">
        <v>1593</v>
      </c>
      <c r="B60" t="s">
        <v>426</v>
      </c>
      <c r="C60" s="29">
        <v>46129.195056076387</v>
      </c>
      <c r="D60" s="14">
        <v>5</v>
      </c>
      <c r="E60" s="14">
        <v>5</v>
      </c>
      <c r="F60" s="14">
        <v>5</v>
      </c>
      <c r="G60" s="14">
        <v>5</v>
      </c>
      <c r="H60" t="s">
        <v>41</v>
      </c>
      <c r="I60" s="30" t="s">
        <v>1539</v>
      </c>
    </row>
    <row r="61" spans="1:9">
      <c r="A61" t="s">
        <v>1594</v>
      </c>
      <c r="B61" t="s">
        <v>428</v>
      </c>
      <c r="C61" s="29">
        <v>46128.335073402777</v>
      </c>
      <c r="D61" s="14">
        <v>4</v>
      </c>
      <c r="E61" s="14">
        <v>3</v>
      </c>
      <c r="F61" s="14">
        <v>3</v>
      </c>
      <c r="G61" s="14">
        <v>4</v>
      </c>
      <c r="H61" t="s">
        <v>41</v>
      </c>
      <c r="I61" s="30" t="s">
        <v>1530</v>
      </c>
    </row>
    <row r="62" spans="1:9">
      <c r="A62" t="s">
        <v>1595</v>
      </c>
      <c r="B62" t="s">
        <v>430</v>
      </c>
      <c r="C62" s="29">
        <v>46130.517211261576</v>
      </c>
      <c r="D62" s="14">
        <v>4</v>
      </c>
      <c r="E62" s="14">
        <v>3</v>
      </c>
      <c r="F62" s="14">
        <v>5</v>
      </c>
      <c r="G62" s="14">
        <v>5</v>
      </c>
      <c r="H62" t="s">
        <v>41</v>
      </c>
      <c r="I62" s="30" t="s">
        <v>1530</v>
      </c>
    </row>
    <row r="63" spans="1:9">
      <c r="A63" t="s">
        <v>1596</v>
      </c>
      <c r="B63" t="s">
        <v>431</v>
      </c>
      <c r="C63" s="29">
        <v>46130.081273680553</v>
      </c>
      <c r="D63" s="14">
        <v>4</v>
      </c>
      <c r="E63" s="14">
        <v>4</v>
      </c>
      <c r="F63" s="14">
        <v>5</v>
      </c>
      <c r="G63" s="14">
        <v>4</v>
      </c>
      <c r="H63" t="s">
        <v>41</v>
      </c>
      <c r="I63" s="30" t="s">
        <v>1532</v>
      </c>
    </row>
    <row r="64" spans="1:9">
      <c r="A64" t="s">
        <v>1597</v>
      </c>
      <c r="B64" t="s">
        <v>435</v>
      </c>
      <c r="C64" s="29">
        <v>46128.702734467595</v>
      </c>
      <c r="D64" s="14">
        <v>4</v>
      </c>
      <c r="E64" s="14">
        <v>5</v>
      </c>
      <c r="F64" s="14">
        <v>3</v>
      </c>
      <c r="G64" s="14">
        <v>4</v>
      </c>
      <c r="H64" t="s">
        <v>41</v>
      </c>
      <c r="I64" s="30" t="s">
        <v>1532</v>
      </c>
    </row>
    <row r="65" spans="1:9">
      <c r="A65" t="s">
        <v>1598</v>
      </c>
      <c r="B65" t="s">
        <v>437</v>
      </c>
      <c r="C65" s="29">
        <v>46129.455977858794</v>
      </c>
      <c r="D65" s="14">
        <v>4</v>
      </c>
      <c r="E65" s="14">
        <v>4</v>
      </c>
      <c r="F65" s="14">
        <v>3</v>
      </c>
      <c r="G65" s="14">
        <v>4</v>
      </c>
      <c r="H65" t="s">
        <v>41</v>
      </c>
      <c r="I65" s="30" t="s">
        <v>1539</v>
      </c>
    </row>
    <row r="66" spans="1:9">
      <c r="A66" t="s">
        <v>1599</v>
      </c>
      <c r="B66" t="s">
        <v>439</v>
      </c>
      <c r="C66" s="29">
        <v>46129.909006296293</v>
      </c>
      <c r="D66" s="14">
        <v>4</v>
      </c>
      <c r="E66" s="14">
        <v>5</v>
      </c>
      <c r="F66" s="14">
        <v>3</v>
      </c>
      <c r="G66" s="14">
        <v>4</v>
      </c>
      <c r="H66" t="s">
        <v>41</v>
      </c>
      <c r="I66" s="30" t="s">
        <v>1539</v>
      </c>
    </row>
    <row r="67" spans="1:9">
      <c r="A67" t="s">
        <v>1600</v>
      </c>
      <c r="B67" t="s">
        <v>442</v>
      </c>
      <c r="C67" s="29">
        <v>46129.605572835651</v>
      </c>
      <c r="D67" s="14">
        <v>4</v>
      </c>
      <c r="E67" s="14">
        <v>3</v>
      </c>
      <c r="F67" s="14">
        <v>5</v>
      </c>
      <c r="G67" s="14">
        <v>4</v>
      </c>
      <c r="H67" t="s">
        <v>41</v>
      </c>
      <c r="I67" s="30" t="s">
        <v>1530</v>
      </c>
    </row>
    <row r="68" spans="1:9">
      <c r="A68" t="s">
        <v>1601</v>
      </c>
      <c r="B68" t="s">
        <v>444</v>
      </c>
      <c r="C68" s="29">
        <v>46130.541503483793</v>
      </c>
      <c r="D68" s="14">
        <v>4</v>
      </c>
      <c r="E68" s="14">
        <v>4</v>
      </c>
      <c r="F68" s="14">
        <v>5</v>
      </c>
      <c r="G68" s="14">
        <v>5</v>
      </c>
      <c r="H68" t="s">
        <v>41</v>
      </c>
      <c r="I68" s="30" t="s">
        <v>1539</v>
      </c>
    </row>
    <row r="69" spans="1:9">
      <c r="A69" t="s">
        <v>1602</v>
      </c>
      <c r="B69" t="s">
        <v>446</v>
      </c>
      <c r="C69" s="29">
        <v>46130.177522696758</v>
      </c>
      <c r="D69" s="14">
        <v>5</v>
      </c>
      <c r="E69" s="14">
        <v>5</v>
      </c>
      <c r="F69" s="14">
        <v>4</v>
      </c>
      <c r="G69" s="14">
        <v>5</v>
      </c>
      <c r="H69" t="s">
        <v>41</v>
      </c>
      <c r="I69" s="30" t="s">
        <v>1532</v>
      </c>
    </row>
    <row r="70" spans="1:9">
      <c r="A70" t="s">
        <v>1603</v>
      </c>
      <c r="B70" t="s">
        <v>448</v>
      </c>
      <c r="C70" s="29">
        <v>46131.274484097223</v>
      </c>
      <c r="D70" s="14">
        <v>3</v>
      </c>
      <c r="E70" s="14">
        <v>3</v>
      </c>
      <c r="F70" s="14">
        <v>2</v>
      </c>
      <c r="G70" s="14">
        <v>3</v>
      </c>
      <c r="H70" t="s">
        <v>47</v>
      </c>
      <c r="I70" s="30" t="s">
        <v>1537</v>
      </c>
    </row>
    <row r="71" spans="1:9">
      <c r="A71" t="s">
        <v>1604</v>
      </c>
      <c r="B71" t="s">
        <v>450</v>
      </c>
      <c r="C71" s="29">
        <v>46129.124770393515</v>
      </c>
      <c r="D71" s="14">
        <v>4</v>
      </c>
      <c r="E71" s="14">
        <v>4</v>
      </c>
      <c r="F71" s="14">
        <v>5</v>
      </c>
      <c r="G71" s="14">
        <v>5</v>
      </c>
      <c r="H71" t="s">
        <v>41</v>
      </c>
      <c r="I71" s="30" t="s">
        <v>1539</v>
      </c>
    </row>
    <row r="72" spans="1:9">
      <c r="A72" t="s">
        <v>1605</v>
      </c>
      <c r="B72" t="s">
        <v>455</v>
      </c>
      <c r="C72" s="29">
        <v>46131.427676863423</v>
      </c>
      <c r="D72" s="14">
        <v>5</v>
      </c>
      <c r="E72" s="14">
        <v>5</v>
      </c>
      <c r="F72" s="14">
        <v>5</v>
      </c>
      <c r="G72" s="14">
        <v>5</v>
      </c>
      <c r="H72" t="s">
        <v>41</v>
      </c>
      <c r="I72" s="30" t="s">
        <v>1539</v>
      </c>
    </row>
    <row r="73" spans="1:9">
      <c r="A73" t="s">
        <v>1606</v>
      </c>
      <c r="B73" t="s">
        <v>457</v>
      </c>
      <c r="C73" s="29">
        <v>46131.570732870372</v>
      </c>
      <c r="D73" s="14">
        <v>3</v>
      </c>
      <c r="E73" s="14">
        <v>3</v>
      </c>
      <c r="F73" s="14">
        <v>2</v>
      </c>
      <c r="G73" s="14">
        <v>4</v>
      </c>
      <c r="H73" t="s">
        <v>47</v>
      </c>
      <c r="I73" s="30" t="s">
        <v>1535</v>
      </c>
    </row>
    <row r="74" spans="1:9">
      <c r="A74" t="s">
        <v>1607</v>
      </c>
      <c r="B74" t="s">
        <v>463</v>
      </c>
      <c r="C74" s="29">
        <v>46131.309397094905</v>
      </c>
      <c r="D74" s="14">
        <v>5</v>
      </c>
      <c r="E74" s="14">
        <v>5</v>
      </c>
      <c r="F74" s="14">
        <v>5</v>
      </c>
      <c r="G74" s="14">
        <v>5</v>
      </c>
      <c r="H74" t="s">
        <v>41</v>
      </c>
      <c r="I74" s="30" t="s">
        <v>1539</v>
      </c>
    </row>
    <row r="75" spans="1:9">
      <c r="A75" t="s">
        <v>1608</v>
      </c>
      <c r="B75" t="s">
        <v>468</v>
      </c>
      <c r="C75" s="29">
        <v>46131.824878009262</v>
      </c>
      <c r="D75" s="14">
        <v>4</v>
      </c>
      <c r="E75" s="14">
        <v>4</v>
      </c>
      <c r="F75" s="14">
        <v>5</v>
      </c>
      <c r="G75" s="14">
        <v>4</v>
      </c>
      <c r="H75" t="s">
        <v>41</v>
      </c>
      <c r="I75" s="30" t="s">
        <v>1539</v>
      </c>
    </row>
    <row r="76" spans="1:9">
      <c r="A76" t="s">
        <v>1609</v>
      </c>
      <c r="B76" t="s">
        <v>470</v>
      </c>
      <c r="C76" s="29">
        <v>46130.783945636576</v>
      </c>
      <c r="D76" s="14">
        <v>3</v>
      </c>
      <c r="E76" s="14">
        <v>3</v>
      </c>
      <c r="F76" s="14">
        <v>2</v>
      </c>
      <c r="G76" s="14">
        <v>4</v>
      </c>
      <c r="H76" t="s">
        <v>47</v>
      </c>
      <c r="I76" s="30" t="s">
        <v>1535</v>
      </c>
    </row>
    <row r="77" spans="1:9">
      <c r="A77" t="s">
        <v>1610</v>
      </c>
      <c r="B77" t="s">
        <v>472</v>
      </c>
      <c r="C77" s="29">
        <v>46131.365853726849</v>
      </c>
      <c r="D77" s="14">
        <v>3</v>
      </c>
      <c r="E77" s="14">
        <v>3</v>
      </c>
      <c r="F77" s="14">
        <v>2</v>
      </c>
      <c r="G77" s="14">
        <v>3</v>
      </c>
      <c r="H77" t="s">
        <v>47</v>
      </c>
      <c r="I77" s="30" t="s">
        <v>1535</v>
      </c>
    </row>
    <row r="78" spans="1:9">
      <c r="A78" t="s">
        <v>1611</v>
      </c>
      <c r="B78" t="s">
        <v>474</v>
      </c>
      <c r="C78" s="29">
        <v>46130.442347997683</v>
      </c>
      <c r="D78" s="14">
        <v>4</v>
      </c>
      <c r="E78" s="14">
        <v>5</v>
      </c>
      <c r="F78" s="14">
        <v>3</v>
      </c>
      <c r="G78" s="14">
        <v>4</v>
      </c>
      <c r="H78" t="s">
        <v>41</v>
      </c>
      <c r="I78" s="30" t="s">
        <v>1532</v>
      </c>
    </row>
    <row r="79" spans="1:9">
      <c r="A79" t="s">
        <v>1612</v>
      </c>
      <c r="B79" t="s">
        <v>477</v>
      </c>
      <c r="C79" s="29">
        <v>46130.519960983795</v>
      </c>
      <c r="D79" s="14">
        <v>5</v>
      </c>
      <c r="E79" s="14">
        <v>5</v>
      </c>
      <c r="F79" s="14">
        <v>5</v>
      </c>
      <c r="G79" s="14">
        <v>5</v>
      </c>
      <c r="H79" t="s">
        <v>41</v>
      </c>
      <c r="I79" s="30" t="s">
        <v>1539</v>
      </c>
    </row>
    <row r="80" spans="1:9">
      <c r="A80" t="s">
        <v>1613</v>
      </c>
      <c r="B80" t="s">
        <v>485</v>
      </c>
      <c r="C80" s="29">
        <v>46133.050770462964</v>
      </c>
      <c r="D80" s="14">
        <v>4</v>
      </c>
      <c r="E80" s="14">
        <v>3</v>
      </c>
      <c r="F80" s="14">
        <v>4</v>
      </c>
      <c r="G80" s="14">
        <v>4</v>
      </c>
      <c r="H80" t="s">
        <v>41</v>
      </c>
      <c r="I80" s="30" t="s">
        <v>1539</v>
      </c>
    </row>
    <row r="81" spans="1:9">
      <c r="A81" t="s">
        <v>1614</v>
      </c>
      <c r="B81" t="s">
        <v>490</v>
      </c>
      <c r="C81" s="29">
        <v>46132.740146574077</v>
      </c>
      <c r="D81" s="14">
        <v>4</v>
      </c>
      <c r="E81" s="14">
        <v>5</v>
      </c>
      <c r="F81" s="14">
        <v>3</v>
      </c>
      <c r="G81" s="14">
        <v>4</v>
      </c>
      <c r="H81" t="s">
        <v>41</v>
      </c>
      <c r="I81" s="30" t="s">
        <v>1530</v>
      </c>
    </row>
    <row r="82" spans="1:9">
      <c r="A82" t="s">
        <v>1615</v>
      </c>
      <c r="B82" t="s">
        <v>493</v>
      </c>
      <c r="C82" s="29">
        <v>46132.358443159719</v>
      </c>
      <c r="D82" s="14">
        <v>4</v>
      </c>
      <c r="E82" s="14">
        <v>3</v>
      </c>
      <c r="F82" s="14">
        <v>5</v>
      </c>
      <c r="G82" s="14">
        <v>5</v>
      </c>
      <c r="H82" t="s">
        <v>41</v>
      </c>
      <c r="I82" s="30" t="s">
        <v>1532</v>
      </c>
    </row>
    <row r="83" spans="1:9">
      <c r="A83" t="s">
        <v>1616</v>
      </c>
      <c r="B83" t="s">
        <v>496</v>
      </c>
      <c r="C83" s="29">
        <v>46132.402093483797</v>
      </c>
      <c r="D83" s="14">
        <v>3</v>
      </c>
      <c r="E83" s="14">
        <v>3</v>
      </c>
      <c r="F83" s="14">
        <v>2</v>
      </c>
      <c r="G83" s="14">
        <v>4</v>
      </c>
      <c r="H83" t="s">
        <v>47</v>
      </c>
      <c r="I83" s="30" t="s">
        <v>1535</v>
      </c>
    </row>
    <row r="84" spans="1:9">
      <c r="A84" t="s">
        <v>1617</v>
      </c>
      <c r="B84" t="s">
        <v>498</v>
      </c>
      <c r="C84" s="29">
        <v>46134.40223576389</v>
      </c>
      <c r="D84" s="14">
        <v>3</v>
      </c>
      <c r="E84" s="14">
        <v>3</v>
      </c>
      <c r="F84" s="14">
        <v>2</v>
      </c>
      <c r="G84" s="14">
        <v>4</v>
      </c>
      <c r="H84" t="s">
        <v>47</v>
      </c>
      <c r="I84" s="30" t="s">
        <v>1541</v>
      </c>
    </row>
    <row r="85" spans="1:9">
      <c r="A85" t="s">
        <v>1618</v>
      </c>
      <c r="B85" t="s">
        <v>499</v>
      </c>
      <c r="C85" s="29">
        <v>46133.529994872682</v>
      </c>
      <c r="D85" s="14">
        <v>4</v>
      </c>
      <c r="E85" s="14">
        <v>3</v>
      </c>
      <c r="F85" s="14">
        <v>5</v>
      </c>
      <c r="G85" s="14">
        <v>4</v>
      </c>
      <c r="H85" t="s">
        <v>41</v>
      </c>
      <c r="I85" s="30" t="s">
        <v>1530</v>
      </c>
    </row>
    <row r="86" spans="1:9">
      <c r="A86" t="s">
        <v>1619</v>
      </c>
      <c r="B86" t="s">
        <v>501</v>
      </c>
      <c r="C86" s="29">
        <v>46132.930506921293</v>
      </c>
      <c r="D86" s="14">
        <v>4</v>
      </c>
      <c r="E86" s="14">
        <v>4</v>
      </c>
      <c r="F86" s="14">
        <v>4</v>
      </c>
      <c r="G86" s="14">
        <v>4</v>
      </c>
      <c r="H86" t="s">
        <v>41</v>
      </c>
      <c r="I86" s="30" t="s">
        <v>1539</v>
      </c>
    </row>
    <row r="87" spans="1:9">
      <c r="A87" t="s">
        <v>1620</v>
      </c>
      <c r="B87" t="s">
        <v>503</v>
      </c>
      <c r="C87" s="29">
        <v>46133.08957265046</v>
      </c>
      <c r="D87" s="14">
        <v>4</v>
      </c>
      <c r="E87" s="14">
        <v>4</v>
      </c>
      <c r="F87" s="14">
        <v>5</v>
      </c>
      <c r="G87" s="14">
        <v>4</v>
      </c>
      <c r="H87" t="s">
        <v>41</v>
      </c>
      <c r="I87" s="30" t="s">
        <v>1530</v>
      </c>
    </row>
    <row r="88" spans="1:9">
      <c r="A88" t="s">
        <v>1621</v>
      </c>
      <c r="B88" t="s">
        <v>507</v>
      </c>
      <c r="C88" s="29">
        <v>46135.02166165509</v>
      </c>
      <c r="D88" s="14">
        <v>4</v>
      </c>
      <c r="E88" s="14">
        <v>3</v>
      </c>
      <c r="F88" s="14">
        <v>4</v>
      </c>
      <c r="G88" s="14">
        <v>4</v>
      </c>
      <c r="H88" t="s">
        <v>41</v>
      </c>
      <c r="I88" s="30" t="s">
        <v>1539</v>
      </c>
    </row>
    <row r="89" spans="1:9">
      <c r="A89" t="s">
        <v>1622</v>
      </c>
      <c r="B89" t="s">
        <v>509</v>
      </c>
      <c r="C89" s="29">
        <v>46132.648566111115</v>
      </c>
      <c r="D89" s="14">
        <v>5</v>
      </c>
      <c r="E89" s="14">
        <v>5</v>
      </c>
      <c r="F89" s="14">
        <v>5</v>
      </c>
      <c r="G89" s="14">
        <v>5</v>
      </c>
      <c r="H89" t="s">
        <v>41</v>
      </c>
      <c r="I89" s="30" t="s">
        <v>1532</v>
      </c>
    </row>
    <row r="90" spans="1:9">
      <c r="A90" t="s">
        <v>1623</v>
      </c>
      <c r="B90" t="s">
        <v>513</v>
      </c>
      <c r="C90" s="29">
        <v>46135.207366620372</v>
      </c>
      <c r="D90" s="14">
        <v>5</v>
      </c>
      <c r="E90" s="14">
        <v>5</v>
      </c>
      <c r="F90" s="14">
        <v>5</v>
      </c>
      <c r="G90" s="14">
        <v>5</v>
      </c>
      <c r="H90" t="s">
        <v>41</v>
      </c>
      <c r="I90" s="30" t="s">
        <v>1539</v>
      </c>
    </row>
    <row r="91" spans="1:9">
      <c r="A91" t="s">
        <v>1624</v>
      </c>
      <c r="B91" t="s">
        <v>519</v>
      </c>
      <c r="C91" s="29">
        <v>46134.960768553239</v>
      </c>
      <c r="D91" s="14">
        <v>5</v>
      </c>
      <c r="E91" s="14">
        <v>5</v>
      </c>
      <c r="F91" s="14">
        <v>4</v>
      </c>
      <c r="G91" s="14">
        <v>5</v>
      </c>
      <c r="H91" t="s">
        <v>41</v>
      </c>
      <c r="I91" s="30" t="s">
        <v>1530</v>
      </c>
    </row>
    <row r="92" spans="1:9">
      <c r="A92" t="s">
        <v>1625</v>
      </c>
      <c r="B92" t="s">
        <v>520</v>
      </c>
      <c r="C92" s="29">
        <v>46135.220637627317</v>
      </c>
      <c r="D92" s="14">
        <v>2</v>
      </c>
      <c r="E92" s="14">
        <v>1</v>
      </c>
      <c r="F92" s="14">
        <v>1</v>
      </c>
      <c r="G92" s="14">
        <v>2</v>
      </c>
      <c r="H92" t="s">
        <v>47</v>
      </c>
      <c r="I92" s="30" t="s">
        <v>1626</v>
      </c>
    </row>
    <row r="93" spans="1:9">
      <c r="A93" t="s">
        <v>1627</v>
      </c>
      <c r="B93" t="s">
        <v>522</v>
      </c>
      <c r="C93" s="29">
        <v>46133.792050393517</v>
      </c>
      <c r="D93" s="14">
        <v>5</v>
      </c>
      <c r="E93" s="14">
        <v>5</v>
      </c>
      <c r="F93" s="14">
        <v>5</v>
      </c>
      <c r="G93" s="14">
        <v>5</v>
      </c>
      <c r="H93" t="s">
        <v>41</v>
      </c>
      <c r="I93" s="30" t="s">
        <v>1539</v>
      </c>
    </row>
    <row r="94" spans="1:9">
      <c r="A94" t="s">
        <v>1628</v>
      </c>
      <c r="B94" t="s">
        <v>524</v>
      </c>
      <c r="C94" s="29">
        <v>46136.511084872684</v>
      </c>
      <c r="D94" s="14">
        <v>4</v>
      </c>
      <c r="E94" s="14">
        <v>3</v>
      </c>
      <c r="F94" s="14">
        <v>3</v>
      </c>
      <c r="G94" s="14">
        <v>5</v>
      </c>
      <c r="H94" t="s">
        <v>41</v>
      </c>
      <c r="I94" s="30" t="s">
        <v>1532</v>
      </c>
    </row>
    <row r="95" spans="1:9">
      <c r="A95" t="s">
        <v>1629</v>
      </c>
      <c r="B95" t="s">
        <v>525</v>
      </c>
      <c r="C95" s="29">
        <v>46135.852341724538</v>
      </c>
      <c r="D95" s="14">
        <v>4</v>
      </c>
      <c r="E95" s="14">
        <v>3</v>
      </c>
      <c r="F95" s="14">
        <v>4</v>
      </c>
      <c r="G95" s="14">
        <v>4</v>
      </c>
      <c r="H95" t="s">
        <v>41</v>
      </c>
      <c r="I95" s="30" t="s">
        <v>1530</v>
      </c>
    </row>
    <row r="96" spans="1:9">
      <c r="A96" t="s">
        <v>1630</v>
      </c>
      <c r="B96" t="s">
        <v>526</v>
      </c>
      <c r="C96" s="29">
        <v>46136.498938310186</v>
      </c>
      <c r="D96" s="14">
        <v>5</v>
      </c>
      <c r="E96" s="14">
        <v>5</v>
      </c>
      <c r="F96" s="14">
        <v>5</v>
      </c>
      <c r="G96" s="14">
        <v>5</v>
      </c>
      <c r="H96" t="s">
        <v>41</v>
      </c>
      <c r="I96" s="30" t="s">
        <v>1532</v>
      </c>
    </row>
    <row r="97" spans="1:9">
      <c r="A97" t="s">
        <v>1631</v>
      </c>
      <c r="B97" t="s">
        <v>528</v>
      </c>
      <c r="C97" s="29">
        <v>46135.191121365744</v>
      </c>
      <c r="D97" s="14">
        <v>4</v>
      </c>
      <c r="E97" s="14">
        <v>5</v>
      </c>
      <c r="F97" s="14">
        <v>4</v>
      </c>
      <c r="G97" s="14">
        <v>5</v>
      </c>
      <c r="H97" t="s">
        <v>41</v>
      </c>
      <c r="I97" s="30" t="s">
        <v>1532</v>
      </c>
    </row>
    <row r="98" spans="1:9">
      <c r="A98" t="s">
        <v>1632</v>
      </c>
      <c r="B98" t="s">
        <v>530</v>
      </c>
      <c r="C98" s="29">
        <v>46137.101808125</v>
      </c>
      <c r="D98" s="14">
        <v>5</v>
      </c>
      <c r="E98" s="14">
        <v>5</v>
      </c>
      <c r="F98" s="14">
        <v>4</v>
      </c>
      <c r="G98" s="14">
        <v>5</v>
      </c>
      <c r="H98" t="s">
        <v>41</v>
      </c>
      <c r="I98" s="30" t="s">
        <v>1539</v>
      </c>
    </row>
    <row r="99" spans="1:9">
      <c r="A99" t="s">
        <v>1633</v>
      </c>
      <c r="B99" t="s">
        <v>536</v>
      </c>
      <c r="C99" s="29">
        <v>46136.249702511574</v>
      </c>
      <c r="D99" s="14">
        <v>2</v>
      </c>
      <c r="E99" s="14">
        <v>1</v>
      </c>
      <c r="F99" s="14">
        <v>1</v>
      </c>
      <c r="G99" s="14">
        <v>3</v>
      </c>
      <c r="H99" t="s">
        <v>47</v>
      </c>
      <c r="I99" s="30" t="s">
        <v>1626</v>
      </c>
    </row>
    <row r="100" spans="1:9">
      <c r="A100" t="s">
        <v>1634</v>
      </c>
      <c r="B100" t="s">
        <v>537</v>
      </c>
      <c r="C100" s="29">
        <v>46137.033800879632</v>
      </c>
      <c r="D100" s="14">
        <v>3</v>
      </c>
      <c r="E100" s="14">
        <v>2</v>
      </c>
      <c r="F100" s="14">
        <v>2</v>
      </c>
      <c r="G100" s="14">
        <v>4</v>
      </c>
      <c r="H100" t="s">
        <v>47</v>
      </c>
      <c r="I100" s="30" t="s">
        <v>1535</v>
      </c>
    </row>
    <row r="101" spans="1:9">
      <c r="A101" t="s">
        <v>1635</v>
      </c>
      <c r="B101" t="s">
        <v>540</v>
      </c>
      <c r="C101" s="29">
        <v>46136.042965520835</v>
      </c>
      <c r="D101" s="14">
        <v>5</v>
      </c>
      <c r="E101" s="14">
        <v>5</v>
      </c>
      <c r="F101" s="14">
        <v>4</v>
      </c>
      <c r="G101" s="14">
        <v>5</v>
      </c>
      <c r="H101" t="s">
        <v>41</v>
      </c>
      <c r="I101" s="30" t="s">
        <v>1539</v>
      </c>
    </row>
    <row r="102" spans="1:9">
      <c r="A102" t="s">
        <v>1636</v>
      </c>
      <c r="B102" t="s">
        <v>542</v>
      </c>
      <c r="C102" s="29">
        <v>46136.308582280093</v>
      </c>
      <c r="D102" s="14">
        <v>5</v>
      </c>
      <c r="E102" s="14">
        <v>4</v>
      </c>
      <c r="F102" s="14">
        <v>4</v>
      </c>
      <c r="G102" s="14">
        <v>5</v>
      </c>
      <c r="H102" t="s">
        <v>41</v>
      </c>
      <c r="I102" s="30" t="s">
        <v>1532</v>
      </c>
    </row>
    <row r="103" spans="1:9">
      <c r="A103" t="s">
        <v>1637</v>
      </c>
      <c r="B103" t="s">
        <v>544</v>
      </c>
      <c r="C103" s="29">
        <v>46135.7032774537</v>
      </c>
      <c r="D103" s="14">
        <v>5</v>
      </c>
      <c r="E103" s="14">
        <v>5</v>
      </c>
      <c r="F103" s="14">
        <v>5</v>
      </c>
      <c r="G103" s="14">
        <v>5</v>
      </c>
      <c r="H103" t="s">
        <v>41</v>
      </c>
      <c r="I103" s="30" t="s">
        <v>1539</v>
      </c>
    </row>
    <row r="104" spans="1:9">
      <c r="A104" t="s">
        <v>1638</v>
      </c>
      <c r="B104" t="s">
        <v>545</v>
      </c>
      <c r="C104" s="29">
        <v>46136.35715398148</v>
      </c>
      <c r="D104" s="14">
        <v>3</v>
      </c>
      <c r="E104" s="14">
        <v>2</v>
      </c>
      <c r="F104" s="14">
        <v>2</v>
      </c>
      <c r="G104" s="14">
        <v>4</v>
      </c>
      <c r="H104" t="s">
        <v>47</v>
      </c>
      <c r="I104" s="30" t="s">
        <v>1537</v>
      </c>
    </row>
    <row r="105" spans="1:9">
      <c r="A105" t="s">
        <v>1639</v>
      </c>
      <c r="B105" t="s">
        <v>547</v>
      </c>
      <c r="C105" s="29">
        <v>46137.595428958331</v>
      </c>
      <c r="D105" s="14">
        <v>3</v>
      </c>
      <c r="E105" s="14">
        <v>2</v>
      </c>
      <c r="F105" s="14">
        <v>2</v>
      </c>
      <c r="G105" s="14">
        <v>4</v>
      </c>
      <c r="H105" t="s">
        <v>47</v>
      </c>
      <c r="I105" s="30" t="s">
        <v>1541</v>
      </c>
    </row>
    <row r="106" spans="1:9">
      <c r="A106" t="s">
        <v>1640</v>
      </c>
      <c r="B106" t="s">
        <v>549</v>
      </c>
      <c r="C106" s="29">
        <v>46138.053420925928</v>
      </c>
      <c r="D106" s="14">
        <v>5</v>
      </c>
      <c r="E106" s="14">
        <v>5</v>
      </c>
      <c r="F106" s="14">
        <v>5</v>
      </c>
      <c r="G106" s="14">
        <v>5</v>
      </c>
      <c r="H106" t="s">
        <v>41</v>
      </c>
      <c r="I106" s="30" t="s">
        <v>1530</v>
      </c>
    </row>
    <row r="107" spans="1:9">
      <c r="A107" t="s">
        <v>1641</v>
      </c>
      <c r="B107" t="s">
        <v>551</v>
      </c>
      <c r="C107" s="29">
        <v>46136.645836909724</v>
      </c>
      <c r="D107" s="14">
        <v>4</v>
      </c>
      <c r="E107" s="14">
        <v>3</v>
      </c>
      <c r="F107" s="14">
        <v>5</v>
      </c>
      <c r="G107" s="14">
        <v>4</v>
      </c>
      <c r="H107" t="s">
        <v>41</v>
      </c>
      <c r="I107" s="30" t="s">
        <v>1539</v>
      </c>
    </row>
    <row r="108" spans="1:9">
      <c r="A108" t="s">
        <v>1642</v>
      </c>
      <c r="B108" t="s">
        <v>553</v>
      </c>
      <c r="C108" s="29">
        <v>46137.352675706017</v>
      </c>
      <c r="D108" s="14">
        <v>4</v>
      </c>
      <c r="E108" s="14">
        <v>3</v>
      </c>
      <c r="F108" s="14">
        <v>3</v>
      </c>
      <c r="G108" s="14">
        <v>5</v>
      </c>
      <c r="H108" t="s">
        <v>41</v>
      </c>
      <c r="I108" s="30" t="s">
        <v>1530</v>
      </c>
    </row>
    <row r="109" spans="1:9">
      <c r="A109" t="s">
        <v>1643</v>
      </c>
      <c r="B109" t="s">
        <v>555</v>
      </c>
      <c r="C109" s="29">
        <v>46137.263235451392</v>
      </c>
      <c r="D109" s="14">
        <v>3</v>
      </c>
      <c r="E109" s="14">
        <v>3</v>
      </c>
      <c r="F109" s="14">
        <v>2</v>
      </c>
      <c r="G109" s="14">
        <v>3</v>
      </c>
      <c r="H109" t="s">
        <v>47</v>
      </c>
      <c r="I109" s="30" t="s">
        <v>1535</v>
      </c>
    </row>
    <row r="110" spans="1:9">
      <c r="A110" t="s">
        <v>1644</v>
      </c>
      <c r="B110" t="s">
        <v>556</v>
      </c>
      <c r="C110" s="29">
        <v>46137.384445416668</v>
      </c>
      <c r="D110" s="14">
        <v>3</v>
      </c>
      <c r="E110" s="14">
        <v>2</v>
      </c>
      <c r="F110" s="14">
        <v>3</v>
      </c>
      <c r="G110" s="14">
        <v>4</v>
      </c>
      <c r="H110" t="s">
        <v>47</v>
      </c>
      <c r="I110" s="30" t="s">
        <v>1541</v>
      </c>
    </row>
    <row r="111" spans="1:9">
      <c r="A111" t="s">
        <v>1645</v>
      </c>
      <c r="B111" t="s">
        <v>557</v>
      </c>
      <c r="C111" s="29">
        <v>46138.744963657409</v>
      </c>
      <c r="D111" s="14">
        <v>3</v>
      </c>
      <c r="E111" s="14">
        <v>2</v>
      </c>
      <c r="F111" s="14">
        <v>2</v>
      </c>
      <c r="G111" s="14">
        <v>4</v>
      </c>
      <c r="H111" t="s">
        <v>47</v>
      </c>
      <c r="I111" s="30" t="s">
        <v>1541</v>
      </c>
    </row>
    <row r="112" spans="1:9">
      <c r="A112" t="s">
        <v>1646</v>
      </c>
      <c r="B112" t="s">
        <v>559</v>
      </c>
      <c r="C112" s="29">
        <v>46137.249712314813</v>
      </c>
      <c r="D112" s="14">
        <v>5</v>
      </c>
      <c r="E112" s="14">
        <v>5</v>
      </c>
      <c r="F112" s="14">
        <v>5</v>
      </c>
      <c r="G112" s="14">
        <v>5</v>
      </c>
      <c r="H112" t="s">
        <v>41</v>
      </c>
      <c r="I112" s="30" t="s">
        <v>1539</v>
      </c>
    </row>
    <row r="113" spans="1:9">
      <c r="A113" t="s">
        <v>1647</v>
      </c>
      <c r="B113" t="s">
        <v>561</v>
      </c>
      <c r="C113" s="29">
        <v>46138.284556469909</v>
      </c>
      <c r="D113" s="14">
        <v>3</v>
      </c>
      <c r="E113" s="14">
        <v>2</v>
      </c>
      <c r="F113" s="14">
        <v>4</v>
      </c>
      <c r="G113" s="14">
        <v>4</v>
      </c>
      <c r="H113" t="s">
        <v>47</v>
      </c>
      <c r="I113" s="30" t="s">
        <v>1541</v>
      </c>
    </row>
    <row r="114" spans="1:9">
      <c r="A114" t="s">
        <v>1648</v>
      </c>
      <c r="B114" t="s">
        <v>563</v>
      </c>
      <c r="C114" s="29">
        <v>46138.664855486109</v>
      </c>
      <c r="D114" s="14">
        <v>4</v>
      </c>
      <c r="E114" s="14">
        <v>3</v>
      </c>
      <c r="F114" s="14">
        <v>4</v>
      </c>
      <c r="G114" s="14">
        <v>4</v>
      </c>
      <c r="H114" t="s">
        <v>41</v>
      </c>
      <c r="I114" s="30" t="s">
        <v>1530</v>
      </c>
    </row>
    <row r="115" spans="1:9">
      <c r="A115" t="s">
        <v>1649</v>
      </c>
      <c r="B115" t="s">
        <v>565</v>
      </c>
      <c r="C115" s="29">
        <v>46139.589771921295</v>
      </c>
      <c r="D115" s="14">
        <v>4</v>
      </c>
      <c r="E115" s="14">
        <v>3</v>
      </c>
      <c r="F115" s="14">
        <v>5</v>
      </c>
      <c r="G115" s="14">
        <v>5</v>
      </c>
      <c r="H115" t="s">
        <v>41</v>
      </c>
      <c r="I115" s="30" t="s">
        <v>1530</v>
      </c>
    </row>
    <row r="116" spans="1:9">
      <c r="A116" t="s">
        <v>1650</v>
      </c>
      <c r="B116" t="s">
        <v>567</v>
      </c>
      <c r="C116" s="29">
        <v>46138.97273079861</v>
      </c>
      <c r="D116" s="14">
        <v>4</v>
      </c>
      <c r="E116" s="14">
        <v>4</v>
      </c>
      <c r="F116" s="14">
        <v>4</v>
      </c>
      <c r="G116" s="14">
        <v>5</v>
      </c>
      <c r="H116" t="s">
        <v>41</v>
      </c>
      <c r="I116" s="30" t="s">
        <v>1530</v>
      </c>
    </row>
    <row r="117" spans="1:9">
      <c r="A117" t="s">
        <v>1651</v>
      </c>
      <c r="B117" t="s">
        <v>570</v>
      </c>
      <c r="C117" s="29">
        <v>46138.789060405092</v>
      </c>
      <c r="D117" s="14">
        <v>4</v>
      </c>
      <c r="E117" s="14">
        <v>3</v>
      </c>
      <c r="F117" s="14">
        <v>3</v>
      </c>
      <c r="G117" s="14">
        <v>5</v>
      </c>
      <c r="H117" t="s">
        <v>41</v>
      </c>
      <c r="I117" s="30" t="s">
        <v>1539</v>
      </c>
    </row>
    <row r="118" spans="1:9">
      <c r="A118" t="s">
        <v>1652</v>
      </c>
      <c r="B118" t="s">
        <v>572</v>
      </c>
      <c r="C118" s="29">
        <v>46138.387873703701</v>
      </c>
      <c r="D118" s="14">
        <v>2</v>
      </c>
      <c r="E118" s="14">
        <v>1</v>
      </c>
      <c r="F118" s="14">
        <v>1</v>
      </c>
      <c r="G118" s="14">
        <v>2</v>
      </c>
      <c r="H118" t="s">
        <v>47</v>
      </c>
      <c r="I118" s="30" t="s">
        <v>1626</v>
      </c>
    </row>
    <row r="119" spans="1:9">
      <c r="A119" t="s">
        <v>1653</v>
      </c>
      <c r="B119" t="s">
        <v>574</v>
      </c>
      <c r="C119" s="29">
        <v>46139.895638229165</v>
      </c>
      <c r="D119" s="14">
        <v>5</v>
      </c>
      <c r="E119" s="14">
        <v>5</v>
      </c>
      <c r="F119" s="14">
        <v>5</v>
      </c>
      <c r="G119" s="14">
        <v>5</v>
      </c>
      <c r="H119" t="s">
        <v>41</v>
      </c>
      <c r="I119" s="30" t="s">
        <v>1532</v>
      </c>
    </row>
    <row r="120" spans="1:9">
      <c r="A120" t="s">
        <v>1654</v>
      </c>
      <c r="B120" t="s">
        <v>575</v>
      </c>
      <c r="C120" s="29">
        <v>46138.666438645836</v>
      </c>
      <c r="D120" s="14">
        <v>3</v>
      </c>
      <c r="E120" s="14">
        <v>2</v>
      </c>
      <c r="F120" s="14">
        <v>2</v>
      </c>
      <c r="G120" s="14">
        <v>4</v>
      </c>
      <c r="H120" t="s">
        <v>47</v>
      </c>
      <c r="I120" s="30" t="s">
        <v>1535</v>
      </c>
    </row>
    <row r="121" spans="1:9">
      <c r="A121" t="s">
        <v>1655</v>
      </c>
      <c r="B121" t="s">
        <v>580</v>
      </c>
      <c r="C121" s="29">
        <v>46139.251028645835</v>
      </c>
      <c r="D121" s="14">
        <v>4</v>
      </c>
      <c r="E121" s="14">
        <v>3</v>
      </c>
      <c r="F121" s="14">
        <v>5</v>
      </c>
      <c r="G121" s="14">
        <v>5</v>
      </c>
      <c r="H121" t="s">
        <v>41</v>
      </c>
      <c r="I121" s="30" t="s">
        <v>1539</v>
      </c>
    </row>
    <row r="122" spans="1:9">
      <c r="A122" t="s">
        <v>1656</v>
      </c>
      <c r="B122" t="s">
        <v>581</v>
      </c>
      <c r="C122" s="29">
        <v>46139.924793043981</v>
      </c>
      <c r="D122" s="14">
        <v>5</v>
      </c>
      <c r="E122" s="14">
        <v>5</v>
      </c>
      <c r="F122" s="14">
        <v>4</v>
      </c>
      <c r="G122" s="14">
        <v>5</v>
      </c>
      <c r="H122" t="s">
        <v>41</v>
      </c>
      <c r="I122" s="30" t="s">
        <v>1530</v>
      </c>
    </row>
    <row r="123" spans="1:9">
      <c r="A123" t="s">
        <v>1657</v>
      </c>
      <c r="B123" t="s">
        <v>583</v>
      </c>
      <c r="C123" s="29">
        <v>46140.501051250001</v>
      </c>
      <c r="D123" s="14">
        <v>5</v>
      </c>
      <c r="E123" s="14">
        <v>5</v>
      </c>
      <c r="F123" s="14">
        <v>5</v>
      </c>
      <c r="G123" s="14">
        <v>5</v>
      </c>
      <c r="H123" t="s">
        <v>41</v>
      </c>
      <c r="I123" s="30" t="s">
        <v>1530</v>
      </c>
    </row>
    <row r="124" spans="1:9">
      <c r="A124" t="s">
        <v>1658</v>
      </c>
      <c r="B124" t="s">
        <v>586</v>
      </c>
      <c r="C124" s="29">
        <v>46139.58301855324</v>
      </c>
      <c r="D124" s="14">
        <v>5</v>
      </c>
      <c r="E124" s="14">
        <v>5</v>
      </c>
      <c r="F124" s="14">
        <v>4</v>
      </c>
      <c r="G124" s="14">
        <v>5</v>
      </c>
      <c r="H124" t="s">
        <v>41</v>
      </c>
      <c r="I124" s="30" t="s">
        <v>1532</v>
      </c>
    </row>
    <row r="125" spans="1:9">
      <c r="A125" t="s">
        <v>1659</v>
      </c>
      <c r="B125" t="s">
        <v>587</v>
      </c>
      <c r="C125" s="29">
        <v>46140.260864131946</v>
      </c>
      <c r="D125" s="14">
        <v>5</v>
      </c>
      <c r="E125" s="14">
        <v>5</v>
      </c>
      <c r="F125" s="14">
        <v>5</v>
      </c>
      <c r="G125" s="14">
        <v>5</v>
      </c>
      <c r="H125" t="s">
        <v>41</v>
      </c>
      <c r="I125" s="30" t="s">
        <v>1539</v>
      </c>
    </row>
    <row r="126" spans="1:9">
      <c r="A126" t="s">
        <v>1660</v>
      </c>
      <c r="B126" t="s">
        <v>591</v>
      </c>
      <c r="C126" s="29">
        <v>46141.115266782406</v>
      </c>
      <c r="D126" s="14">
        <v>5</v>
      </c>
      <c r="E126" s="14">
        <v>5</v>
      </c>
      <c r="F126" s="14">
        <v>4</v>
      </c>
      <c r="G126" s="14">
        <v>5</v>
      </c>
      <c r="H126" t="s">
        <v>41</v>
      </c>
      <c r="I126" s="30" t="s">
        <v>1530</v>
      </c>
    </row>
    <row r="127" spans="1:9">
      <c r="A127" t="s">
        <v>1661</v>
      </c>
      <c r="B127" t="s">
        <v>592</v>
      </c>
      <c r="C127" s="29">
        <v>46140.122106145835</v>
      </c>
      <c r="D127" s="14">
        <v>4</v>
      </c>
      <c r="E127" s="14">
        <v>3</v>
      </c>
      <c r="F127" s="14">
        <v>3</v>
      </c>
      <c r="G127" s="14">
        <v>5</v>
      </c>
      <c r="H127" t="s">
        <v>41</v>
      </c>
      <c r="I127" s="30" t="s">
        <v>1530</v>
      </c>
    </row>
    <row r="128" spans="1:9">
      <c r="A128" t="s">
        <v>1662</v>
      </c>
      <c r="B128" t="s">
        <v>594</v>
      </c>
      <c r="C128" s="29">
        <v>46139.495330381942</v>
      </c>
      <c r="D128" s="14">
        <v>4</v>
      </c>
      <c r="E128" s="14">
        <v>5</v>
      </c>
      <c r="F128" s="14">
        <v>3</v>
      </c>
      <c r="G128" s="14">
        <v>4</v>
      </c>
      <c r="H128" t="s">
        <v>41</v>
      </c>
      <c r="I128" s="30" t="s">
        <v>1530</v>
      </c>
    </row>
    <row r="129" spans="1:9">
      <c r="A129" t="s">
        <v>1663</v>
      </c>
      <c r="B129" t="s">
        <v>601</v>
      </c>
      <c r="C129" s="29">
        <v>46140.737313449077</v>
      </c>
      <c r="D129" s="14">
        <v>4</v>
      </c>
      <c r="E129" s="14">
        <v>3</v>
      </c>
      <c r="F129" s="14">
        <v>4</v>
      </c>
      <c r="G129" s="14">
        <v>4</v>
      </c>
      <c r="H129" t="s">
        <v>41</v>
      </c>
      <c r="I129" s="30" t="s">
        <v>1532</v>
      </c>
    </row>
    <row r="130" spans="1:9">
      <c r="A130" t="s">
        <v>1664</v>
      </c>
      <c r="B130" t="s">
        <v>603</v>
      </c>
      <c r="C130" s="29">
        <v>46140.959660914355</v>
      </c>
      <c r="D130" s="14">
        <v>5</v>
      </c>
      <c r="E130" s="14">
        <v>4</v>
      </c>
      <c r="F130" s="14">
        <v>5</v>
      </c>
      <c r="G130" s="14">
        <v>5</v>
      </c>
      <c r="H130" t="s">
        <v>41</v>
      </c>
      <c r="I130" s="30" t="s">
        <v>1532</v>
      </c>
    </row>
    <row r="131" spans="1:9">
      <c r="A131" t="s">
        <v>1665</v>
      </c>
      <c r="B131" t="s">
        <v>606</v>
      </c>
      <c r="C131" s="29">
        <v>46139.980701261571</v>
      </c>
      <c r="D131" s="14">
        <v>3</v>
      </c>
      <c r="E131" s="14">
        <v>3</v>
      </c>
      <c r="F131" s="14">
        <v>2</v>
      </c>
      <c r="G131" s="14">
        <v>4</v>
      </c>
      <c r="H131" t="s">
        <v>47</v>
      </c>
      <c r="I131" s="30" t="s">
        <v>1537</v>
      </c>
    </row>
    <row r="132" spans="1:9">
      <c r="A132" t="s">
        <v>1666</v>
      </c>
      <c r="B132" t="s">
        <v>608</v>
      </c>
      <c r="C132" s="29">
        <v>46141.886802037036</v>
      </c>
      <c r="D132" s="14">
        <v>5</v>
      </c>
      <c r="E132" s="14">
        <v>5</v>
      </c>
      <c r="F132" s="14">
        <v>5</v>
      </c>
      <c r="G132" s="14">
        <v>5</v>
      </c>
      <c r="H132" t="s">
        <v>41</v>
      </c>
      <c r="I132" s="30" t="s">
        <v>1539</v>
      </c>
    </row>
    <row r="133" spans="1:9">
      <c r="A133" t="s">
        <v>1667</v>
      </c>
      <c r="B133" t="s">
        <v>609</v>
      </c>
      <c r="C133" s="29">
        <v>46142.269014004632</v>
      </c>
      <c r="D133" s="14">
        <v>3</v>
      </c>
      <c r="E133" s="14">
        <v>4</v>
      </c>
      <c r="F133" s="14">
        <v>2</v>
      </c>
      <c r="G133" s="14">
        <v>3</v>
      </c>
      <c r="H133" t="s">
        <v>47</v>
      </c>
      <c r="I133" s="30" t="s">
        <v>1535</v>
      </c>
    </row>
    <row r="134" spans="1:9">
      <c r="A134" t="s">
        <v>1668</v>
      </c>
      <c r="B134" t="s">
        <v>612</v>
      </c>
      <c r="C134" s="29">
        <v>46140.337800925925</v>
      </c>
      <c r="D134" s="14">
        <v>4</v>
      </c>
      <c r="E134" s="14">
        <v>3</v>
      </c>
      <c r="F134" s="14">
        <v>4</v>
      </c>
      <c r="G134" s="14">
        <v>4</v>
      </c>
      <c r="H134" t="s">
        <v>41</v>
      </c>
      <c r="I134" s="30" t="s">
        <v>1539</v>
      </c>
    </row>
    <row r="135" spans="1:9">
      <c r="A135" t="s">
        <v>1669</v>
      </c>
      <c r="B135" t="s">
        <v>613</v>
      </c>
      <c r="C135" s="29">
        <v>46142.700333472225</v>
      </c>
      <c r="D135" s="14">
        <v>5</v>
      </c>
      <c r="E135" s="14">
        <v>5</v>
      </c>
      <c r="F135" s="14">
        <v>4</v>
      </c>
      <c r="G135" s="14">
        <v>5</v>
      </c>
      <c r="H135" t="s">
        <v>41</v>
      </c>
      <c r="I135" s="30" t="s">
        <v>1530</v>
      </c>
    </row>
    <row r="136" spans="1:9">
      <c r="A136" t="s">
        <v>1670</v>
      </c>
      <c r="B136" t="s">
        <v>615</v>
      </c>
      <c r="C136" s="29">
        <v>46142.261738460649</v>
      </c>
      <c r="D136" s="14">
        <v>5</v>
      </c>
      <c r="E136" s="14">
        <v>4</v>
      </c>
      <c r="F136" s="14">
        <v>5</v>
      </c>
      <c r="G136" s="14">
        <v>5</v>
      </c>
      <c r="H136" t="s">
        <v>41</v>
      </c>
      <c r="I136" s="30" t="s">
        <v>1532</v>
      </c>
    </row>
    <row r="137" spans="1:9">
      <c r="A137" t="s">
        <v>1671</v>
      </c>
      <c r="B137" t="s">
        <v>617</v>
      </c>
      <c r="C137" s="29">
        <v>46142.850220243054</v>
      </c>
      <c r="D137" s="14">
        <v>4</v>
      </c>
      <c r="E137" s="14">
        <v>3</v>
      </c>
      <c r="F137" s="14">
        <v>4</v>
      </c>
      <c r="G137" s="14">
        <v>5</v>
      </c>
      <c r="H137" t="s">
        <v>41</v>
      </c>
      <c r="I137" s="30" t="s">
        <v>1539</v>
      </c>
    </row>
    <row r="138" spans="1:9">
      <c r="A138" t="s">
        <v>1672</v>
      </c>
      <c r="B138" t="s">
        <v>619</v>
      </c>
      <c r="C138" s="29">
        <v>46142.514872175925</v>
      </c>
      <c r="D138" s="14">
        <v>5</v>
      </c>
      <c r="E138" s="14">
        <v>4</v>
      </c>
      <c r="F138" s="14">
        <v>5</v>
      </c>
      <c r="G138" s="14">
        <v>5</v>
      </c>
      <c r="H138" t="s">
        <v>41</v>
      </c>
      <c r="I138" s="30" t="s">
        <v>1532</v>
      </c>
    </row>
    <row r="139" spans="1:9">
      <c r="A139" t="s">
        <v>1673</v>
      </c>
      <c r="B139" t="s">
        <v>623</v>
      </c>
      <c r="C139" s="29">
        <v>46142.646181087963</v>
      </c>
      <c r="D139" s="14">
        <v>3</v>
      </c>
      <c r="E139" s="14">
        <v>3</v>
      </c>
      <c r="F139" s="14">
        <v>2</v>
      </c>
      <c r="G139" s="14">
        <v>4</v>
      </c>
      <c r="H139" t="s">
        <v>47</v>
      </c>
      <c r="I139" s="30" t="s">
        <v>1541</v>
      </c>
    </row>
    <row r="140" spans="1:9">
      <c r="A140" t="s">
        <v>1674</v>
      </c>
      <c r="B140" t="s">
        <v>624</v>
      </c>
      <c r="C140" s="29">
        <v>46143.639871840278</v>
      </c>
      <c r="D140" s="14">
        <v>4</v>
      </c>
      <c r="E140" s="14">
        <v>3</v>
      </c>
      <c r="F140" s="14">
        <v>3</v>
      </c>
      <c r="G140" s="14">
        <v>4</v>
      </c>
      <c r="H140" t="s">
        <v>41</v>
      </c>
      <c r="I140" s="30" t="s">
        <v>1532</v>
      </c>
    </row>
    <row r="141" spans="1:9">
      <c r="A141" t="s">
        <v>1675</v>
      </c>
      <c r="B141" t="s">
        <v>627</v>
      </c>
      <c r="C141" s="29">
        <v>46143.052908877318</v>
      </c>
      <c r="D141" s="14">
        <v>4</v>
      </c>
      <c r="E141" s="14">
        <v>3</v>
      </c>
      <c r="F141" s="14">
        <v>3</v>
      </c>
      <c r="G141" s="14">
        <v>5</v>
      </c>
      <c r="H141" t="s">
        <v>41</v>
      </c>
      <c r="I141" s="30" t="s">
        <v>1539</v>
      </c>
    </row>
    <row r="142" spans="1:9">
      <c r="A142" t="s">
        <v>1676</v>
      </c>
      <c r="B142" t="s">
        <v>630</v>
      </c>
      <c r="C142" s="29">
        <v>46143.2010246875</v>
      </c>
      <c r="D142" s="14">
        <v>4</v>
      </c>
      <c r="E142" s="14">
        <v>4</v>
      </c>
      <c r="F142" s="14">
        <v>3</v>
      </c>
      <c r="G142" s="14">
        <v>5</v>
      </c>
      <c r="H142" t="s">
        <v>41</v>
      </c>
      <c r="I142" s="30" t="s">
        <v>1530</v>
      </c>
    </row>
    <row r="143" spans="1:9">
      <c r="A143" t="s">
        <v>1677</v>
      </c>
      <c r="B143" t="s">
        <v>633</v>
      </c>
      <c r="C143" s="29">
        <v>46143.997267743056</v>
      </c>
      <c r="D143" s="14">
        <v>4</v>
      </c>
      <c r="E143" s="14">
        <v>3</v>
      </c>
      <c r="F143" s="14">
        <v>3</v>
      </c>
      <c r="G143" s="14">
        <v>4</v>
      </c>
      <c r="H143" t="s">
        <v>41</v>
      </c>
      <c r="I143" s="30" t="s">
        <v>1539</v>
      </c>
    </row>
    <row r="144" spans="1:9">
      <c r="A144" t="s">
        <v>1678</v>
      </c>
      <c r="B144" t="s">
        <v>634</v>
      </c>
      <c r="C144" s="29">
        <v>46144.417881678244</v>
      </c>
      <c r="D144" s="14">
        <v>3</v>
      </c>
      <c r="E144" s="14">
        <v>4</v>
      </c>
      <c r="F144" s="14">
        <v>2</v>
      </c>
      <c r="G144" s="14">
        <v>4</v>
      </c>
      <c r="H144" t="s">
        <v>47</v>
      </c>
      <c r="I144" s="30" t="s">
        <v>1537</v>
      </c>
    </row>
    <row r="145" spans="1:9">
      <c r="A145" t="s">
        <v>1679</v>
      </c>
      <c r="B145" t="s">
        <v>635</v>
      </c>
      <c r="C145" s="29">
        <v>46144.725907835651</v>
      </c>
      <c r="D145" s="14">
        <v>5</v>
      </c>
      <c r="E145" s="14">
        <v>4</v>
      </c>
      <c r="F145" s="14">
        <v>4</v>
      </c>
      <c r="G145" s="14">
        <v>5</v>
      </c>
      <c r="H145" t="s">
        <v>41</v>
      </c>
      <c r="I145" s="30" t="s">
        <v>1539</v>
      </c>
    </row>
    <row r="146" spans="1:9">
      <c r="A146" t="s">
        <v>1680</v>
      </c>
      <c r="B146" t="s">
        <v>636</v>
      </c>
      <c r="C146" s="29">
        <v>46144.921728055553</v>
      </c>
      <c r="D146" s="14">
        <v>3</v>
      </c>
      <c r="E146" s="14">
        <v>2</v>
      </c>
      <c r="F146" s="14">
        <v>2</v>
      </c>
      <c r="G146" s="14">
        <v>4</v>
      </c>
      <c r="H146" t="s">
        <v>47</v>
      </c>
      <c r="I146" s="30" t="s">
        <v>1535</v>
      </c>
    </row>
    <row r="147" spans="1:9">
      <c r="A147" t="s">
        <v>1681</v>
      </c>
      <c r="B147" t="s">
        <v>637</v>
      </c>
      <c r="C147" s="29">
        <v>46144.581113171298</v>
      </c>
      <c r="D147" s="14">
        <v>3</v>
      </c>
      <c r="E147" s="14">
        <v>2</v>
      </c>
      <c r="F147" s="14">
        <v>2</v>
      </c>
      <c r="G147" s="14">
        <v>4</v>
      </c>
      <c r="H147" t="s">
        <v>47</v>
      </c>
      <c r="I147" s="30" t="s">
        <v>1535</v>
      </c>
    </row>
    <row r="148" spans="1:9">
      <c r="A148" t="s">
        <v>1682</v>
      </c>
      <c r="B148" t="s">
        <v>641</v>
      </c>
      <c r="C148" s="29">
        <v>46144.79980197917</v>
      </c>
      <c r="D148" s="14">
        <v>3</v>
      </c>
      <c r="E148" s="14">
        <v>4</v>
      </c>
      <c r="F148" s="14">
        <v>2</v>
      </c>
      <c r="G148" s="14">
        <v>3</v>
      </c>
      <c r="H148" t="s">
        <v>47</v>
      </c>
      <c r="I148" s="30" t="s">
        <v>1535</v>
      </c>
    </row>
    <row r="149" spans="1:9">
      <c r="A149" t="s">
        <v>1683</v>
      </c>
      <c r="B149" t="s">
        <v>647</v>
      </c>
      <c r="C149" s="29">
        <v>46146.773505185185</v>
      </c>
      <c r="D149" s="14">
        <v>3</v>
      </c>
      <c r="E149" s="14">
        <v>3</v>
      </c>
      <c r="F149" s="14">
        <v>2</v>
      </c>
      <c r="G149" s="14">
        <v>4</v>
      </c>
      <c r="H149" t="s">
        <v>47</v>
      </c>
      <c r="I149" s="30" t="s">
        <v>1535</v>
      </c>
    </row>
    <row r="150" spans="1:9">
      <c r="A150" t="s">
        <v>1684</v>
      </c>
      <c r="B150" t="s">
        <v>649</v>
      </c>
      <c r="C150" s="29">
        <v>46144.195003356479</v>
      </c>
      <c r="D150" s="14">
        <v>5</v>
      </c>
      <c r="E150" s="14">
        <v>4</v>
      </c>
      <c r="F150" s="14">
        <v>5</v>
      </c>
      <c r="G150" s="14">
        <v>5</v>
      </c>
      <c r="H150" t="s">
        <v>41</v>
      </c>
      <c r="I150" s="30" t="s">
        <v>1539</v>
      </c>
    </row>
    <row r="151" spans="1:9">
      <c r="A151" t="s">
        <v>1685</v>
      </c>
      <c r="B151" t="s">
        <v>650</v>
      </c>
      <c r="C151" s="29">
        <v>46147.502849756944</v>
      </c>
      <c r="D151" s="14">
        <v>5</v>
      </c>
      <c r="E151" s="14">
        <v>5</v>
      </c>
      <c r="F151" s="14">
        <v>4</v>
      </c>
      <c r="G151" s="14">
        <v>5</v>
      </c>
      <c r="H151" t="s">
        <v>41</v>
      </c>
      <c r="I151" s="30" t="s">
        <v>1530</v>
      </c>
    </row>
    <row r="152" spans="1:9">
      <c r="A152" t="s">
        <v>1686</v>
      </c>
      <c r="B152" t="s">
        <v>652</v>
      </c>
      <c r="C152" s="29">
        <v>46146.13255065972</v>
      </c>
      <c r="D152" s="14">
        <v>4</v>
      </c>
      <c r="E152" s="14">
        <v>3</v>
      </c>
      <c r="F152" s="14">
        <v>4</v>
      </c>
      <c r="G152" s="14">
        <v>4</v>
      </c>
      <c r="H152" t="s">
        <v>41</v>
      </c>
      <c r="I152" s="30" t="s">
        <v>1532</v>
      </c>
    </row>
    <row r="153" spans="1:9">
      <c r="A153" t="s">
        <v>1687</v>
      </c>
      <c r="B153" t="s">
        <v>654</v>
      </c>
      <c r="C153" s="29">
        <v>46146.917097152778</v>
      </c>
      <c r="D153" s="14">
        <v>3</v>
      </c>
      <c r="E153" s="14">
        <v>4</v>
      </c>
      <c r="F153" s="14">
        <v>2</v>
      </c>
      <c r="G153" s="14">
        <v>3</v>
      </c>
      <c r="H153" t="s">
        <v>47</v>
      </c>
      <c r="I153" s="30" t="s">
        <v>1535</v>
      </c>
    </row>
    <row r="154" spans="1:9">
      <c r="A154" t="s">
        <v>1688</v>
      </c>
      <c r="B154" t="s">
        <v>655</v>
      </c>
      <c r="C154" s="29">
        <v>46146.580287245371</v>
      </c>
      <c r="D154" s="14">
        <v>3</v>
      </c>
      <c r="E154" s="14">
        <v>2</v>
      </c>
      <c r="F154" s="14">
        <v>2</v>
      </c>
      <c r="G154" s="14">
        <v>3</v>
      </c>
      <c r="H154" t="s">
        <v>47</v>
      </c>
      <c r="I154" s="30" t="s">
        <v>1541</v>
      </c>
    </row>
    <row r="155" spans="1:9">
      <c r="A155" t="s">
        <v>1689</v>
      </c>
      <c r="B155" t="s">
        <v>657</v>
      </c>
      <c r="C155" s="29">
        <v>46145.738741747686</v>
      </c>
      <c r="D155" s="14">
        <v>5</v>
      </c>
      <c r="E155" s="14">
        <v>5</v>
      </c>
      <c r="F155" s="14">
        <v>4</v>
      </c>
      <c r="G155" s="14">
        <v>5</v>
      </c>
      <c r="H155" t="s">
        <v>41</v>
      </c>
      <c r="I155" s="30" t="s">
        <v>1539</v>
      </c>
    </row>
    <row r="156" spans="1:9">
      <c r="A156" t="s">
        <v>1690</v>
      </c>
      <c r="B156" t="s">
        <v>658</v>
      </c>
      <c r="C156" s="29">
        <v>46145.711062245369</v>
      </c>
      <c r="D156" s="14">
        <v>3</v>
      </c>
      <c r="E156" s="14">
        <v>2</v>
      </c>
      <c r="F156" s="14">
        <v>2</v>
      </c>
      <c r="G156" s="14">
        <v>4</v>
      </c>
      <c r="H156" t="s">
        <v>47</v>
      </c>
      <c r="I156" s="30" t="s">
        <v>1541</v>
      </c>
    </row>
    <row r="157" spans="1:9">
      <c r="A157" t="s">
        <v>1691</v>
      </c>
      <c r="B157" t="s">
        <v>661</v>
      </c>
      <c r="C157" s="29">
        <v>46145.583799351851</v>
      </c>
      <c r="D157" s="14">
        <v>5</v>
      </c>
      <c r="E157" s="14">
        <v>4</v>
      </c>
      <c r="F157" s="14">
        <v>4</v>
      </c>
      <c r="G157" s="14">
        <v>5</v>
      </c>
      <c r="H157" t="s">
        <v>41</v>
      </c>
      <c r="I157" s="30" t="s">
        <v>1530</v>
      </c>
    </row>
    <row r="158" spans="1:9">
      <c r="A158" t="s">
        <v>1692</v>
      </c>
      <c r="B158" t="s">
        <v>663</v>
      </c>
      <c r="C158" s="29">
        <v>46146.296481076388</v>
      </c>
      <c r="D158" s="14">
        <v>5</v>
      </c>
      <c r="E158" s="14">
        <v>5</v>
      </c>
      <c r="F158" s="14">
        <v>5</v>
      </c>
      <c r="G158" s="14">
        <v>5</v>
      </c>
      <c r="H158" t="s">
        <v>41</v>
      </c>
      <c r="I158" s="30" t="s">
        <v>1532</v>
      </c>
    </row>
    <row r="159" spans="1:9">
      <c r="A159" t="s">
        <v>1693</v>
      </c>
      <c r="B159" t="s">
        <v>665</v>
      </c>
      <c r="C159" s="29">
        <v>46146.712779421294</v>
      </c>
      <c r="D159" s="14">
        <v>4</v>
      </c>
      <c r="E159" s="14">
        <v>3</v>
      </c>
      <c r="F159" s="14">
        <v>3</v>
      </c>
      <c r="G159" s="14">
        <v>4</v>
      </c>
      <c r="H159" t="s">
        <v>41</v>
      </c>
      <c r="I159" s="30" t="s">
        <v>1532</v>
      </c>
    </row>
    <row r="160" spans="1:9">
      <c r="A160" t="s">
        <v>1694</v>
      </c>
      <c r="B160" t="s">
        <v>669</v>
      </c>
      <c r="C160" s="29">
        <v>46147.273153009257</v>
      </c>
      <c r="D160" s="14">
        <v>4</v>
      </c>
      <c r="E160" s="14">
        <v>5</v>
      </c>
      <c r="F160" s="14">
        <v>4</v>
      </c>
      <c r="G160" s="14">
        <v>4</v>
      </c>
      <c r="H160" t="s">
        <v>41</v>
      </c>
      <c r="I160" s="30" t="s">
        <v>1539</v>
      </c>
    </row>
    <row r="161" spans="1:9">
      <c r="A161" t="s">
        <v>1695</v>
      </c>
      <c r="B161" t="s">
        <v>673</v>
      </c>
      <c r="C161" s="29">
        <v>46147.023493449073</v>
      </c>
      <c r="D161" s="14">
        <v>4</v>
      </c>
      <c r="E161" s="14">
        <v>4</v>
      </c>
      <c r="F161" s="14">
        <v>3</v>
      </c>
      <c r="G161" s="14">
        <v>5</v>
      </c>
      <c r="H161" t="s">
        <v>41</v>
      </c>
      <c r="I161" s="30" t="s">
        <v>1539</v>
      </c>
    </row>
    <row r="162" spans="1:9">
      <c r="A162" t="s">
        <v>1696</v>
      </c>
      <c r="B162" t="s">
        <v>674</v>
      </c>
      <c r="C162" s="29">
        <v>46148.476167060187</v>
      </c>
      <c r="D162" s="14">
        <v>5</v>
      </c>
      <c r="E162" s="14">
        <v>4</v>
      </c>
      <c r="F162" s="14">
        <v>5</v>
      </c>
      <c r="G162" s="14">
        <v>5</v>
      </c>
      <c r="H162" t="s">
        <v>41</v>
      </c>
      <c r="I162" s="30" t="s">
        <v>1530</v>
      </c>
    </row>
    <row r="163" spans="1:9">
      <c r="A163" t="s">
        <v>1697</v>
      </c>
      <c r="B163" t="s">
        <v>675</v>
      </c>
      <c r="C163" s="29">
        <v>46147.68959790509</v>
      </c>
      <c r="D163" s="14">
        <v>5</v>
      </c>
      <c r="E163" s="14">
        <v>5</v>
      </c>
      <c r="F163" s="14">
        <v>5</v>
      </c>
      <c r="G163" s="14">
        <v>5</v>
      </c>
      <c r="H163" t="s">
        <v>41</v>
      </c>
      <c r="I163" s="30" t="s">
        <v>1532</v>
      </c>
    </row>
    <row r="164" spans="1:9">
      <c r="A164" t="s">
        <v>1698</v>
      </c>
      <c r="B164" t="s">
        <v>679</v>
      </c>
      <c r="C164" s="29">
        <v>46147.352967615741</v>
      </c>
      <c r="D164" s="14">
        <v>5</v>
      </c>
      <c r="E164" s="14">
        <v>4</v>
      </c>
      <c r="F164" s="14">
        <v>5</v>
      </c>
      <c r="G164" s="14">
        <v>5</v>
      </c>
      <c r="H164" t="s">
        <v>41</v>
      </c>
      <c r="I164" s="30" t="s">
        <v>1532</v>
      </c>
    </row>
    <row r="165" spans="1:9">
      <c r="A165" t="s">
        <v>1699</v>
      </c>
      <c r="B165" t="s">
        <v>684</v>
      </c>
      <c r="C165" s="29">
        <v>46149.347466145831</v>
      </c>
      <c r="D165" s="14">
        <v>3</v>
      </c>
      <c r="E165" s="14">
        <v>2</v>
      </c>
      <c r="F165" s="14">
        <v>2</v>
      </c>
      <c r="G165" s="14">
        <v>3</v>
      </c>
      <c r="H165" t="s">
        <v>47</v>
      </c>
      <c r="I165" s="30" t="s">
        <v>1535</v>
      </c>
    </row>
    <row r="166" spans="1:9">
      <c r="A166" t="s">
        <v>1700</v>
      </c>
      <c r="B166" t="s">
        <v>685</v>
      </c>
      <c r="C166" s="29">
        <v>46149.235260787034</v>
      </c>
      <c r="D166" s="14">
        <v>4</v>
      </c>
      <c r="E166" s="14">
        <v>3</v>
      </c>
      <c r="F166" s="14">
        <v>4</v>
      </c>
      <c r="G166" s="14">
        <v>5</v>
      </c>
      <c r="H166" t="s">
        <v>41</v>
      </c>
      <c r="I166" s="30" t="s">
        <v>1532</v>
      </c>
    </row>
    <row r="167" spans="1:9">
      <c r="A167" t="s">
        <v>1701</v>
      </c>
      <c r="B167" t="s">
        <v>689</v>
      </c>
      <c r="C167" s="29">
        <v>46148.111058796298</v>
      </c>
      <c r="D167" s="14">
        <v>3</v>
      </c>
      <c r="E167" s="14">
        <v>2</v>
      </c>
      <c r="F167" s="14">
        <v>2</v>
      </c>
      <c r="G167" s="14">
        <v>3</v>
      </c>
      <c r="H167" t="s">
        <v>47</v>
      </c>
      <c r="I167" s="30" t="s">
        <v>1537</v>
      </c>
    </row>
    <row r="168" spans="1:9">
      <c r="A168" t="s">
        <v>1702</v>
      </c>
      <c r="B168" t="s">
        <v>690</v>
      </c>
      <c r="C168" s="29">
        <v>46148.789549386573</v>
      </c>
      <c r="D168" s="14">
        <v>5</v>
      </c>
      <c r="E168" s="14">
        <v>5</v>
      </c>
      <c r="F168" s="14">
        <v>4</v>
      </c>
      <c r="G168" s="14">
        <v>5</v>
      </c>
      <c r="H168" t="s">
        <v>41</v>
      </c>
      <c r="I168" s="30" t="s">
        <v>1532</v>
      </c>
    </row>
    <row r="169" spans="1:9">
      <c r="A169" t="s">
        <v>1703</v>
      </c>
      <c r="B169" t="s">
        <v>692</v>
      </c>
      <c r="C169" s="29">
        <v>46149.874126585652</v>
      </c>
      <c r="D169" s="14">
        <v>4</v>
      </c>
      <c r="E169" s="14">
        <v>4</v>
      </c>
      <c r="F169" s="14">
        <v>3</v>
      </c>
      <c r="G169" s="14">
        <v>5</v>
      </c>
      <c r="H169" t="s">
        <v>41</v>
      </c>
      <c r="I169" s="30" t="s">
        <v>1530</v>
      </c>
    </row>
    <row r="170" spans="1:9">
      <c r="A170" t="s">
        <v>1704</v>
      </c>
      <c r="B170" t="s">
        <v>695</v>
      </c>
      <c r="C170" s="29">
        <v>46150.364313611113</v>
      </c>
      <c r="D170" s="14">
        <v>5</v>
      </c>
      <c r="E170" s="14">
        <v>4</v>
      </c>
      <c r="F170" s="14">
        <v>4</v>
      </c>
      <c r="G170" s="14">
        <v>5</v>
      </c>
      <c r="H170" t="s">
        <v>41</v>
      </c>
      <c r="I170" s="30" t="s">
        <v>1530</v>
      </c>
    </row>
    <row r="171" spans="1:9">
      <c r="A171" t="s">
        <v>1705</v>
      </c>
      <c r="B171" t="s">
        <v>696</v>
      </c>
      <c r="C171" s="29">
        <v>46148.967404988427</v>
      </c>
      <c r="D171" s="14">
        <v>3</v>
      </c>
      <c r="E171" s="14">
        <v>2</v>
      </c>
      <c r="F171" s="14">
        <v>4</v>
      </c>
      <c r="G171" s="14">
        <v>3</v>
      </c>
      <c r="H171" t="s">
        <v>47</v>
      </c>
      <c r="I171" s="30" t="s">
        <v>1535</v>
      </c>
    </row>
    <row r="172" spans="1:9">
      <c r="A172" t="s">
        <v>1706</v>
      </c>
      <c r="B172" t="s">
        <v>698</v>
      </c>
      <c r="C172" s="29">
        <v>46149.539799120372</v>
      </c>
      <c r="D172" s="14">
        <v>3</v>
      </c>
      <c r="E172" s="14">
        <v>4</v>
      </c>
      <c r="F172" s="14">
        <v>2</v>
      </c>
      <c r="G172" s="14">
        <v>4</v>
      </c>
      <c r="H172" t="s">
        <v>47</v>
      </c>
      <c r="I172" s="30" t="s">
        <v>1541</v>
      </c>
    </row>
    <row r="173" spans="1:9">
      <c r="A173" t="s">
        <v>1707</v>
      </c>
      <c r="B173" t="s">
        <v>699</v>
      </c>
      <c r="C173" s="29">
        <v>46150.165143703707</v>
      </c>
      <c r="D173" s="14">
        <v>4</v>
      </c>
      <c r="E173" s="14">
        <v>5</v>
      </c>
      <c r="F173" s="14">
        <v>4</v>
      </c>
      <c r="G173" s="14">
        <v>5</v>
      </c>
      <c r="H173" t="s">
        <v>41</v>
      </c>
      <c r="I173" s="30" t="s">
        <v>1539</v>
      </c>
    </row>
    <row r="174" spans="1:9">
      <c r="A174" t="s">
        <v>1708</v>
      </c>
      <c r="B174" t="s">
        <v>701</v>
      </c>
      <c r="C174" s="29">
        <v>46150.211071782411</v>
      </c>
      <c r="D174" s="14">
        <v>5</v>
      </c>
      <c r="E174" s="14">
        <v>4</v>
      </c>
      <c r="F174" s="14">
        <v>4</v>
      </c>
      <c r="G174" s="14">
        <v>5</v>
      </c>
      <c r="H174" t="s">
        <v>41</v>
      </c>
      <c r="I174" s="30" t="s">
        <v>1539</v>
      </c>
    </row>
    <row r="175" spans="1:9">
      <c r="A175" t="s">
        <v>1709</v>
      </c>
      <c r="B175" t="s">
        <v>703</v>
      </c>
      <c r="C175" s="29">
        <v>46150.737017685184</v>
      </c>
      <c r="D175" s="14">
        <v>2</v>
      </c>
      <c r="E175" s="14">
        <v>2</v>
      </c>
      <c r="F175" s="14">
        <v>1</v>
      </c>
      <c r="G175" s="14">
        <v>3</v>
      </c>
      <c r="H175" t="s">
        <v>47</v>
      </c>
      <c r="I175" s="30" t="s">
        <v>1626</v>
      </c>
    </row>
    <row r="176" spans="1:9">
      <c r="A176" t="s">
        <v>1710</v>
      </c>
      <c r="B176" t="s">
        <v>704</v>
      </c>
      <c r="C176" s="29">
        <v>46150.626975173611</v>
      </c>
      <c r="D176" s="14">
        <v>4</v>
      </c>
      <c r="E176" s="14">
        <v>3</v>
      </c>
      <c r="F176" s="14">
        <v>3</v>
      </c>
      <c r="G176" s="14">
        <v>4</v>
      </c>
      <c r="H176" t="s">
        <v>41</v>
      </c>
      <c r="I176" s="30" t="s">
        <v>1532</v>
      </c>
    </row>
    <row r="177" spans="1:9">
      <c r="A177" t="s">
        <v>1711</v>
      </c>
      <c r="B177" t="s">
        <v>708</v>
      </c>
      <c r="C177" s="29">
        <v>46151.67031833333</v>
      </c>
      <c r="D177" s="14">
        <v>4</v>
      </c>
      <c r="E177" s="14">
        <v>4</v>
      </c>
      <c r="F177" s="14">
        <v>3</v>
      </c>
      <c r="G177" s="14">
        <v>5</v>
      </c>
      <c r="H177" t="s">
        <v>41</v>
      </c>
      <c r="I177" s="30" t="s">
        <v>1530</v>
      </c>
    </row>
    <row r="178" spans="1:9">
      <c r="A178" t="s">
        <v>1712</v>
      </c>
      <c r="B178" t="s">
        <v>712</v>
      </c>
      <c r="C178" s="29">
        <v>46151.26679671296</v>
      </c>
      <c r="D178" s="14">
        <v>3</v>
      </c>
      <c r="E178" s="14">
        <v>2</v>
      </c>
      <c r="F178" s="14">
        <v>2</v>
      </c>
      <c r="G178" s="14">
        <v>3</v>
      </c>
      <c r="H178" t="s">
        <v>47</v>
      </c>
      <c r="I178" s="30" t="s">
        <v>1537</v>
      </c>
    </row>
    <row r="179" spans="1:9">
      <c r="A179" t="s">
        <v>1713</v>
      </c>
      <c r="B179" t="s">
        <v>713</v>
      </c>
      <c r="C179" s="29">
        <v>46151.473690891202</v>
      </c>
      <c r="D179" s="14">
        <v>5</v>
      </c>
      <c r="E179" s="14">
        <v>5</v>
      </c>
      <c r="F179" s="14">
        <v>5</v>
      </c>
      <c r="G179" s="14">
        <v>5</v>
      </c>
      <c r="H179" t="s">
        <v>41</v>
      </c>
      <c r="I179" s="30" t="s">
        <v>1530</v>
      </c>
    </row>
    <row r="180" spans="1:9">
      <c r="A180" t="s">
        <v>1714</v>
      </c>
      <c r="B180" t="s">
        <v>714</v>
      </c>
      <c r="C180" s="29">
        <v>46150.805377835648</v>
      </c>
      <c r="D180" s="14">
        <v>3</v>
      </c>
      <c r="E180" s="14">
        <v>2</v>
      </c>
      <c r="F180" s="14">
        <v>4</v>
      </c>
      <c r="G180" s="14">
        <v>3</v>
      </c>
      <c r="H180" t="s">
        <v>47</v>
      </c>
      <c r="I180" s="30" t="s">
        <v>1541</v>
      </c>
    </row>
    <row r="181" spans="1:9">
      <c r="A181" t="s">
        <v>1715</v>
      </c>
      <c r="B181" t="s">
        <v>715</v>
      </c>
      <c r="C181" s="29">
        <v>46151.085541504632</v>
      </c>
      <c r="D181" s="14">
        <v>4</v>
      </c>
      <c r="E181" s="14">
        <v>3</v>
      </c>
      <c r="F181" s="14">
        <v>3</v>
      </c>
      <c r="G181" s="14">
        <v>4</v>
      </c>
      <c r="H181" t="s">
        <v>41</v>
      </c>
      <c r="I181" s="30" t="s">
        <v>1539</v>
      </c>
    </row>
    <row r="182" spans="1:9">
      <c r="A182" t="s">
        <v>1716</v>
      </c>
      <c r="B182" t="s">
        <v>716</v>
      </c>
      <c r="C182" s="29">
        <v>46152.264861134259</v>
      </c>
      <c r="D182" s="14">
        <v>4</v>
      </c>
      <c r="E182" s="14">
        <v>3</v>
      </c>
      <c r="F182" s="14">
        <v>5</v>
      </c>
      <c r="G182" s="14">
        <v>5</v>
      </c>
      <c r="H182" t="s">
        <v>41</v>
      </c>
      <c r="I182" s="30" t="s">
        <v>1530</v>
      </c>
    </row>
    <row r="183" spans="1:9">
      <c r="A183" t="s">
        <v>1717</v>
      </c>
      <c r="B183" t="s">
        <v>717</v>
      </c>
      <c r="C183" s="29">
        <v>46151.567303599535</v>
      </c>
      <c r="D183" s="14">
        <v>2</v>
      </c>
      <c r="E183" s="14">
        <v>1</v>
      </c>
      <c r="F183" s="14">
        <v>1</v>
      </c>
      <c r="G183" s="14">
        <v>2</v>
      </c>
      <c r="H183" t="s">
        <v>47</v>
      </c>
      <c r="I183" s="30" t="s">
        <v>1548</v>
      </c>
    </row>
    <row r="184" spans="1:9">
      <c r="A184" t="s">
        <v>1718</v>
      </c>
      <c r="B184" t="s">
        <v>719</v>
      </c>
      <c r="C184" s="29">
        <v>46152.561860428243</v>
      </c>
      <c r="D184" s="14">
        <v>3</v>
      </c>
      <c r="E184" s="14">
        <v>3</v>
      </c>
      <c r="F184" s="14">
        <v>2</v>
      </c>
      <c r="G184" s="14">
        <v>3</v>
      </c>
      <c r="H184" t="s">
        <v>47</v>
      </c>
      <c r="I184" s="30" t="s">
        <v>1541</v>
      </c>
    </row>
    <row r="185" spans="1:9">
      <c r="A185" t="s">
        <v>1719</v>
      </c>
      <c r="B185" t="s">
        <v>721</v>
      </c>
      <c r="C185" s="29">
        <v>46152.052667696757</v>
      </c>
      <c r="D185" s="14">
        <v>2</v>
      </c>
      <c r="E185" s="14">
        <v>3</v>
      </c>
      <c r="F185" s="14">
        <v>1</v>
      </c>
      <c r="G185" s="14">
        <v>2</v>
      </c>
      <c r="H185" t="s">
        <v>47</v>
      </c>
      <c r="I185" s="30" t="s">
        <v>1626</v>
      </c>
    </row>
    <row r="186" spans="1:9">
      <c r="A186" t="s">
        <v>1720</v>
      </c>
      <c r="B186" t="s">
        <v>723</v>
      </c>
      <c r="C186" s="29">
        <v>46151.897667476849</v>
      </c>
      <c r="D186" s="14">
        <v>3</v>
      </c>
      <c r="E186" s="14">
        <v>4</v>
      </c>
      <c r="F186" s="14">
        <v>2</v>
      </c>
      <c r="G186" s="14">
        <v>3</v>
      </c>
      <c r="H186" t="s">
        <v>47</v>
      </c>
      <c r="I186" s="30" t="s">
        <v>1535</v>
      </c>
    </row>
    <row r="187" spans="1:9">
      <c r="A187" t="s">
        <v>1721</v>
      </c>
      <c r="B187" t="s">
        <v>724</v>
      </c>
      <c r="C187" s="29">
        <v>46153.178857395833</v>
      </c>
      <c r="D187" s="14">
        <v>5</v>
      </c>
      <c r="E187" s="14">
        <v>5</v>
      </c>
      <c r="F187" s="14">
        <v>5</v>
      </c>
      <c r="G187" s="14">
        <v>5</v>
      </c>
      <c r="H187" t="s">
        <v>41</v>
      </c>
      <c r="I187" s="30" t="s">
        <v>1539</v>
      </c>
    </row>
    <row r="188" spans="1:9">
      <c r="A188" t="s">
        <v>1722</v>
      </c>
      <c r="B188" t="s">
        <v>726</v>
      </c>
      <c r="C188" s="29">
        <v>46153.302781331018</v>
      </c>
      <c r="D188" s="14">
        <v>4</v>
      </c>
      <c r="E188" s="14">
        <v>4</v>
      </c>
      <c r="F188" s="14">
        <v>3</v>
      </c>
      <c r="G188" s="14">
        <v>4</v>
      </c>
      <c r="H188" t="s">
        <v>41</v>
      </c>
      <c r="I188" s="30" t="s">
        <v>1532</v>
      </c>
    </row>
    <row r="189" spans="1:9">
      <c r="A189" t="s">
        <v>1723</v>
      </c>
      <c r="B189" t="s">
        <v>730</v>
      </c>
      <c r="C189" s="29">
        <v>46152.810139120367</v>
      </c>
      <c r="D189" s="14">
        <v>3</v>
      </c>
      <c r="E189" s="14">
        <v>2</v>
      </c>
      <c r="F189" s="14">
        <v>2</v>
      </c>
      <c r="G189" s="14">
        <v>4</v>
      </c>
      <c r="H189" t="s">
        <v>47</v>
      </c>
      <c r="I189" s="30" t="s">
        <v>1541</v>
      </c>
    </row>
    <row r="190" spans="1:9">
      <c r="A190" t="s">
        <v>1724</v>
      </c>
      <c r="B190" t="s">
        <v>732</v>
      </c>
      <c r="C190" s="29">
        <v>46153.064852291667</v>
      </c>
      <c r="D190" s="14">
        <v>4</v>
      </c>
      <c r="E190" s="14">
        <v>4</v>
      </c>
      <c r="F190" s="14">
        <v>4</v>
      </c>
      <c r="G190" s="14">
        <v>5</v>
      </c>
      <c r="H190" t="s">
        <v>41</v>
      </c>
      <c r="I190" s="30" t="s">
        <v>1530</v>
      </c>
    </row>
    <row r="191" spans="1:9">
      <c r="A191" t="s">
        <v>1725</v>
      </c>
      <c r="B191" t="s">
        <v>733</v>
      </c>
      <c r="C191" s="29">
        <v>46153.860874247686</v>
      </c>
      <c r="D191" s="14">
        <v>3</v>
      </c>
      <c r="E191" s="14">
        <v>2</v>
      </c>
      <c r="F191" s="14">
        <v>2</v>
      </c>
      <c r="G191" s="14">
        <v>4</v>
      </c>
      <c r="H191" t="s">
        <v>47</v>
      </c>
      <c r="I191" s="30" t="s">
        <v>1541</v>
      </c>
    </row>
    <row r="192" spans="1:9">
      <c r="A192" t="s">
        <v>1726</v>
      </c>
      <c r="B192" t="s">
        <v>734</v>
      </c>
      <c r="C192" s="29">
        <v>46154.705482500001</v>
      </c>
      <c r="D192" s="14">
        <v>4</v>
      </c>
      <c r="E192" s="14">
        <v>5</v>
      </c>
      <c r="F192" s="14">
        <v>3</v>
      </c>
      <c r="G192" s="14">
        <v>4</v>
      </c>
      <c r="H192" t="s">
        <v>41</v>
      </c>
      <c r="I192" s="30" t="s">
        <v>1530</v>
      </c>
    </row>
    <row r="193" spans="1:9">
      <c r="A193" t="s">
        <v>1727</v>
      </c>
      <c r="B193" t="s">
        <v>736</v>
      </c>
      <c r="C193" s="29">
        <v>46154.939040428239</v>
      </c>
      <c r="D193" s="14">
        <v>4</v>
      </c>
      <c r="E193" s="14">
        <v>3</v>
      </c>
      <c r="F193" s="14">
        <v>3</v>
      </c>
      <c r="G193" s="14">
        <v>4</v>
      </c>
      <c r="H193" t="s">
        <v>41</v>
      </c>
      <c r="I193" s="30" t="s">
        <v>1539</v>
      </c>
    </row>
    <row r="194" spans="1:9">
      <c r="A194" t="s">
        <v>1728</v>
      </c>
      <c r="B194" t="s">
        <v>739</v>
      </c>
      <c r="C194" s="29">
        <v>46154.34127365741</v>
      </c>
      <c r="D194" s="14">
        <v>4</v>
      </c>
      <c r="E194" s="14">
        <v>4</v>
      </c>
      <c r="F194" s="14">
        <v>3</v>
      </c>
      <c r="G194" s="14">
        <v>4</v>
      </c>
      <c r="H194" t="s">
        <v>41</v>
      </c>
      <c r="I194" s="30" t="s">
        <v>1530</v>
      </c>
    </row>
    <row r="195" spans="1:9">
      <c r="A195" t="s">
        <v>1729</v>
      </c>
      <c r="B195" t="s">
        <v>743</v>
      </c>
      <c r="C195" s="29">
        <v>46153.720349398151</v>
      </c>
      <c r="D195" s="14">
        <v>3</v>
      </c>
      <c r="E195" s="14">
        <v>3</v>
      </c>
      <c r="F195" s="14">
        <v>2</v>
      </c>
      <c r="G195" s="14">
        <v>3</v>
      </c>
      <c r="H195" t="s">
        <v>47</v>
      </c>
      <c r="I195" s="30" t="s">
        <v>1541</v>
      </c>
    </row>
    <row r="196" spans="1:9">
      <c r="A196" t="s">
        <v>1730</v>
      </c>
      <c r="B196" t="s">
        <v>745</v>
      </c>
      <c r="C196" s="29">
        <v>46154.56965484954</v>
      </c>
      <c r="D196" s="14">
        <v>4</v>
      </c>
      <c r="E196" s="14">
        <v>4</v>
      </c>
      <c r="F196" s="14">
        <v>4</v>
      </c>
      <c r="G196" s="14">
        <v>5</v>
      </c>
      <c r="H196" t="s">
        <v>41</v>
      </c>
      <c r="I196" s="30" t="s">
        <v>1532</v>
      </c>
    </row>
    <row r="197" spans="1:9">
      <c r="A197" t="s">
        <v>1731</v>
      </c>
      <c r="B197" t="s">
        <v>747</v>
      </c>
      <c r="C197" s="29">
        <v>46154.936387245369</v>
      </c>
      <c r="D197" s="14">
        <v>2</v>
      </c>
      <c r="E197" s="14">
        <v>3</v>
      </c>
      <c r="F197" s="14">
        <v>1</v>
      </c>
      <c r="G197" s="14">
        <v>2</v>
      </c>
      <c r="H197" t="s">
        <v>47</v>
      </c>
      <c r="I197" s="30" t="s">
        <v>1548</v>
      </c>
    </row>
    <row r="198" spans="1:9">
      <c r="A198" t="s">
        <v>1732</v>
      </c>
      <c r="B198" t="s">
        <v>749</v>
      </c>
      <c r="C198" s="29">
        <v>46155.96166591435</v>
      </c>
      <c r="D198" s="14">
        <v>3</v>
      </c>
      <c r="E198" s="14">
        <v>2</v>
      </c>
      <c r="F198" s="14">
        <v>4</v>
      </c>
      <c r="G198" s="14">
        <v>3</v>
      </c>
      <c r="H198" t="s">
        <v>47</v>
      </c>
      <c r="I198" s="30" t="s">
        <v>1537</v>
      </c>
    </row>
    <row r="199" spans="1:9">
      <c r="A199" t="s">
        <v>1733</v>
      </c>
      <c r="B199" t="s">
        <v>755</v>
      </c>
      <c r="C199" s="29">
        <v>46155.970221296295</v>
      </c>
      <c r="D199" s="14">
        <v>4</v>
      </c>
      <c r="E199" s="14">
        <v>4</v>
      </c>
      <c r="F199" s="14">
        <v>4</v>
      </c>
      <c r="G199" s="14">
        <v>5</v>
      </c>
      <c r="H199" t="s">
        <v>41</v>
      </c>
      <c r="I199" s="30" t="s">
        <v>1532</v>
      </c>
    </row>
    <row r="200" spans="1:9">
      <c r="A200" t="s">
        <v>1734</v>
      </c>
      <c r="B200" t="s">
        <v>756</v>
      </c>
      <c r="C200" s="29">
        <v>46155.729782129631</v>
      </c>
      <c r="D200" s="14">
        <v>3</v>
      </c>
      <c r="E200" s="14">
        <v>2</v>
      </c>
      <c r="F200" s="14">
        <v>2</v>
      </c>
      <c r="G200" s="14">
        <v>3</v>
      </c>
      <c r="H200" t="s">
        <v>47</v>
      </c>
      <c r="I200" s="30" t="s">
        <v>1537</v>
      </c>
    </row>
    <row r="201" spans="1:9">
      <c r="A201" t="s">
        <v>1735</v>
      </c>
      <c r="B201" t="s">
        <v>758</v>
      </c>
      <c r="C201" s="29">
        <v>46154.072224108793</v>
      </c>
      <c r="D201" s="14">
        <v>4</v>
      </c>
      <c r="E201" s="14">
        <v>5</v>
      </c>
      <c r="F201" s="14">
        <v>3</v>
      </c>
      <c r="G201" s="14">
        <v>5</v>
      </c>
      <c r="H201" t="s">
        <v>41</v>
      </c>
      <c r="I201" s="30" t="s">
        <v>1532</v>
      </c>
    </row>
    <row r="202" spans="1:9">
      <c r="A202" t="s">
        <v>1736</v>
      </c>
      <c r="B202" t="s">
        <v>759</v>
      </c>
      <c r="C202" s="29">
        <v>46155.797660405093</v>
      </c>
      <c r="D202" s="14">
        <v>3</v>
      </c>
      <c r="E202" s="14">
        <v>4</v>
      </c>
      <c r="F202" s="14">
        <v>2</v>
      </c>
      <c r="G202" s="14">
        <v>3</v>
      </c>
      <c r="H202" t="s">
        <v>47</v>
      </c>
      <c r="I202" s="30" t="s">
        <v>1541</v>
      </c>
    </row>
    <row r="203" spans="1:9">
      <c r="A203" t="s">
        <v>1737</v>
      </c>
      <c r="B203" t="s">
        <v>760</v>
      </c>
      <c r="C203" s="29">
        <v>46155.785342395837</v>
      </c>
      <c r="D203" s="14">
        <v>4</v>
      </c>
      <c r="E203" s="14">
        <v>3</v>
      </c>
      <c r="F203" s="14">
        <v>3</v>
      </c>
      <c r="G203" s="14">
        <v>4</v>
      </c>
      <c r="H203" t="s">
        <v>41</v>
      </c>
      <c r="I203" s="30" t="s">
        <v>1539</v>
      </c>
    </row>
    <row r="204" spans="1:9">
      <c r="A204" t="s">
        <v>1738</v>
      </c>
      <c r="B204" t="s">
        <v>761</v>
      </c>
      <c r="C204" s="29">
        <v>46156.629223275464</v>
      </c>
      <c r="D204" s="14">
        <v>5</v>
      </c>
      <c r="E204" s="14">
        <v>4</v>
      </c>
      <c r="F204" s="14">
        <v>4</v>
      </c>
      <c r="G204" s="14">
        <v>5</v>
      </c>
      <c r="H204" t="s">
        <v>41</v>
      </c>
      <c r="I204" s="30" t="s">
        <v>1530</v>
      </c>
    </row>
    <row r="205" spans="1:9">
      <c r="A205" t="s">
        <v>1739</v>
      </c>
      <c r="B205" t="s">
        <v>763</v>
      </c>
      <c r="C205" s="29">
        <v>46155.421412465279</v>
      </c>
      <c r="D205" s="14">
        <v>5</v>
      </c>
      <c r="E205" s="14">
        <v>5</v>
      </c>
      <c r="F205" s="14">
        <v>5</v>
      </c>
      <c r="G205" s="14">
        <v>5</v>
      </c>
      <c r="H205" t="s">
        <v>41</v>
      </c>
      <c r="I205" s="30" t="s">
        <v>1532</v>
      </c>
    </row>
    <row r="206" spans="1:9">
      <c r="A206" t="s">
        <v>1740</v>
      </c>
      <c r="B206" t="s">
        <v>765</v>
      </c>
      <c r="C206" s="29">
        <v>46156.275878194443</v>
      </c>
      <c r="D206" s="14">
        <v>5</v>
      </c>
      <c r="E206" s="14">
        <v>4</v>
      </c>
      <c r="F206" s="14">
        <v>5</v>
      </c>
      <c r="G206" s="14">
        <v>5</v>
      </c>
      <c r="H206" t="s">
        <v>41</v>
      </c>
      <c r="I206" s="30" t="s">
        <v>1532</v>
      </c>
    </row>
    <row r="207" spans="1:9">
      <c r="A207" t="s">
        <v>1741</v>
      </c>
      <c r="B207" t="s">
        <v>766</v>
      </c>
      <c r="C207" s="29">
        <v>46155.935425636577</v>
      </c>
      <c r="D207" s="14">
        <v>3</v>
      </c>
      <c r="E207" s="14">
        <v>2</v>
      </c>
      <c r="F207" s="14">
        <v>2</v>
      </c>
      <c r="G207" s="14">
        <v>3</v>
      </c>
      <c r="H207" t="s">
        <v>47</v>
      </c>
      <c r="I207" s="30" t="s">
        <v>1535</v>
      </c>
    </row>
    <row r="208" spans="1:9">
      <c r="A208" t="s">
        <v>1742</v>
      </c>
      <c r="B208" t="s">
        <v>767</v>
      </c>
      <c r="C208" s="29">
        <v>46156.912198194441</v>
      </c>
      <c r="D208" s="14">
        <v>4</v>
      </c>
      <c r="E208" s="14">
        <v>4</v>
      </c>
      <c r="F208" s="14">
        <v>3</v>
      </c>
      <c r="G208" s="14">
        <v>4</v>
      </c>
      <c r="H208" t="s">
        <v>41</v>
      </c>
      <c r="I208" s="30" t="s">
        <v>1539</v>
      </c>
    </row>
    <row r="209" spans="1:9">
      <c r="A209" t="s">
        <v>1743</v>
      </c>
      <c r="B209" t="s">
        <v>770</v>
      </c>
      <c r="C209" s="29">
        <v>46156.677756076388</v>
      </c>
      <c r="D209" s="14">
        <v>5</v>
      </c>
      <c r="E209" s="14">
        <v>4</v>
      </c>
      <c r="F209" s="14">
        <v>5</v>
      </c>
      <c r="G209" s="14">
        <v>5</v>
      </c>
      <c r="H209" t="s">
        <v>41</v>
      </c>
      <c r="I209" s="30" t="s">
        <v>1530</v>
      </c>
    </row>
    <row r="210" spans="1:9">
      <c r="A210" t="s">
        <v>1744</v>
      </c>
      <c r="B210" t="s">
        <v>772</v>
      </c>
      <c r="C210" s="29">
        <v>46156.058711909725</v>
      </c>
      <c r="D210" s="14">
        <v>4</v>
      </c>
      <c r="E210" s="14">
        <v>3</v>
      </c>
      <c r="F210" s="14">
        <v>3</v>
      </c>
      <c r="G210" s="14">
        <v>5</v>
      </c>
      <c r="H210" t="s">
        <v>41</v>
      </c>
      <c r="I210" s="30" t="s">
        <v>1532</v>
      </c>
    </row>
    <row r="211" spans="1:9">
      <c r="A211" t="s">
        <v>1745</v>
      </c>
      <c r="B211" t="s">
        <v>775</v>
      </c>
      <c r="C211" s="29">
        <v>46158.055904733796</v>
      </c>
      <c r="D211" s="14">
        <v>2</v>
      </c>
      <c r="E211" s="14">
        <v>1</v>
      </c>
      <c r="F211" s="14">
        <v>1</v>
      </c>
      <c r="G211" s="14">
        <v>3</v>
      </c>
      <c r="H211" t="s">
        <v>47</v>
      </c>
      <c r="I211" s="30" t="s">
        <v>1626</v>
      </c>
    </row>
    <row r="212" spans="1:9">
      <c r="A212" t="s">
        <v>1746</v>
      </c>
      <c r="B212" t="s">
        <v>776</v>
      </c>
      <c r="C212" s="29">
        <v>46157.700780370367</v>
      </c>
      <c r="D212" s="14">
        <v>4</v>
      </c>
      <c r="E212" s="14">
        <v>3</v>
      </c>
      <c r="F212" s="14">
        <v>4</v>
      </c>
      <c r="G212" s="14">
        <v>4</v>
      </c>
      <c r="H212" t="s">
        <v>41</v>
      </c>
      <c r="I212" s="30" t="s">
        <v>1530</v>
      </c>
    </row>
    <row r="213" spans="1:9">
      <c r="A213" t="s">
        <v>1747</v>
      </c>
      <c r="B213" t="s">
        <v>778</v>
      </c>
      <c r="C213" s="29">
        <v>46156.641787523149</v>
      </c>
      <c r="D213" s="14">
        <v>5</v>
      </c>
      <c r="E213" s="14">
        <v>4</v>
      </c>
      <c r="F213" s="14">
        <v>5</v>
      </c>
      <c r="G213" s="14">
        <v>5</v>
      </c>
      <c r="H213" t="s">
        <v>41</v>
      </c>
      <c r="I213" s="30" t="s">
        <v>1530</v>
      </c>
    </row>
    <row r="214" spans="1:9">
      <c r="A214" t="s">
        <v>1748</v>
      </c>
      <c r="B214" t="s">
        <v>780</v>
      </c>
      <c r="C214" s="29">
        <v>46157.971325243052</v>
      </c>
      <c r="D214" s="14">
        <v>5</v>
      </c>
      <c r="E214" s="14">
        <v>5</v>
      </c>
      <c r="F214" s="14">
        <v>5</v>
      </c>
      <c r="G214" s="14">
        <v>5</v>
      </c>
      <c r="H214" t="s">
        <v>41</v>
      </c>
      <c r="I214" s="30" t="s">
        <v>1539</v>
      </c>
    </row>
    <row r="215" spans="1:9">
      <c r="A215" t="s">
        <v>1749</v>
      </c>
      <c r="B215" t="s">
        <v>783</v>
      </c>
      <c r="C215" s="29">
        <v>46157.717548252316</v>
      </c>
      <c r="D215" s="14">
        <v>5</v>
      </c>
      <c r="E215" s="14">
        <v>4</v>
      </c>
      <c r="F215" s="14">
        <v>5</v>
      </c>
      <c r="G215" s="14">
        <v>5</v>
      </c>
      <c r="H215" t="s">
        <v>41</v>
      </c>
      <c r="I215" s="30" t="s">
        <v>1530</v>
      </c>
    </row>
    <row r="216" spans="1:9">
      <c r="A216" t="s">
        <v>1750</v>
      </c>
      <c r="B216" t="s">
        <v>784</v>
      </c>
      <c r="C216" s="29">
        <v>46159.164136863423</v>
      </c>
      <c r="D216" s="14">
        <v>4</v>
      </c>
      <c r="E216" s="14">
        <v>3</v>
      </c>
      <c r="F216" s="14">
        <v>3</v>
      </c>
      <c r="G216" s="14">
        <v>5</v>
      </c>
      <c r="H216" t="s">
        <v>41</v>
      </c>
      <c r="I216" s="30" t="s">
        <v>1539</v>
      </c>
    </row>
    <row r="217" spans="1:9">
      <c r="A217" t="s">
        <v>1751</v>
      </c>
      <c r="B217" t="s">
        <v>785</v>
      </c>
      <c r="C217" s="29">
        <v>46158.010489050925</v>
      </c>
      <c r="D217" s="14">
        <v>2</v>
      </c>
      <c r="E217" s="14">
        <v>3</v>
      </c>
      <c r="F217" s="14">
        <v>1</v>
      </c>
      <c r="G217" s="14">
        <v>3</v>
      </c>
      <c r="H217" t="s">
        <v>47</v>
      </c>
      <c r="I217" s="30" t="s">
        <v>1570</v>
      </c>
    </row>
    <row r="218" spans="1:9">
      <c r="A218" t="s">
        <v>1752</v>
      </c>
      <c r="B218" t="s">
        <v>787</v>
      </c>
      <c r="C218" s="29">
        <v>46157.307440555553</v>
      </c>
      <c r="D218" s="14">
        <v>4</v>
      </c>
      <c r="E218" s="14">
        <v>4</v>
      </c>
      <c r="F218" s="14">
        <v>3</v>
      </c>
      <c r="G218" s="14">
        <v>5</v>
      </c>
      <c r="H218" t="s">
        <v>41</v>
      </c>
      <c r="I218" s="30" t="s">
        <v>1539</v>
      </c>
    </row>
    <row r="219" spans="1:9">
      <c r="A219" t="s">
        <v>1753</v>
      </c>
      <c r="B219" t="s">
        <v>788</v>
      </c>
      <c r="C219" s="29">
        <v>46157.340101898146</v>
      </c>
      <c r="D219" s="14">
        <v>5</v>
      </c>
      <c r="E219" s="14">
        <v>4</v>
      </c>
      <c r="F219" s="14">
        <v>4</v>
      </c>
      <c r="G219" s="14">
        <v>5</v>
      </c>
      <c r="H219" t="s">
        <v>41</v>
      </c>
      <c r="I219" s="30" t="s">
        <v>1532</v>
      </c>
    </row>
    <row r="220" spans="1:9">
      <c r="A220" t="s">
        <v>1754</v>
      </c>
      <c r="B220" t="s">
        <v>790</v>
      </c>
      <c r="C220" s="29">
        <v>46159.454949155093</v>
      </c>
      <c r="D220" s="14">
        <v>4</v>
      </c>
      <c r="E220" s="14">
        <v>3</v>
      </c>
      <c r="F220" s="14">
        <v>3</v>
      </c>
      <c r="G220" s="14">
        <v>5</v>
      </c>
      <c r="H220" t="s">
        <v>41</v>
      </c>
      <c r="I220" s="30" t="s">
        <v>1539</v>
      </c>
    </row>
    <row r="221" spans="1:9">
      <c r="A221" t="s">
        <v>1755</v>
      </c>
      <c r="B221" t="s">
        <v>793</v>
      </c>
      <c r="C221" s="29">
        <v>46158.240648125</v>
      </c>
      <c r="D221" s="14">
        <v>5</v>
      </c>
      <c r="E221" s="14">
        <v>5</v>
      </c>
      <c r="F221" s="14">
        <v>5</v>
      </c>
      <c r="G221" s="14">
        <v>5</v>
      </c>
      <c r="H221" t="s">
        <v>41</v>
      </c>
      <c r="I221" s="30" t="s">
        <v>1539</v>
      </c>
    </row>
    <row r="222" spans="1:9">
      <c r="A222" t="s">
        <v>1756</v>
      </c>
      <c r="B222" t="s">
        <v>796</v>
      </c>
      <c r="C222" s="29">
        <v>46157.947024062501</v>
      </c>
      <c r="D222" s="14">
        <v>5</v>
      </c>
      <c r="E222" s="14">
        <v>4</v>
      </c>
      <c r="F222" s="14">
        <v>5</v>
      </c>
      <c r="G222" s="14">
        <v>5</v>
      </c>
      <c r="H222" t="s">
        <v>41</v>
      </c>
      <c r="I222" s="30" t="s">
        <v>1532</v>
      </c>
    </row>
    <row r="223" spans="1:9">
      <c r="A223" t="s">
        <v>1757</v>
      </c>
      <c r="B223" t="s">
        <v>797</v>
      </c>
      <c r="C223" s="29">
        <v>46158.666168692129</v>
      </c>
      <c r="D223" s="14">
        <v>4</v>
      </c>
      <c r="E223" s="14">
        <v>5</v>
      </c>
      <c r="F223" s="14">
        <v>5</v>
      </c>
      <c r="G223" s="14">
        <v>5</v>
      </c>
      <c r="H223" t="s">
        <v>41</v>
      </c>
      <c r="I223" s="30" t="s">
        <v>1539</v>
      </c>
    </row>
    <row r="224" spans="1:9">
      <c r="A224" t="s">
        <v>1758</v>
      </c>
      <c r="B224" t="s">
        <v>798</v>
      </c>
      <c r="C224" s="29">
        <v>46159.109576585652</v>
      </c>
      <c r="D224" s="14">
        <v>4</v>
      </c>
      <c r="E224" s="14">
        <v>3</v>
      </c>
      <c r="F224" s="14">
        <v>4</v>
      </c>
      <c r="G224" s="14">
        <v>4</v>
      </c>
      <c r="H224" t="s">
        <v>41</v>
      </c>
      <c r="I224" s="30" t="s">
        <v>1530</v>
      </c>
    </row>
    <row r="225" spans="1:9">
      <c r="A225" t="s">
        <v>1759</v>
      </c>
      <c r="B225" t="s">
        <v>799</v>
      </c>
      <c r="C225" s="29">
        <v>46158.558493136574</v>
      </c>
      <c r="D225" s="14">
        <v>4</v>
      </c>
      <c r="E225" s="14">
        <v>4</v>
      </c>
      <c r="F225" s="14">
        <v>3</v>
      </c>
      <c r="G225" s="14">
        <v>4</v>
      </c>
      <c r="H225" t="s">
        <v>41</v>
      </c>
      <c r="I225" s="30" t="s">
        <v>1539</v>
      </c>
    </row>
    <row r="226" spans="1:9">
      <c r="A226" t="s">
        <v>1760</v>
      </c>
      <c r="B226" t="s">
        <v>800</v>
      </c>
      <c r="C226" s="29">
        <v>46158.403685196761</v>
      </c>
      <c r="D226" s="14">
        <v>3</v>
      </c>
      <c r="E226" s="14">
        <v>3</v>
      </c>
      <c r="F226" s="14">
        <v>2</v>
      </c>
      <c r="G226" s="14">
        <v>3</v>
      </c>
      <c r="H226" t="s">
        <v>47</v>
      </c>
      <c r="I226" s="30" t="s">
        <v>1541</v>
      </c>
    </row>
    <row r="227" spans="1:9">
      <c r="A227" t="s">
        <v>1761</v>
      </c>
      <c r="B227" t="s">
        <v>802</v>
      </c>
      <c r="C227" s="29">
        <v>46159.62675722222</v>
      </c>
      <c r="D227" s="14">
        <v>4</v>
      </c>
      <c r="E227" s="14">
        <v>4</v>
      </c>
      <c r="F227" s="14">
        <v>3</v>
      </c>
      <c r="G227" s="14">
        <v>5</v>
      </c>
      <c r="H227" t="s">
        <v>41</v>
      </c>
      <c r="I227" s="30" t="s">
        <v>1530</v>
      </c>
    </row>
    <row r="228" spans="1:9">
      <c r="A228" t="s">
        <v>1762</v>
      </c>
      <c r="B228" t="s">
        <v>805</v>
      </c>
      <c r="C228" s="29">
        <v>46159.552951111109</v>
      </c>
      <c r="D228" s="14">
        <v>3</v>
      </c>
      <c r="E228" s="14">
        <v>2</v>
      </c>
      <c r="F228" s="14">
        <v>2</v>
      </c>
      <c r="G228" s="14">
        <v>4</v>
      </c>
      <c r="H228" t="s">
        <v>47</v>
      </c>
      <c r="I228" s="30" t="s">
        <v>1537</v>
      </c>
    </row>
    <row r="229" spans="1:9">
      <c r="A229" t="s">
        <v>1763</v>
      </c>
      <c r="B229" t="s">
        <v>806</v>
      </c>
      <c r="C229" s="29">
        <v>46158.749030509258</v>
      </c>
      <c r="D229" s="14">
        <v>5</v>
      </c>
      <c r="E229" s="14">
        <v>4</v>
      </c>
      <c r="F229" s="14">
        <v>5</v>
      </c>
      <c r="G229" s="14">
        <v>5</v>
      </c>
      <c r="H229" t="s">
        <v>41</v>
      </c>
      <c r="I229" s="30" t="s">
        <v>1530</v>
      </c>
    </row>
    <row r="230" spans="1:9">
      <c r="A230" t="s">
        <v>1764</v>
      </c>
      <c r="B230" t="s">
        <v>807</v>
      </c>
      <c r="C230" s="29">
        <v>46159.216914108794</v>
      </c>
      <c r="D230" s="14">
        <v>3</v>
      </c>
      <c r="E230" s="14">
        <v>2</v>
      </c>
      <c r="F230" s="14">
        <v>2</v>
      </c>
      <c r="G230" s="14">
        <v>3</v>
      </c>
      <c r="H230" t="s">
        <v>47</v>
      </c>
      <c r="I230" s="30" t="s">
        <v>1541</v>
      </c>
    </row>
    <row r="231" spans="1:9">
      <c r="A231" t="s">
        <v>1765</v>
      </c>
      <c r="B231" t="s">
        <v>809</v>
      </c>
      <c r="C231" s="29">
        <v>46160.455741296297</v>
      </c>
      <c r="D231" s="14">
        <v>3</v>
      </c>
      <c r="E231" s="14">
        <v>2</v>
      </c>
      <c r="F231" s="14">
        <v>2</v>
      </c>
      <c r="G231" s="14">
        <v>3</v>
      </c>
      <c r="H231" t="s">
        <v>47</v>
      </c>
      <c r="I231" s="30" t="s">
        <v>1537</v>
      </c>
    </row>
    <row r="232" spans="1:9">
      <c r="A232" t="s">
        <v>1766</v>
      </c>
      <c r="B232" t="s">
        <v>810</v>
      </c>
      <c r="C232" s="29">
        <v>46158.970565034724</v>
      </c>
      <c r="D232" s="14">
        <v>5</v>
      </c>
      <c r="E232" s="14">
        <v>5</v>
      </c>
      <c r="F232" s="14">
        <v>4</v>
      </c>
      <c r="G232" s="14">
        <v>5</v>
      </c>
      <c r="H232" t="s">
        <v>41</v>
      </c>
      <c r="I232" s="30" t="s">
        <v>1532</v>
      </c>
    </row>
    <row r="233" spans="1:9">
      <c r="A233" t="s">
        <v>1767</v>
      </c>
      <c r="B233" t="s">
        <v>812</v>
      </c>
      <c r="C233" s="29">
        <v>46161.025874965278</v>
      </c>
      <c r="D233" s="14">
        <v>5</v>
      </c>
      <c r="E233" s="14">
        <v>5</v>
      </c>
      <c r="F233" s="14">
        <v>5</v>
      </c>
      <c r="G233" s="14">
        <v>5</v>
      </c>
      <c r="H233" t="s">
        <v>41</v>
      </c>
      <c r="I233" s="30" t="s">
        <v>1532</v>
      </c>
    </row>
    <row r="234" spans="1:9">
      <c r="A234" t="s">
        <v>1768</v>
      </c>
      <c r="B234" t="s">
        <v>813</v>
      </c>
      <c r="C234" s="29">
        <v>46159.427909745369</v>
      </c>
      <c r="D234" s="14">
        <v>3</v>
      </c>
      <c r="E234" s="14">
        <v>2</v>
      </c>
      <c r="F234" s="14">
        <v>2</v>
      </c>
      <c r="G234" s="14">
        <v>4</v>
      </c>
      <c r="H234" t="s">
        <v>47</v>
      </c>
      <c r="I234" s="30" t="s">
        <v>1537</v>
      </c>
    </row>
    <row r="235" spans="1:9">
      <c r="A235" t="s">
        <v>1769</v>
      </c>
      <c r="B235" t="s">
        <v>816</v>
      </c>
      <c r="C235" s="29">
        <v>46161.248564803238</v>
      </c>
      <c r="D235" s="14">
        <v>4</v>
      </c>
      <c r="E235" s="14">
        <v>3</v>
      </c>
      <c r="F235" s="14">
        <v>3</v>
      </c>
      <c r="G235" s="14">
        <v>4</v>
      </c>
      <c r="H235" t="s">
        <v>41</v>
      </c>
      <c r="I235" s="30" t="s">
        <v>1539</v>
      </c>
    </row>
    <row r="236" spans="1:9">
      <c r="A236" t="s">
        <v>1770</v>
      </c>
      <c r="B236" t="s">
        <v>817</v>
      </c>
      <c r="C236" s="29">
        <v>46159.699808321762</v>
      </c>
      <c r="D236" s="14">
        <v>4</v>
      </c>
      <c r="E236" s="14">
        <v>5</v>
      </c>
      <c r="F236" s="14">
        <v>3</v>
      </c>
      <c r="G236" s="14">
        <v>4</v>
      </c>
      <c r="H236" t="s">
        <v>41</v>
      </c>
      <c r="I236" s="30" t="s">
        <v>1530</v>
      </c>
    </row>
    <row r="237" spans="1:9">
      <c r="A237" t="s">
        <v>1771</v>
      </c>
      <c r="B237" t="s">
        <v>818</v>
      </c>
      <c r="C237" s="29">
        <v>46161.407683761572</v>
      </c>
      <c r="D237" s="14">
        <v>4</v>
      </c>
      <c r="E237" s="14">
        <v>5</v>
      </c>
      <c r="F237" s="14">
        <v>5</v>
      </c>
      <c r="G237" s="14">
        <v>4</v>
      </c>
      <c r="H237" t="s">
        <v>41</v>
      </c>
      <c r="I237" s="30" t="s">
        <v>1530</v>
      </c>
    </row>
    <row r="238" spans="1:9">
      <c r="A238" t="s">
        <v>1772</v>
      </c>
      <c r="B238" t="s">
        <v>819</v>
      </c>
      <c r="C238" s="29">
        <v>46161.279754398151</v>
      </c>
      <c r="D238" s="14">
        <v>4</v>
      </c>
      <c r="E238" s="14">
        <v>5</v>
      </c>
      <c r="F238" s="14">
        <v>3</v>
      </c>
      <c r="G238" s="14">
        <v>5</v>
      </c>
      <c r="H238" t="s">
        <v>41</v>
      </c>
      <c r="I238" s="30" t="s">
        <v>1530</v>
      </c>
    </row>
    <row r="239" spans="1:9">
      <c r="A239" t="s">
        <v>1773</v>
      </c>
      <c r="B239" t="s">
        <v>820</v>
      </c>
      <c r="C239" s="29">
        <v>46162.16751402778</v>
      </c>
      <c r="D239" s="14">
        <v>4</v>
      </c>
      <c r="E239" s="14">
        <v>5</v>
      </c>
      <c r="F239" s="14">
        <v>3</v>
      </c>
      <c r="G239" s="14">
        <v>4</v>
      </c>
      <c r="H239" t="s">
        <v>41</v>
      </c>
      <c r="I239" s="30" t="s">
        <v>1530</v>
      </c>
    </row>
    <row r="240" spans="1:9">
      <c r="A240" t="s">
        <v>1774</v>
      </c>
      <c r="B240" t="s">
        <v>825</v>
      </c>
      <c r="C240" s="29">
        <v>46161.916397083332</v>
      </c>
      <c r="D240" s="14">
        <v>5</v>
      </c>
      <c r="E240" s="14">
        <v>5</v>
      </c>
      <c r="F240" s="14">
        <v>5</v>
      </c>
      <c r="G240" s="14">
        <v>5</v>
      </c>
      <c r="H240" t="s">
        <v>41</v>
      </c>
      <c r="I240" s="30" t="s">
        <v>1530</v>
      </c>
    </row>
    <row r="241" spans="1:9">
      <c r="A241" t="s">
        <v>1775</v>
      </c>
      <c r="B241" t="s">
        <v>826</v>
      </c>
      <c r="C241" s="29">
        <v>46161.111761504631</v>
      </c>
      <c r="D241" s="14">
        <v>5</v>
      </c>
      <c r="E241" s="14">
        <v>5</v>
      </c>
      <c r="F241" s="14">
        <v>5</v>
      </c>
      <c r="G241" s="14">
        <v>5</v>
      </c>
      <c r="H241" t="s">
        <v>41</v>
      </c>
      <c r="I241" s="30" t="s">
        <v>1532</v>
      </c>
    </row>
    <row r="242" spans="1:9">
      <c r="A242" t="s">
        <v>1776</v>
      </c>
      <c r="B242" t="s">
        <v>829</v>
      </c>
      <c r="C242" s="29">
        <v>46160.971803217595</v>
      </c>
      <c r="D242" s="14">
        <v>5</v>
      </c>
      <c r="E242" s="14">
        <v>5</v>
      </c>
      <c r="F242" s="14">
        <v>5</v>
      </c>
      <c r="G242" s="14">
        <v>5</v>
      </c>
      <c r="H242" t="s">
        <v>41</v>
      </c>
      <c r="I242" s="30" t="s">
        <v>1539</v>
      </c>
    </row>
    <row r="243" spans="1:9">
      <c r="A243" t="s">
        <v>1777</v>
      </c>
      <c r="B243" t="s">
        <v>830</v>
      </c>
      <c r="C243" s="29">
        <v>46161.619696469905</v>
      </c>
      <c r="D243" s="14">
        <v>5</v>
      </c>
      <c r="E243" s="14">
        <v>5</v>
      </c>
      <c r="F243" s="14">
        <v>5</v>
      </c>
      <c r="G243" s="14">
        <v>5</v>
      </c>
      <c r="H243" t="s">
        <v>41</v>
      </c>
      <c r="I243" s="30" t="s">
        <v>1539</v>
      </c>
    </row>
    <row r="244" spans="1:9">
      <c r="A244" t="s">
        <v>1778</v>
      </c>
      <c r="B244" t="s">
        <v>831</v>
      </c>
      <c r="C244" s="29">
        <v>46162.536143715275</v>
      </c>
      <c r="D244" s="14">
        <v>3</v>
      </c>
      <c r="E244" s="14">
        <v>3</v>
      </c>
      <c r="F244" s="14">
        <v>2</v>
      </c>
      <c r="G244" s="14">
        <v>3</v>
      </c>
      <c r="H244" t="s">
        <v>47</v>
      </c>
      <c r="I244" s="30" t="s">
        <v>1537</v>
      </c>
    </row>
    <row r="245" spans="1:9">
      <c r="A245" t="s">
        <v>1779</v>
      </c>
      <c r="B245" t="s">
        <v>832</v>
      </c>
      <c r="C245" s="29">
        <v>46163.143310046296</v>
      </c>
      <c r="D245" s="14">
        <v>4</v>
      </c>
      <c r="E245" s="14">
        <v>5</v>
      </c>
      <c r="F245" s="14">
        <v>3</v>
      </c>
      <c r="G245" s="14">
        <v>5</v>
      </c>
      <c r="H245" t="s">
        <v>41</v>
      </c>
      <c r="I245" s="30" t="s">
        <v>1539</v>
      </c>
    </row>
    <row r="246" spans="1:9">
      <c r="A246" t="s">
        <v>1780</v>
      </c>
      <c r="B246" t="s">
        <v>836</v>
      </c>
      <c r="C246" s="29">
        <v>46161.777791516201</v>
      </c>
      <c r="D246" s="14">
        <v>2</v>
      </c>
      <c r="E246" s="14">
        <v>1</v>
      </c>
      <c r="F246" s="14">
        <v>1</v>
      </c>
      <c r="G246" s="14">
        <v>3</v>
      </c>
      <c r="H246" t="s">
        <v>47</v>
      </c>
      <c r="I246" s="30" t="s">
        <v>1548</v>
      </c>
    </row>
    <row r="247" spans="1:9">
      <c r="A247" t="s">
        <v>1781</v>
      </c>
      <c r="B247" t="s">
        <v>837</v>
      </c>
      <c r="C247" s="29">
        <v>46162.080802939818</v>
      </c>
      <c r="D247" s="14">
        <v>3</v>
      </c>
      <c r="E247" s="14">
        <v>2</v>
      </c>
      <c r="F247" s="14">
        <v>2</v>
      </c>
      <c r="G247" s="14">
        <v>3</v>
      </c>
      <c r="H247" t="s">
        <v>47</v>
      </c>
      <c r="I247" s="30" t="s">
        <v>1541</v>
      </c>
    </row>
    <row r="248" spans="1:9">
      <c r="A248" t="s">
        <v>1782</v>
      </c>
      <c r="B248" t="s">
        <v>838</v>
      </c>
      <c r="C248" s="29">
        <v>46162.345030763892</v>
      </c>
      <c r="D248" s="14">
        <v>4</v>
      </c>
      <c r="E248" s="14">
        <v>3</v>
      </c>
      <c r="F248" s="14">
        <v>3</v>
      </c>
      <c r="G248" s="14">
        <v>4</v>
      </c>
      <c r="H248" t="s">
        <v>41</v>
      </c>
      <c r="I248" s="30" t="s">
        <v>1539</v>
      </c>
    </row>
    <row r="249" spans="1:9">
      <c r="A249" t="s">
        <v>1783</v>
      </c>
      <c r="B249" t="s">
        <v>839</v>
      </c>
      <c r="C249" s="29">
        <v>46162.171895185187</v>
      </c>
      <c r="D249" s="14">
        <v>3</v>
      </c>
      <c r="E249" s="14">
        <v>3</v>
      </c>
      <c r="F249" s="14">
        <v>2</v>
      </c>
      <c r="G249" s="14">
        <v>4</v>
      </c>
      <c r="H249" t="s">
        <v>47</v>
      </c>
      <c r="I249" s="30" t="s">
        <v>1535</v>
      </c>
    </row>
    <row r="250" spans="1:9">
      <c r="A250" t="s">
        <v>1784</v>
      </c>
      <c r="B250" t="s">
        <v>841</v>
      </c>
      <c r="C250" s="29">
        <v>46162.204664814817</v>
      </c>
      <c r="D250" s="14">
        <v>4</v>
      </c>
      <c r="E250" s="14">
        <v>3</v>
      </c>
      <c r="F250" s="14">
        <v>5</v>
      </c>
      <c r="G250" s="14">
        <v>4</v>
      </c>
      <c r="H250" t="s">
        <v>41</v>
      </c>
      <c r="I250" s="30" t="s">
        <v>1532</v>
      </c>
    </row>
    <row r="251" spans="1:9">
      <c r="A251" t="s">
        <v>1785</v>
      </c>
      <c r="B251" t="s">
        <v>843</v>
      </c>
      <c r="C251" s="29">
        <v>46163.079365578706</v>
      </c>
      <c r="D251" s="14">
        <v>4</v>
      </c>
      <c r="E251" s="14">
        <v>4</v>
      </c>
      <c r="F251" s="14">
        <v>4</v>
      </c>
      <c r="G251" s="14">
        <v>5</v>
      </c>
      <c r="H251" t="s">
        <v>41</v>
      </c>
      <c r="I251" s="30" t="s">
        <v>1532</v>
      </c>
    </row>
    <row r="252" spans="1:9">
      <c r="A252" t="s">
        <v>1786</v>
      </c>
      <c r="B252" t="s">
        <v>844</v>
      </c>
      <c r="C252" s="29">
        <v>46163.709940925924</v>
      </c>
      <c r="D252" s="14">
        <v>4</v>
      </c>
      <c r="E252" s="14">
        <v>4</v>
      </c>
      <c r="F252" s="14">
        <v>3</v>
      </c>
      <c r="G252" s="14">
        <v>4</v>
      </c>
      <c r="H252" t="s">
        <v>41</v>
      </c>
      <c r="I252" s="30" t="s">
        <v>1530</v>
      </c>
    </row>
    <row r="253" spans="1:9">
      <c r="A253" t="s">
        <v>1787</v>
      </c>
      <c r="B253" t="s">
        <v>846</v>
      </c>
      <c r="C253" s="29">
        <v>46164.146230729166</v>
      </c>
      <c r="D253" s="14">
        <v>5</v>
      </c>
      <c r="E253" s="14">
        <v>4</v>
      </c>
      <c r="F253" s="14">
        <v>5</v>
      </c>
      <c r="G253" s="14">
        <v>5</v>
      </c>
      <c r="H253" t="s">
        <v>41</v>
      </c>
      <c r="I253" s="30" t="s">
        <v>1532</v>
      </c>
    </row>
    <row r="254" spans="1:9">
      <c r="A254" t="s">
        <v>1788</v>
      </c>
      <c r="B254" t="s">
        <v>850</v>
      </c>
      <c r="C254" s="29">
        <v>46162.778272962962</v>
      </c>
      <c r="D254" s="14">
        <v>3</v>
      </c>
      <c r="E254" s="14">
        <v>2</v>
      </c>
      <c r="F254" s="14">
        <v>2</v>
      </c>
      <c r="G254" s="14">
        <v>4</v>
      </c>
      <c r="H254" t="s">
        <v>47</v>
      </c>
      <c r="I254" s="30" t="s">
        <v>1537</v>
      </c>
    </row>
    <row r="255" spans="1:9">
      <c r="A255" t="s">
        <v>1789</v>
      </c>
      <c r="B255" t="s">
        <v>851</v>
      </c>
      <c r="C255" s="29">
        <v>46164.274139745372</v>
      </c>
      <c r="D255" s="14">
        <v>5</v>
      </c>
      <c r="E255" s="14">
        <v>5</v>
      </c>
      <c r="F255" s="14">
        <v>5</v>
      </c>
      <c r="G255" s="14">
        <v>5</v>
      </c>
      <c r="H255" t="s">
        <v>41</v>
      </c>
      <c r="I255" s="30" t="s">
        <v>1530</v>
      </c>
    </row>
    <row r="256" spans="1:9">
      <c r="A256" t="s">
        <v>1790</v>
      </c>
      <c r="B256" t="s">
        <v>852</v>
      </c>
      <c r="C256" s="29">
        <v>46162.493487557869</v>
      </c>
      <c r="D256" s="14">
        <v>3</v>
      </c>
      <c r="E256" s="14">
        <v>3</v>
      </c>
      <c r="F256" s="14">
        <v>2</v>
      </c>
      <c r="G256" s="14">
        <v>3</v>
      </c>
      <c r="H256" t="s">
        <v>47</v>
      </c>
      <c r="I256" s="30" t="s">
        <v>1535</v>
      </c>
    </row>
    <row r="257" spans="1:9">
      <c r="A257" t="s">
        <v>1791</v>
      </c>
      <c r="B257" t="s">
        <v>853</v>
      </c>
      <c r="C257" s="29">
        <v>46162.867966331018</v>
      </c>
      <c r="D257" s="14">
        <v>3</v>
      </c>
      <c r="E257" s="14">
        <v>4</v>
      </c>
      <c r="F257" s="14">
        <v>2</v>
      </c>
      <c r="G257" s="14">
        <v>4</v>
      </c>
      <c r="H257" t="s">
        <v>47</v>
      </c>
      <c r="I257" s="30" t="s">
        <v>1541</v>
      </c>
    </row>
    <row r="258" spans="1:9">
      <c r="A258" t="s">
        <v>1792</v>
      </c>
      <c r="B258" t="s">
        <v>854</v>
      </c>
      <c r="C258" s="29">
        <v>46162.895805682871</v>
      </c>
      <c r="D258" s="14">
        <v>4</v>
      </c>
      <c r="E258" s="14">
        <v>3</v>
      </c>
      <c r="F258" s="14">
        <v>4</v>
      </c>
      <c r="G258" s="14">
        <v>5</v>
      </c>
      <c r="H258" t="s">
        <v>41</v>
      </c>
      <c r="I258" s="30" t="s">
        <v>1532</v>
      </c>
    </row>
    <row r="259" spans="1:9">
      <c r="A259" t="s">
        <v>1793</v>
      </c>
      <c r="B259" t="s">
        <v>856</v>
      </c>
      <c r="C259" s="29">
        <v>46163.71582730324</v>
      </c>
      <c r="D259" s="14">
        <v>5</v>
      </c>
      <c r="E259" s="14">
        <v>5</v>
      </c>
      <c r="F259" s="14">
        <v>5</v>
      </c>
      <c r="G259" s="14">
        <v>5</v>
      </c>
      <c r="H259" t="s">
        <v>41</v>
      </c>
      <c r="I259" s="30" t="s">
        <v>1530</v>
      </c>
    </row>
    <row r="260" spans="1:9">
      <c r="A260" t="s">
        <v>1794</v>
      </c>
      <c r="B260" t="s">
        <v>858</v>
      </c>
      <c r="C260" s="29">
        <v>46164.019643136577</v>
      </c>
      <c r="D260" s="14">
        <v>3</v>
      </c>
      <c r="E260" s="14">
        <v>3</v>
      </c>
      <c r="F260" s="14">
        <v>2</v>
      </c>
      <c r="G260" s="14">
        <v>3</v>
      </c>
      <c r="H260" t="s">
        <v>47</v>
      </c>
      <c r="I260" s="30" t="s">
        <v>1537</v>
      </c>
    </row>
    <row r="261" spans="1:9">
      <c r="A261" t="s">
        <v>1795</v>
      </c>
      <c r="B261" t="s">
        <v>861</v>
      </c>
      <c r="C261" s="29">
        <v>46164.442392685189</v>
      </c>
      <c r="D261" s="14">
        <v>4</v>
      </c>
      <c r="E261" s="14">
        <v>5</v>
      </c>
      <c r="F261" s="14">
        <v>5</v>
      </c>
      <c r="G261" s="14">
        <v>4</v>
      </c>
      <c r="H261" t="s">
        <v>41</v>
      </c>
      <c r="I261" s="30" t="s">
        <v>1532</v>
      </c>
    </row>
    <row r="262" spans="1:9">
      <c r="A262" t="s">
        <v>1796</v>
      </c>
      <c r="B262" t="s">
        <v>863</v>
      </c>
      <c r="C262" s="29">
        <v>46164.791104791664</v>
      </c>
      <c r="D262" s="14">
        <v>5</v>
      </c>
      <c r="E262" s="14">
        <v>5</v>
      </c>
      <c r="F262" s="14">
        <v>5</v>
      </c>
      <c r="G262" s="14">
        <v>5</v>
      </c>
      <c r="H262" t="s">
        <v>41</v>
      </c>
      <c r="I262" s="30" t="s">
        <v>1539</v>
      </c>
    </row>
    <row r="263" spans="1:9">
      <c r="A263" t="s">
        <v>1797</v>
      </c>
      <c r="B263" t="s">
        <v>864</v>
      </c>
      <c r="C263" s="29">
        <v>46165.139053402774</v>
      </c>
      <c r="D263" s="14">
        <v>5</v>
      </c>
      <c r="E263" s="14">
        <v>4</v>
      </c>
      <c r="F263" s="14">
        <v>5</v>
      </c>
      <c r="G263" s="14">
        <v>5</v>
      </c>
      <c r="H263" t="s">
        <v>41</v>
      </c>
      <c r="I263" s="30" t="s">
        <v>1532</v>
      </c>
    </row>
    <row r="264" spans="1:9">
      <c r="A264" t="s">
        <v>1798</v>
      </c>
      <c r="B264" t="s">
        <v>866</v>
      </c>
      <c r="C264" s="29">
        <v>46165.233933900461</v>
      </c>
      <c r="D264" s="14">
        <v>4</v>
      </c>
      <c r="E264" s="14">
        <v>3</v>
      </c>
      <c r="F264" s="14">
        <v>5</v>
      </c>
      <c r="G264" s="14">
        <v>4</v>
      </c>
      <c r="H264" t="s">
        <v>41</v>
      </c>
      <c r="I264" s="30" t="s">
        <v>1530</v>
      </c>
    </row>
    <row r="265" spans="1:9">
      <c r="A265" t="s">
        <v>1799</v>
      </c>
      <c r="B265" t="s">
        <v>867</v>
      </c>
      <c r="C265" s="29">
        <v>46165.255597164352</v>
      </c>
      <c r="D265" s="14">
        <v>3</v>
      </c>
      <c r="E265" s="14">
        <v>2</v>
      </c>
      <c r="F265" s="14">
        <v>2</v>
      </c>
      <c r="G265" s="14">
        <v>3</v>
      </c>
      <c r="H265" t="s">
        <v>47</v>
      </c>
      <c r="I265" s="30" t="s">
        <v>1535</v>
      </c>
    </row>
    <row r="266" spans="1:9">
      <c r="A266" t="s">
        <v>1800</v>
      </c>
      <c r="B266" t="s">
        <v>869</v>
      </c>
      <c r="C266" s="29">
        <v>46165.317068877317</v>
      </c>
      <c r="D266" s="14">
        <v>5</v>
      </c>
      <c r="E266" s="14">
        <v>5</v>
      </c>
      <c r="F266" s="14">
        <v>5</v>
      </c>
      <c r="G266" s="14">
        <v>5</v>
      </c>
      <c r="H266" t="s">
        <v>41</v>
      </c>
      <c r="I266" s="30" t="s">
        <v>1532</v>
      </c>
    </row>
    <row r="267" spans="1:9">
      <c r="A267" t="s">
        <v>1801</v>
      </c>
      <c r="B267" t="s">
        <v>870</v>
      </c>
      <c r="C267" s="29">
        <v>46165.723461724534</v>
      </c>
      <c r="D267" s="14">
        <v>5</v>
      </c>
      <c r="E267" s="14">
        <v>5</v>
      </c>
      <c r="F267" s="14">
        <v>5</v>
      </c>
      <c r="G267" s="14">
        <v>5</v>
      </c>
      <c r="H267" t="s">
        <v>41</v>
      </c>
      <c r="I267" s="30" t="s">
        <v>1532</v>
      </c>
    </row>
    <row r="268" spans="1:9">
      <c r="A268" t="s">
        <v>1802</v>
      </c>
      <c r="B268" t="s">
        <v>871</v>
      </c>
      <c r="C268" s="29">
        <v>46164.180823495371</v>
      </c>
      <c r="D268" s="14">
        <v>5</v>
      </c>
      <c r="E268" s="14">
        <v>4</v>
      </c>
      <c r="F268" s="14">
        <v>4</v>
      </c>
      <c r="G268" s="14">
        <v>5</v>
      </c>
      <c r="H268" t="s">
        <v>41</v>
      </c>
      <c r="I268" s="30" t="s">
        <v>1530</v>
      </c>
    </row>
    <row r="269" spans="1:9">
      <c r="A269" t="s">
        <v>1803</v>
      </c>
      <c r="B269" t="s">
        <v>874</v>
      </c>
      <c r="C269" s="29">
        <v>46165.334255069443</v>
      </c>
      <c r="D269" s="14">
        <v>3</v>
      </c>
      <c r="E269" s="14">
        <v>2</v>
      </c>
      <c r="F269" s="14">
        <v>2</v>
      </c>
      <c r="G269" s="14">
        <v>3</v>
      </c>
      <c r="H269" t="s">
        <v>47</v>
      </c>
      <c r="I269" s="30" t="s">
        <v>1541</v>
      </c>
    </row>
    <row r="270" spans="1:9">
      <c r="A270" t="s">
        <v>1804</v>
      </c>
      <c r="B270" t="s">
        <v>875</v>
      </c>
      <c r="C270" s="29">
        <v>46165.209941666668</v>
      </c>
      <c r="D270" s="14">
        <v>4</v>
      </c>
      <c r="E270" s="14">
        <v>3</v>
      </c>
      <c r="F270" s="14">
        <v>4</v>
      </c>
      <c r="G270" s="14">
        <v>4</v>
      </c>
      <c r="H270" t="s">
        <v>41</v>
      </c>
      <c r="I270" s="30" t="s">
        <v>1532</v>
      </c>
    </row>
    <row r="271" spans="1:9">
      <c r="A271" t="s">
        <v>1805</v>
      </c>
      <c r="B271" t="s">
        <v>877</v>
      </c>
      <c r="C271" s="29">
        <v>46167.532094895832</v>
      </c>
      <c r="D271" s="14">
        <v>2</v>
      </c>
      <c r="E271" s="14">
        <v>2</v>
      </c>
      <c r="F271" s="14">
        <v>1</v>
      </c>
      <c r="G271" s="14">
        <v>2</v>
      </c>
      <c r="H271" t="s">
        <v>47</v>
      </c>
      <c r="I271" s="30" t="s">
        <v>1570</v>
      </c>
    </row>
    <row r="272" spans="1:9">
      <c r="A272" t="s">
        <v>1806</v>
      </c>
      <c r="B272" t="s">
        <v>879</v>
      </c>
      <c r="C272" s="29">
        <v>46166.915309432872</v>
      </c>
      <c r="D272" s="14">
        <v>4</v>
      </c>
      <c r="E272" s="14">
        <v>4</v>
      </c>
      <c r="F272" s="14">
        <v>5</v>
      </c>
      <c r="G272" s="14">
        <v>5</v>
      </c>
      <c r="H272" t="s">
        <v>41</v>
      </c>
      <c r="I272" s="30" t="s">
        <v>1539</v>
      </c>
    </row>
    <row r="273" spans="1:9">
      <c r="A273" t="s">
        <v>1807</v>
      </c>
      <c r="B273" t="s">
        <v>880</v>
      </c>
      <c r="C273" s="29">
        <v>46166.76623523148</v>
      </c>
      <c r="D273" s="14">
        <v>3</v>
      </c>
      <c r="E273" s="14">
        <v>2</v>
      </c>
      <c r="F273" s="14">
        <v>2</v>
      </c>
      <c r="G273" s="14">
        <v>4</v>
      </c>
      <c r="H273" t="s">
        <v>47</v>
      </c>
      <c r="I273" s="30" t="s">
        <v>1535</v>
      </c>
    </row>
    <row r="274" spans="1:9">
      <c r="A274" t="s">
        <v>1808</v>
      </c>
      <c r="B274" t="s">
        <v>882</v>
      </c>
      <c r="C274" s="29">
        <v>46165.618688634262</v>
      </c>
      <c r="D274" s="14">
        <v>5</v>
      </c>
      <c r="E274" s="14">
        <v>5</v>
      </c>
      <c r="F274" s="14">
        <v>5</v>
      </c>
      <c r="G274" s="14">
        <v>5</v>
      </c>
      <c r="H274" t="s">
        <v>41</v>
      </c>
      <c r="I274" s="30" t="s">
        <v>1539</v>
      </c>
    </row>
    <row r="275" spans="1:9">
      <c r="A275" t="s">
        <v>1809</v>
      </c>
      <c r="B275" t="s">
        <v>885</v>
      </c>
      <c r="C275" s="29">
        <v>46165.403985439814</v>
      </c>
      <c r="D275" s="14">
        <v>4</v>
      </c>
      <c r="E275" s="14">
        <v>3</v>
      </c>
      <c r="F275" s="14">
        <v>5</v>
      </c>
      <c r="G275" s="14">
        <v>4</v>
      </c>
      <c r="H275" t="s">
        <v>41</v>
      </c>
      <c r="I275" s="30" t="s">
        <v>1532</v>
      </c>
    </row>
    <row r="276" spans="1:9">
      <c r="A276" t="s">
        <v>1810</v>
      </c>
      <c r="B276" t="s">
        <v>887</v>
      </c>
      <c r="C276" s="29">
        <v>46165.269436111113</v>
      </c>
      <c r="D276" s="14">
        <v>5</v>
      </c>
      <c r="E276" s="14">
        <v>4</v>
      </c>
      <c r="F276" s="14">
        <v>5</v>
      </c>
      <c r="G276" s="14">
        <v>5</v>
      </c>
      <c r="H276" t="s">
        <v>41</v>
      </c>
      <c r="I276" s="30" t="s">
        <v>1530</v>
      </c>
    </row>
    <row r="277" spans="1:9">
      <c r="A277" t="s">
        <v>1811</v>
      </c>
      <c r="B277" t="s">
        <v>890</v>
      </c>
      <c r="C277" s="29">
        <v>46166.012938333333</v>
      </c>
      <c r="D277" s="14">
        <v>4</v>
      </c>
      <c r="E277" s="14">
        <v>3</v>
      </c>
      <c r="F277" s="14">
        <v>5</v>
      </c>
      <c r="G277" s="14">
        <v>5</v>
      </c>
      <c r="H277" t="s">
        <v>41</v>
      </c>
      <c r="I277" s="30" t="s">
        <v>1539</v>
      </c>
    </row>
    <row r="278" spans="1:9">
      <c r="A278" t="s">
        <v>1812</v>
      </c>
      <c r="B278" t="s">
        <v>892</v>
      </c>
      <c r="C278" s="29">
        <v>46167.055073518517</v>
      </c>
      <c r="D278" s="14">
        <v>3</v>
      </c>
      <c r="E278" s="14">
        <v>2</v>
      </c>
      <c r="F278" s="14">
        <v>2</v>
      </c>
      <c r="G278" s="14">
        <v>3</v>
      </c>
      <c r="H278" t="s">
        <v>47</v>
      </c>
      <c r="I278" s="30" t="s">
        <v>1537</v>
      </c>
    </row>
    <row r="279" spans="1:9">
      <c r="A279" t="s">
        <v>1813</v>
      </c>
      <c r="B279" t="s">
        <v>894</v>
      </c>
      <c r="C279" s="29">
        <v>46166.812420787035</v>
      </c>
      <c r="D279" s="14">
        <v>3</v>
      </c>
      <c r="E279" s="14">
        <v>2</v>
      </c>
      <c r="F279" s="14">
        <v>2</v>
      </c>
      <c r="G279" s="14">
        <v>4</v>
      </c>
      <c r="H279" t="s">
        <v>47</v>
      </c>
      <c r="I279" s="30" t="s">
        <v>1537</v>
      </c>
    </row>
    <row r="280" spans="1:9">
      <c r="A280" t="s">
        <v>1814</v>
      </c>
      <c r="B280" t="s">
        <v>895</v>
      </c>
      <c r="C280" s="29">
        <v>46167.428770011575</v>
      </c>
      <c r="D280" s="14">
        <v>3</v>
      </c>
      <c r="E280" s="14">
        <v>4</v>
      </c>
      <c r="F280" s="14">
        <v>2</v>
      </c>
      <c r="G280" s="14">
        <v>3</v>
      </c>
      <c r="H280" t="s">
        <v>47</v>
      </c>
      <c r="I280" s="30" t="s">
        <v>1541</v>
      </c>
    </row>
    <row r="281" spans="1:9">
      <c r="A281" t="s">
        <v>1815</v>
      </c>
      <c r="B281" t="s">
        <v>896</v>
      </c>
      <c r="C281" s="29">
        <v>46166.224051180558</v>
      </c>
      <c r="D281" s="14">
        <v>4</v>
      </c>
      <c r="E281" s="14">
        <v>3</v>
      </c>
      <c r="F281" s="14">
        <v>4</v>
      </c>
      <c r="G281" s="14">
        <v>4</v>
      </c>
      <c r="H281" t="s">
        <v>41</v>
      </c>
      <c r="I281" s="30" t="s">
        <v>1532</v>
      </c>
    </row>
    <row r="282" spans="1:9">
      <c r="A282" t="s">
        <v>1816</v>
      </c>
      <c r="B282" t="s">
        <v>897</v>
      </c>
      <c r="C282" s="29">
        <v>46167.621820706016</v>
      </c>
      <c r="D282" s="14">
        <v>5</v>
      </c>
      <c r="E282" s="14">
        <v>4</v>
      </c>
      <c r="F282" s="14">
        <v>5</v>
      </c>
      <c r="G282" s="14">
        <v>5</v>
      </c>
      <c r="H282" t="s">
        <v>41</v>
      </c>
      <c r="I282" s="30" t="s">
        <v>1539</v>
      </c>
    </row>
    <row r="283" spans="1:9">
      <c r="A283" t="s">
        <v>1817</v>
      </c>
      <c r="B283" t="s">
        <v>899</v>
      </c>
      <c r="C283" s="29">
        <v>46167.134560706021</v>
      </c>
      <c r="D283" s="14">
        <v>5</v>
      </c>
      <c r="E283" s="14">
        <v>5</v>
      </c>
      <c r="F283" s="14">
        <v>5</v>
      </c>
      <c r="G283" s="14">
        <v>5</v>
      </c>
      <c r="H283" t="s">
        <v>41</v>
      </c>
      <c r="I283" s="30" t="s">
        <v>1530</v>
      </c>
    </row>
    <row r="284" spans="1:9">
      <c r="A284" t="s">
        <v>1818</v>
      </c>
      <c r="B284" t="s">
        <v>900</v>
      </c>
      <c r="C284" s="29">
        <v>46166.08217775463</v>
      </c>
      <c r="D284" s="14">
        <v>5</v>
      </c>
      <c r="E284" s="14">
        <v>4</v>
      </c>
      <c r="F284" s="14">
        <v>4</v>
      </c>
      <c r="G284" s="14">
        <v>5</v>
      </c>
      <c r="H284" t="s">
        <v>41</v>
      </c>
      <c r="I284" s="30" t="s">
        <v>1532</v>
      </c>
    </row>
    <row r="285" spans="1:9">
      <c r="A285" t="s">
        <v>1819</v>
      </c>
      <c r="B285" t="s">
        <v>902</v>
      </c>
      <c r="C285" s="29">
        <v>46168.372528935186</v>
      </c>
      <c r="D285" s="14">
        <v>5</v>
      </c>
      <c r="E285" s="14">
        <v>5</v>
      </c>
      <c r="F285" s="14">
        <v>5</v>
      </c>
      <c r="G285" s="14">
        <v>5</v>
      </c>
      <c r="H285" t="s">
        <v>41</v>
      </c>
      <c r="I285" s="30" t="s">
        <v>1530</v>
      </c>
    </row>
    <row r="286" spans="1:9">
      <c r="A286" t="s">
        <v>1820</v>
      </c>
      <c r="B286" t="s">
        <v>904</v>
      </c>
      <c r="C286" s="29">
        <v>46168.734136550927</v>
      </c>
      <c r="D286" s="14">
        <v>3</v>
      </c>
      <c r="E286" s="14">
        <v>3</v>
      </c>
      <c r="F286" s="14">
        <v>2</v>
      </c>
      <c r="G286" s="14">
        <v>3</v>
      </c>
      <c r="H286" t="s">
        <v>47</v>
      </c>
      <c r="I286" s="30" t="s">
        <v>1535</v>
      </c>
    </row>
    <row r="287" spans="1:9">
      <c r="A287" t="s">
        <v>1821</v>
      </c>
      <c r="B287" t="s">
        <v>906</v>
      </c>
      <c r="C287" s="29">
        <v>46168.376769270835</v>
      </c>
      <c r="D287" s="14">
        <v>3</v>
      </c>
      <c r="E287" s="14">
        <v>2</v>
      </c>
      <c r="F287" s="14">
        <v>2</v>
      </c>
      <c r="G287" s="14">
        <v>3</v>
      </c>
      <c r="H287" t="s">
        <v>47</v>
      </c>
      <c r="I287" s="30" t="s">
        <v>1537</v>
      </c>
    </row>
    <row r="288" spans="1:9">
      <c r="A288" t="s">
        <v>1822</v>
      </c>
      <c r="B288" t="s">
        <v>907</v>
      </c>
      <c r="C288" s="29">
        <v>46168.983487511578</v>
      </c>
      <c r="D288" s="14">
        <v>5</v>
      </c>
      <c r="E288" s="14">
        <v>4</v>
      </c>
      <c r="F288" s="14">
        <v>5</v>
      </c>
      <c r="G288" s="14">
        <v>5</v>
      </c>
      <c r="H288" t="s">
        <v>41</v>
      </c>
      <c r="I288" s="30" t="s">
        <v>1530</v>
      </c>
    </row>
    <row r="289" spans="1:9">
      <c r="A289" t="s">
        <v>1823</v>
      </c>
      <c r="B289" t="s">
        <v>908</v>
      </c>
      <c r="C289" s="29">
        <v>46167.948865902777</v>
      </c>
      <c r="D289" s="14">
        <v>4</v>
      </c>
      <c r="E289" s="14">
        <v>4</v>
      </c>
      <c r="F289" s="14">
        <v>3</v>
      </c>
      <c r="G289" s="14">
        <v>5</v>
      </c>
      <c r="H289" t="s">
        <v>41</v>
      </c>
      <c r="I289" s="30" t="s">
        <v>1539</v>
      </c>
    </row>
    <row r="290" spans="1:9">
      <c r="A290" t="s">
        <v>1824</v>
      </c>
      <c r="B290" t="s">
        <v>911</v>
      </c>
      <c r="C290" s="29">
        <v>46167.711882233794</v>
      </c>
      <c r="D290" s="14">
        <v>5</v>
      </c>
      <c r="E290" s="14">
        <v>5</v>
      </c>
      <c r="F290" s="14">
        <v>4</v>
      </c>
      <c r="G290" s="14">
        <v>5</v>
      </c>
      <c r="H290" t="s">
        <v>41</v>
      </c>
      <c r="I290" s="30" t="s">
        <v>1539</v>
      </c>
    </row>
    <row r="291" spans="1:9">
      <c r="A291" t="s">
        <v>1825</v>
      </c>
      <c r="B291" t="s">
        <v>914</v>
      </c>
      <c r="C291" s="29">
        <v>46167.772573854163</v>
      </c>
      <c r="D291" s="14">
        <v>5</v>
      </c>
      <c r="E291" s="14">
        <v>5</v>
      </c>
      <c r="F291" s="14">
        <v>5</v>
      </c>
      <c r="G291" s="14">
        <v>5</v>
      </c>
      <c r="H291" t="s">
        <v>41</v>
      </c>
      <c r="I291" s="30" t="s">
        <v>1530</v>
      </c>
    </row>
    <row r="292" spans="1:9">
      <c r="A292" t="s">
        <v>1826</v>
      </c>
      <c r="B292" t="s">
        <v>917</v>
      </c>
      <c r="C292" s="29">
        <v>46168.66969599537</v>
      </c>
      <c r="D292" s="14">
        <v>3</v>
      </c>
      <c r="E292" s="14">
        <v>4</v>
      </c>
      <c r="F292" s="14">
        <v>2</v>
      </c>
      <c r="G292" s="14">
        <v>4</v>
      </c>
      <c r="H292" t="s">
        <v>47</v>
      </c>
      <c r="I292" s="30" t="s">
        <v>1541</v>
      </c>
    </row>
    <row r="293" spans="1:9">
      <c r="A293" t="s">
        <v>1827</v>
      </c>
      <c r="B293" t="s">
        <v>918</v>
      </c>
      <c r="C293" s="29">
        <v>46168.490740034722</v>
      </c>
      <c r="D293" s="14">
        <v>3</v>
      </c>
      <c r="E293" s="14">
        <v>2</v>
      </c>
      <c r="F293" s="14">
        <v>2</v>
      </c>
      <c r="G293" s="14">
        <v>3</v>
      </c>
      <c r="H293" t="s">
        <v>47</v>
      </c>
      <c r="I293" s="30" t="s">
        <v>1541</v>
      </c>
    </row>
    <row r="294" spans="1:9">
      <c r="A294" t="s">
        <v>1828</v>
      </c>
      <c r="B294" t="s">
        <v>919</v>
      </c>
      <c r="C294" s="29">
        <v>46168.850280254628</v>
      </c>
      <c r="D294" s="14">
        <v>3</v>
      </c>
      <c r="E294" s="14">
        <v>2</v>
      </c>
      <c r="F294" s="14">
        <v>2</v>
      </c>
      <c r="G294" s="14">
        <v>3</v>
      </c>
      <c r="H294" t="s">
        <v>47</v>
      </c>
      <c r="I294" s="30" t="s">
        <v>1541</v>
      </c>
    </row>
    <row r="295" spans="1:9">
      <c r="A295" t="s">
        <v>1829</v>
      </c>
      <c r="B295" t="s">
        <v>923</v>
      </c>
      <c r="C295" s="29">
        <v>46168.320097256947</v>
      </c>
      <c r="D295" s="14">
        <v>5</v>
      </c>
      <c r="E295" s="14">
        <v>5</v>
      </c>
      <c r="F295" s="14">
        <v>4</v>
      </c>
      <c r="G295" s="14">
        <v>5</v>
      </c>
      <c r="H295" t="s">
        <v>41</v>
      </c>
      <c r="I295" s="30" t="s">
        <v>1530</v>
      </c>
    </row>
    <row r="296" spans="1:9">
      <c r="A296" t="s">
        <v>1830</v>
      </c>
      <c r="B296" t="s">
        <v>925</v>
      </c>
      <c r="C296" s="29">
        <v>46168.424640300924</v>
      </c>
      <c r="D296" s="14">
        <v>3</v>
      </c>
      <c r="E296" s="14">
        <v>3</v>
      </c>
      <c r="F296" s="14">
        <v>2</v>
      </c>
      <c r="G296" s="14">
        <v>4</v>
      </c>
      <c r="H296" t="s">
        <v>47</v>
      </c>
      <c r="I296" s="30" t="s">
        <v>1541</v>
      </c>
    </row>
    <row r="297" spans="1:9">
      <c r="A297" t="s">
        <v>1831</v>
      </c>
      <c r="B297" t="s">
        <v>926</v>
      </c>
      <c r="C297" s="29">
        <v>46169.580829062499</v>
      </c>
      <c r="D297" s="14">
        <v>5</v>
      </c>
      <c r="E297" s="14">
        <v>4</v>
      </c>
      <c r="F297" s="14">
        <v>4</v>
      </c>
      <c r="G297" s="14">
        <v>5</v>
      </c>
      <c r="H297" t="s">
        <v>41</v>
      </c>
      <c r="I297" s="30" t="s">
        <v>1530</v>
      </c>
    </row>
    <row r="298" spans="1:9">
      <c r="A298" t="s">
        <v>1832</v>
      </c>
      <c r="B298" t="s">
        <v>927</v>
      </c>
      <c r="C298" s="29">
        <v>46170.479703032404</v>
      </c>
      <c r="D298" s="14">
        <v>4</v>
      </c>
      <c r="E298" s="14">
        <v>3</v>
      </c>
      <c r="F298" s="14">
        <v>4</v>
      </c>
      <c r="G298" s="14">
        <v>5</v>
      </c>
      <c r="H298" t="s">
        <v>41</v>
      </c>
      <c r="I298" s="30" t="s">
        <v>1532</v>
      </c>
    </row>
    <row r="299" spans="1:9">
      <c r="A299" t="s">
        <v>1833</v>
      </c>
      <c r="B299" t="s">
        <v>928</v>
      </c>
      <c r="C299" s="29">
        <v>46170.081055648145</v>
      </c>
      <c r="D299" s="14">
        <v>3</v>
      </c>
      <c r="E299" s="14">
        <v>2</v>
      </c>
      <c r="F299" s="14">
        <v>3</v>
      </c>
      <c r="G299" s="14">
        <v>3</v>
      </c>
      <c r="H299" t="s">
        <v>47</v>
      </c>
      <c r="I299" s="30" t="s">
        <v>1535</v>
      </c>
    </row>
    <row r="300" spans="1:9">
      <c r="A300" t="s">
        <v>1834</v>
      </c>
      <c r="B300" t="s">
        <v>929</v>
      </c>
      <c r="C300" s="29">
        <v>46171.003536076387</v>
      </c>
      <c r="D300" s="14">
        <v>3</v>
      </c>
      <c r="E300" s="14">
        <v>2</v>
      </c>
      <c r="F300" s="14">
        <v>2</v>
      </c>
      <c r="G300" s="14">
        <v>3</v>
      </c>
      <c r="H300" t="s">
        <v>47</v>
      </c>
      <c r="I300" s="30" t="s">
        <v>1537</v>
      </c>
    </row>
    <row r="301" spans="1:9">
      <c r="A301" t="s">
        <v>1835</v>
      </c>
      <c r="B301" t="s">
        <v>931</v>
      </c>
      <c r="C301" s="29">
        <v>46169.410396712963</v>
      </c>
      <c r="D301" s="14">
        <v>4</v>
      </c>
      <c r="E301" s="14">
        <v>5</v>
      </c>
      <c r="F301" s="14">
        <v>4</v>
      </c>
      <c r="G301" s="14">
        <v>4</v>
      </c>
      <c r="H301" t="s">
        <v>41</v>
      </c>
      <c r="I301" s="30" t="s">
        <v>1532</v>
      </c>
    </row>
    <row r="302" spans="1:9">
      <c r="A302" t="s">
        <v>1836</v>
      </c>
      <c r="B302" t="s">
        <v>933</v>
      </c>
      <c r="C302" s="29">
        <v>46169.966966018517</v>
      </c>
      <c r="D302" s="14">
        <v>3</v>
      </c>
      <c r="E302" s="14">
        <v>2</v>
      </c>
      <c r="F302" s="14">
        <v>2</v>
      </c>
      <c r="G302" s="14">
        <v>3</v>
      </c>
      <c r="H302" t="s">
        <v>47</v>
      </c>
      <c r="I302" s="30" t="s">
        <v>1535</v>
      </c>
    </row>
    <row r="303" spans="1:9">
      <c r="A303" t="s">
        <v>1837</v>
      </c>
      <c r="B303" t="s">
        <v>936</v>
      </c>
      <c r="C303" s="29">
        <v>46170.002723194448</v>
      </c>
      <c r="D303" s="14">
        <v>4</v>
      </c>
      <c r="E303" s="14">
        <v>5</v>
      </c>
      <c r="F303" s="14">
        <v>5</v>
      </c>
      <c r="G303" s="14">
        <v>5</v>
      </c>
      <c r="H303" t="s">
        <v>41</v>
      </c>
      <c r="I303" s="30" t="s">
        <v>1532</v>
      </c>
    </row>
    <row r="304" spans="1:9">
      <c r="A304" t="s">
        <v>1838</v>
      </c>
      <c r="B304" t="s">
        <v>938</v>
      </c>
      <c r="C304" s="29">
        <v>46170.583409976854</v>
      </c>
      <c r="D304" s="14">
        <v>5</v>
      </c>
      <c r="E304" s="14">
        <v>4</v>
      </c>
      <c r="F304" s="14">
        <v>5</v>
      </c>
      <c r="G304" s="14">
        <v>5</v>
      </c>
      <c r="H304" t="s">
        <v>41</v>
      </c>
      <c r="I304" s="30" t="s">
        <v>1532</v>
      </c>
    </row>
    <row r="305" spans="1:9">
      <c r="A305" t="s">
        <v>1839</v>
      </c>
      <c r="B305" t="s">
        <v>939</v>
      </c>
      <c r="C305" s="29">
        <v>46171.773167881947</v>
      </c>
      <c r="D305" s="14">
        <v>5</v>
      </c>
      <c r="E305" s="14">
        <v>5</v>
      </c>
      <c r="F305" s="14">
        <v>5</v>
      </c>
      <c r="G305" s="14">
        <v>5</v>
      </c>
      <c r="H305" t="s">
        <v>41</v>
      </c>
      <c r="I305" s="30" t="s">
        <v>1539</v>
      </c>
    </row>
    <row r="306" spans="1:9">
      <c r="A306" t="s">
        <v>1840</v>
      </c>
      <c r="B306" t="s">
        <v>943</v>
      </c>
      <c r="C306" s="29">
        <v>46172.011881238424</v>
      </c>
      <c r="D306" s="14">
        <v>3</v>
      </c>
      <c r="E306" s="14">
        <v>3</v>
      </c>
      <c r="F306" s="14">
        <v>2</v>
      </c>
      <c r="G306" s="14">
        <v>3</v>
      </c>
      <c r="H306" t="s">
        <v>47</v>
      </c>
      <c r="I306" s="30" t="s">
        <v>1541</v>
      </c>
    </row>
    <row r="307" spans="1:9">
      <c r="A307" t="s">
        <v>1841</v>
      </c>
      <c r="B307" t="s">
        <v>948</v>
      </c>
      <c r="C307" s="29">
        <v>46173.267126087965</v>
      </c>
      <c r="D307" s="14">
        <v>5</v>
      </c>
      <c r="E307" s="14">
        <v>4</v>
      </c>
      <c r="F307" s="14">
        <v>5</v>
      </c>
      <c r="G307" s="14">
        <v>5</v>
      </c>
      <c r="H307" t="s">
        <v>41</v>
      </c>
      <c r="I307" s="30" t="s">
        <v>1539</v>
      </c>
    </row>
    <row r="308" spans="1:9">
      <c r="A308" t="s">
        <v>1842</v>
      </c>
      <c r="B308" t="s">
        <v>949</v>
      </c>
      <c r="C308" s="29">
        <v>46171.520628530096</v>
      </c>
      <c r="D308" s="14">
        <v>3</v>
      </c>
      <c r="E308" s="14">
        <v>2</v>
      </c>
      <c r="F308" s="14">
        <v>2</v>
      </c>
      <c r="G308" s="14">
        <v>3</v>
      </c>
      <c r="H308" t="s">
        <v>47</v>
      </c>
      <c r="I308" s="30" t="s">
        <v>1541</v>
      </c>
    </row>
    <row r="309" spans="1:9">
      <c r="A309" t="s">
        <v>1843</v>
      </c>
      <c r="B309" t="s">
        <v>954</v>
      </c>
      <c r="C309" s="29">
        <v>46173.3074543287</v>
      </c>
      <c r="D309" s="14">
        <v>5</v>
      </c>
      <c r="E309" s="14">
        <v>4</v>
      </c>
      <c r="F309" s="14">
        <v>5</v>
      </c>
      <c r="G309" s="14">
        <v>5</v>
      </c>
      <c r="H309" t="s">
        <v>41</v>
      </c>
      <c r="I309" s="30" t="s">
        <v>1532</v>
      </c>
    </row>
    <row r="310" spans="1:9">
      <c r="A310" t="s">
        <v>1844</v>
      </c>
      <c r="B310" t="s">
        <v>955</v>
      </c>
      <c r="C310" s="29">
        <v>46172.202034317132</v>
      </c>
      <c r="D310" s="14">
        <v>4</v>
      </c>
      <c r="E310" s="14">
        <v>3</v>
      </c>
      <c r="F310" s="14">
        <v>3</v>
      </c>
      <c r="G310" s="14">
        <v>5</v>
      </c>
      <c r="H310" t="s">
        <v>41</v>
      </c>
      <c r="I310" s="30" t="s">
        <v>1532</v>
      </c>
    </row>
    <row r="311" spans="1:9">
      <c r="A311" t="s">
        <v>1845</v>
      </c>
      <c r="B311" t="s">
        <v>956</v>
      </c>
      <c r="C311" s="29">
        <v>46172.853700624997</v>
      </c>
      <c r="D311" s="14">
        <v>4</v>
      </c>
      <c r="E311" s="14">
        <v>4</v>
      </c>
      <c r="F311" s="14">
        <v>3</v>
      </c>
      <c r="G311" s="14">
        <v>5</v>
      </c>
      <c r="H311" t="s">
        <v>41</v>
      </c>
      <c r="I311" s="30" t="s">
        <v>1530</v>
      </c>
    </row>
    <row r="312" spans="1:9">
      <c r="A312" t="s">
        <v>1846</v>
      </c>
      <c r="B312" t="s">
        <v>957</v>
      </c>
      <c r="C312" s="29">
        <v>46173.462644826388</v>
      </c>
      <c r="D312" s="14">
        <v>4</v>
      </c>
      <c r="E312" s="14">
        <v>3</v>
      </c>
      <c r="F312" s="14">
        <v>4</v>
      </c>
      <c r="G312" s="14">
        <v>4</v>
      </c>
      <c r="H312" t="s">
        <v>41</v>
      </c>
      <c r="I312" s="30" t="s">
        <v>1532</v>
      </c>
    </row>
    <row r="313" spans="1:9">
      <c r="A313" t="s">
        <v>1847</v>
      </c>
      <c r="B313" t="s">
        <v>958</v>
      </c>
      <c r="C313" s="29">
        <v>46174.412505636574</v>
      </c>
      <c r="D313" s="14">
        <v>4</v>
      </c>
      <c r="E313" s="14">
        <v>3</v>
      </c>
      <c r="F313" s="14">
        <v>3</v>
      </c>
      <c r="G313" s="14">
        <v>4</v>
      </c>
      <c r="H313" t="s">
        <v>41</v>
      </c>
      <c r="I313" s="30" t="s">
        <v>1530</v>
      </c>
    </row>
    <row r="314" spans="1:9">
      <c r="A314" t="s">
        <v>1848</v>
      </c>
      <c r="B314" t="s">
        <v>959</v>
      </c>
      <c r="C314" s="29">
        <v>46172.980900335649</v>
      </c>
      <c r="D314" s="14">
        <v>4</v>
      </c>
      <c r="E314" s="14">
        <v>5</v>
      </c>
      <c r="F314" s="14">
        <v>3</v>
      </c>
      <c r="G314" s="14">
        <v>4</v>
      </c>
      <c r="H314" t="s">
        <v>41</v>
      </c>
      <c r="I314" s="30" t="s">
        <v>1530</v>
      </c>
    </row>
    <row r="315" spans="1:9">
      <c r="A315" t="s">
        <v>1849</v>
      </c>
      <c r="B315" t="s">
        <v>960</v>
      </c>
      <c r="C315" s="29">
        <v>46173.005868518521</v>
      </c>
      <c r="D315" s="14">
        <v>5</v>
      </c>
      <c r="E315" s="14">
        <v>5</v>
      </c>
      <c r="F315" s="14">
        <v>4</v>
      </c>
      <c r="G315" s="14">
        <v>5</v>
      </c>
      <c r="H315" t="s">
        <v>41</v>
      </c>
      <c r="I315" s="30" t="s">
        <v>1530</v>
      </c>
    </row>
    <row r="316" spans="1:9">
      <c r="A316" t="s">
        <v>1850</v>
      </c>
      <c r="B316" t="s">
        <v>963</v>
      </c>
      <c r="C316" s="29">
        <v>46174.463819907411</v>
      </c>
      <c r="D316" s="14">
        <v>5</v>
      </c>
      <c r="E316" s="14">
        <v>4</v>
      </c>
      <c r="F316" s="14">
        <v>5</v>
      </c>
      <c r="G316" s="14">
        <v>5</v>
      </c>
      <c r="H316" t="s">
        <v>41</v>
      </c>
      <c r="I316" s="30" t="s">
        <v>1530</v>
      </c>
    </row>
    <row r="317" spans="1:9">
      <c r="A317" t="s">
        <v>1851</v>
      </c>
      <c r="B317" t="s">
        <v>965</v>
      </c>
      <c r="C317" s="29">
        <v>46173.748537511572</v>
      </c>
      <c r="D317" s="14">
        <v>4</v>
      </c>
      <c r="E317" s="14">
        <v>4</v>
      </c>
      <c r="F317" s="14">
        <v>3</v>
      </c>
      <c r="G317" s="14">
        <v>5</v>
      </c>
      <c r="H317" t="s">
        <v>41</v>
      </c>
      <c r="I317" s="30" t="s">
        <v>1530</v>
      </c>
    </row>
    <row r="318" spans="1:9">
      <c r="A318" t="s">
        <v>1852</v>
      </c>
      <c r="B318" t="s">
        <v>967</v>
      </c>
      <c r="C318" s="29">
        <v>46174.436287013887</v>
      </c>
      <c r="D318" s="14">
        <v>3</v>
      </c>
      <c r="E318" s="14">
        <v>2</v>
      </c>
      <c r="F318" s="14">
        <v>3</v>
      </c>
      <c r="G318" s="14">
        <v>4</v>
      </c>
      <c r="H318" t="s">
        <v>47</v>
      </c>
      <c r="I318" s="30" t="s">
        <v>1541</v>
      </c>
    </row>
    <row r="319" spans="1:9">
      <c r="A319" t="s">
        <v>1853</v>
      </c>
      <c r="B319" t="s">
        <v>969</v>
      </c>
      <c r="C319" s="29">
        <v>46174.913110578702</v>
      </c>
      <c r="D319" s="14">
        <v>5</v>
      </c>
      <c r="E319" s="14">
        <v>4</v>
      </c>
      <c r="F319" s="14">
        <v>5</v>
      </c>
      <c r="G319" s="14">
        <v>5</v>
      </c>
      <c r="H319" t="s">
        <v>41</v>
      </c>
      <c r="I319" s="30" t="s">
        <v>1532</v>
      </c>
    </row>
    <row r="320" spans="1:9">
      <c r="A320" t="s">
        <v>1854</v>
      </c>
      <c r="B320" t="s">
        <v>970</v>
      </c>
      <c r="C320" s="29">
        <v>46172.936104490742</v>
      </c>
      <c r="D320" s="14">
        <v>4</v>
      </c>
      <c r="E320" s="14">
        <v>5</v>
      </c>
      <c r="F320" s="14">
        <v>5</v>
      </c>
      <c r="G320" s="14">
        <v>4</v>
      </c>
      <c r="H320" t="s">
        <v>41</v>
      </c>
      <c r="I320" s="30" t="s">
        <v>1530</v>
      </c>
    </row>
    <row r="321" spans="1:9">
      <c r="A321" t="s">
        <v>1855</v>
      </c>
      <c r="B321" t="s">
        <v>971</v>
      </c>
      <c r="C321" s="29">
        <v>46175.639745219909</v>
      </c>
      <c r="D321" s="14">
        <v>4</v>
      </c>
      <c r="E321" s="14">
        <v>4</v>
      </c>
      <c r="F321" s="14">
        <v>3</v>
      </c>
      <c r="G321" s="14">
        <v>4</v>
      </c>
      <c r="H321" t="s">
        <v>41</v>
      </c>
      <c r="I321" s="30" t="s">
        <v>1539</v>
      </c>
    </row>
    <row r="322" spans="1:9">
      <c r="A322" t="s">
        <v>1856</v>
      </c>
      <c r="B322" t="s">
        <v>972</v>
      </c>
      <c r="C322" s="29">
        <v>46174.849156782409</v>
      </c>
      <c r="D322" s="14">
        <v>5</v>
      </c>
      <c r="E322" s="14">
        <v>4</v>
      </c>
      <c r="F322" s="14">
        <v>5</v>
      </c>
      <c r="G322" s="14">
        <v>5</v>
      </c>
      <c r="H322" t="s">
        <v>41</v>
      </c>
      <c r="I322" s="30" t="s">
        <v>1539</v>
      </c>
    </row>
    <row r="323" spans="1:9">
      <c r="A323" t="s">
        <v>1857</v>
      </c>
      <c r="B323" t="s">
        <v>973</v>
      </c>
      <c r="C323" s="29">
        <v>46174.653076504626</v>
      </c>
      <c r="D323" s="14">
        <v>3</v>
      </c>
      <c r="E323" s="14">
        <v>4</v>
      </c>
      <c r="F323" s="14">
        <v>2</v>
      </c>
      <c r="G323" s="14">
        <v>3</v>
      </c>
      <c r="H323" t="s">
        <v>47</v>
      </c>
      <c r="I323" s="30" t="s">
        <v>1535</v>
      </c>
    </row>
    <row r="324" spans="1:9">
      <c r="A324" t="s">
        <v>1858</v>
      </c>
      <c r="B324" t="s">
        <v>974</v>
      </c>
      <c r="C324" s="29">
        <v>46174.696290717591</v>
      </c>
      <c r="D324" s="14">
        <v>4</v>
      </c>
      <c r="E324" s="14">
        <v>4</v>
      </c>
      <c r="F324" s="14">
        <v>3</v>
      </c>
      <c r="G324" s="14">
        <v>4</v>
      </c>
      <c r="H324" t="s">
        <v>41</v>
      </c>
      <c r="I324" s="30" t="s">
        <v>1539</v>
      </c>
    </row>
    <row r="325" spans="1:9">
      <c r="A325" t="s">
        <v>1859</v>
      </c>
      <c r="B325" t="s">
        <v>975</v>
      </c>
      <c r="C325" s="29">
        <v>46174.677718634259</v>
      </c>
      <c r="D325" s="14">
        <v>5</v>
      </c>
      <c r="E325" s="14">
        <v>5</v>
      </c>
      <c r="F325" s="14">
        <v>4</v>
      </c>
      <c r="G325" s="14">
        <v>5</v>
      </c>
      <c r="H325" t="s">
        <v>41</v>
      </c>
      <c r="I325" s="30" t="s">
        <v>1539</v>
      </c>
    </row>
    <row r="326" spans="1:9">
      <c r="A326" t="s">
        <v>1860</v>
      </c>
      <c r="B326" t="s">
        <v>977</v>
      </c>
      <c r="C326" s="29">
        <v>46173.891805023151</v>
      </c>
      <c r="D326" s="14">
        <v>3</v>
      </c>
      <c r="E326" s="14">
        <v>2</v>
      </c>
      <c r="F326" s="14">
        <v>2</v>
      </c>
      <c r="G326" s="14">
        <v>3</v>
      </c>
      <c r="H326" t="s">
        <v>47</v>
      </c>
      <c r="I326" s="30" t="s">
        <v>1537</v>
      </c>
    </row>
    <row r="327" spans="1:9">
      <c r="A327" t="s">
        <v>1861</v>
      </c>
      <c r="B327" t="s">
        <v>978</v>
      </c>
      <c r="C327" s="29">
        <v>46174.904213969909</v>
      </c>
      <c r="D327" s="14">
        <v>3</v>
      </c>
      <c r="E327" s="14">
        <v>2</v>
      </c>
      <c r="F327" s="14">
        <v>2</v>
      </c>
      <c r="G327" s="14">
        <v>3</v>
      </c>
      <c r="H327" t="s">
        <v>47</v>
      </c>
      <c r="I327" s="30" t="s">
        <v>1537</v>
      </c>
    </row>
    <row r="328" spans="1:9">
      <c r="A328" t="s">
        <v>1862</v>
      </c>
      <c r="B328" t="s">
        <v>980</v>
      </c>
      <c r="C328" s="29">
        <v>46174.297058703705</v>
      </c>
      <c r="D328" s="14">
        <v>3</v>
      </c>
      <c r="E328" s="14">
        <v>2</v>
      </c>
      <c r="F328" s="14">
        <v>2</v>
      </c>
      <c r="G328" s="14">
        <v>4</v>
      </c>
      <c r="H328" t="s">
        <v>47</v>
      </c>
      <c r="I328" s="30" t="s">
        <v>1535</v>
      </c>
    </row>
    <row r="329" spans="1:9">
      <c r="A329" t="s">
        <v>1863</v>
      </c>
      <c r="B329" t="s">
        <v>981</v>
      </c>
      <c r="C329" s="29">
        <v>46174.97894533565</v>
      </c>
      <c r="D329" s="14">
        <v>4</v>
      </c>
      <c r="E329" s="14">
        <v>3</v>
      </c>
      <c r="F329" s="14">
        <v>5</v>
      </c>
      <c r="G329" s="14">
        <v>4</v>
      </c>
      <c r="H329" t="s">
        <v>41</v>
      </c>
      <c r="I329" s="30" t="s">
        <v>1539</v>
      </c>
    </row>
    <row r="330" spans="1:9">
      <c r="A330" t="s">
        <v>1864</v>
      </c>
      <c r="B330" t="s">
        <v>984</v>
      </c>
      <c r="C330" s="29">
        <v>46175.101633923608</v>
      </c>
      <c r="D330" s="14">
        <v>3</v>
      </c>
      <c r="E330" s="14">
        <v>2</v>
      </c>
      <c r="F330" s="14">
        <v>3</v>
      </c>
      <c r="G330" s="14">
        <v>3</v>
      </c>
      <c r="H330" t="s">
        <v>47</v>
      </c>
      <c r="I330" s="30" t="s">
        <v>1535</v>
      </c>
    </row>
    <row r="331" spans="1:9">
      <c r="A331" t="s">
        <v>1865</v>
      </c>
      <c r="B331" t="s">
        <v>985</v>
      </c>
      <c r="C331" s="29">
        <v>46175.692296886577</v>
      </c>
      <c r="D331" s="14">
        <v>5</v>
      </c>
      <c r="E331" s="14">
        <v>5</v>
      </c>
      <c r="F331" s="14">
        <v>5</v>
      </c>
      <c r="G331" s="14">
        <v>5</v>
      </c>
      <c r="H331" t="s">
        <v>41</v>
      </c>
      <c r="I331" s="30" t="s">
        <v>1539</v>
      </c>
    </row>
    <row r="332" spans="1:9">
      <c r="A332" t="s">
        <v>1866</v>
      </c>
      <c r="B332" t="s">
        <v>986</v>
      </c>
      <c r="C332" s="29">
        <v>46176.383437523145</v>
      </c>
      <c r="D332" s="14">
        <v>4</v>
      </c>
      <c r="E332" s="14">
        <v>3</v>
      </c>
      <c r="F332" s="14">
        <v>4</v>
      </c>
      <c r="G332" s="14">
        <v>5</v>
      </c>
      <c r="H332" t="s">
        <v>41</v>
      </c>
      <c r="I332" s="30" t="s">
        <v>1539</v>
      </c>
    </row>
    <row r="333" spans="1:9">
      <c r="A333" t="s">
        <v>1867</v>
      </c>
      <c r="B333" t="s">
        <v>987</v>
      </c>
      <c r="C333" s="29">
        <v>46176.340861319448</v>
      </c>
      <c r="D333" s="14">
        <v>3</v>
      </c>
      <c r="E333" s="14">
        <v>2</v>
      </c>
      <c r="F333" s="14">
        <v>4</v>
      </c>
      <c r="G333" s="14">
        <v>4</v>
      </c>
      <c r="H333" t="s">
        <v>47</v>
      </c>
      <c r="I333" s="30" t="s">
        <v>1541</v>
      </c>
    </row>
    <row r="334" spans="1:9">
      <c r="A334" t="s">
        <v>1868</v>
      </c>
      <c r="B334" t="s">
        <v>988</v>
      </c>
      <c r="C334" s="29">
        <v>46176.021675625001</v>
      </c>
      <c r="D334" s="14">
        <v>3</v>
      </c>
      <c r="E334" s="14">
        <v>2</v>
      </c>
      <c r="F334" s="14">
        <v>2</v>
      </c>
      <c r="G334" s="14">
        <v>4</v>
      </c>
      <c r="H334" t="s">
        <v>47</v>
      </c>
      <c r="I334" s="30" t="s">
        <v>1535</v>
      </c>
    </row>
    <row r="335" spans="1:9">
      <c r="A335" t="s">
        <v>1869</v>
      </c>
      <c r="B335" t="s">
        <v>991</v>
      </c>
      <c r="C335" s="29">
        <v>46177.156033807871</v>
      </c>
      <c r="D335" s="14">
        <v>5</v>
      </c>
      <c r="E335" s="14">
        <v>5</v>
      </c>
      <c r="F335" s="14">
        <v>5</v>
      </c>
      <c r="G335" s="14">
        <v>5</v>
      </c>
      <c r="H335" t="s">
        <v>41</v>
      </c>
      <c r="I335" s="30" t="s">
        <v>1539</v>
      </c>
    </row>
    <row r="336" spans="1:9">
      <c r="A336" t="s">
        <v>1870</v>
      </c>
      <c r="B336" t="s">
        <v>992</v>
      </c>
      <c r="C336" s="29">
        <v>46176.42339221065</v>
      </c>
      <c r="D336" s="14">
        <v>5</v>
      </c>
      <c r="E336" s="14">
        <v>5</v>
      </c>
      <c r="F336" s="14">
        <v>5</v>
      </c>
      <c r="G336" s="14">
        <v>5</v>
      </c>
      <c r="H336" t="s">
        <v>41</v>
      </c>
      <c r="I336" s="30" t="s">
        <v>1539</v>
      </c>
    </row>
    <row r="337" spans="1:9">
      <c r="A337" t="s">
        <v>1871</v>
      </c>
      <c r="B337" t="s">
        <v>996</v>
      </c>
      <c r="C337" s="29">
        <v>46176.895927349535</v>
      </c>
      <c r="D337" s="14">
        <v>5</v>
      </c>
      <c r="E337" s="14">
        <v>5</v>
      </c>
      <c r="F337" s="14">
        <v>5</v>
      </c>
      <c r="G337" s="14">
        <v>5</v>
      </c>
      <c r="H337" t="s">
        <v>41</v>
      </c>
      <c r="I337" s="30" t="s">
        <v>1530</v>
      </c>
    </row>
    <row r="338" spans="1:9">
      <c r="A338" t="s">
        <v>1872</v>
      </c>
      <c r="B338" t="s">
        <v>997</v>
      </c>
      <c r="C338" s="29">
        <v>46175.836645115742</v>
      </c>
      <c r="D338" s="14">
        <v>5</v>
      </c>
      <c r="E338" s="14">
        <v>4</v>
      </c>
      <c r="F338" s="14">
        <v>5</v>
      </c>
      <c r="G338" s="14">
        <v>5</v>
      </c>
      <c r="H338" t="s">
        <v>41</v>
      </c>
      <c r="I338" s="30" t="s">
        <v>1539</v>
      </c>
    </row>
    <row r="339" spans="1:9">
      <c r="A339" t="s">
        <v>1873</v>
      </c>
      <c r="B339" t="s">
        <v>999</v>
      </c>
      <c r="C339" s="29">
        <v>46177.594670104168</v>
      </c>
      <c r="D339" s="14">
        <v>3</v>
      </c>
      <c r="E339" s="14">
        <v>3</v>
      </c>
      <c r="F339" s="14">
        <v>2</v>
      </c>
      <c r="G339" s="14">
        <v>4</v>
      </c>
      <c r="H339" t="s">
        <v>47</v>
      </c>
      <c r="I339" s="30" t="s">
        <v>1537</v>
      </c>
    </row>
    <row r="340" spans="1:9">
      <c r="A340" t="s">
        <v>1874</v>
      </c>
      <c r="B340" t="s">
        <v>1000</v>
      </c>
      <c r="C340" s="29">
        <v>46176.175834942129</v>
      </c>
      <c r="D340" s="14">
        <v>3</v>
      </c>
      <c r="E340" s="14">
        <v>3</v>
      </c>
      <c r="F340" s="14">
        <v>2</v>
      </c>
      <c r="G340" s="14">
        <v>3</v>
      </c>
      <c r="H340" t="s">
        <v>47</v>
      </c>
      <c r="I340" s="30" t="s">
        <v>1535</v>
      </c>
    </row>
    <row r="341" spans="1:9">
      <c r="A341" t="s">
        <v>1875</v>
      </c>
      <c r="B341" t="s">
        <v>1001</v>
      </c>
      <c r="C341" s="29">
        <v>46176.973516284721</v>
      </c>
      <c r="D341" s="14">
        <v>5</v>
      </c>
      <c r="E341" s="14">
        <v>5</v>
      </c>
      <c r="F341" s="14">
        <v>5</v>
      </c>
      <c r="G341" s="14">
        <v>5</v>
      </c>
      <c r="H341" t="s">
        <v>41</v>
      </c>
      <c r="I341" s="30" t="s">
        <v>1539</v>
      </c>
    </row>
    <row r="342" spans="1:9">
      <c r="A342" t="s">
        <v>1876</v>
      </c>
      <c r="B342" t="s">
        <v>1004</v>
      </c>
      <c r="C342" s="29">
        <v>46177.202203946763</v>
      </c>
      <c r="D342" s="14">
        <v>3</v>
      </c>
      <c r="E342" s="14">
        <v>3</v>
      </c>
      <c r="F342" s="14">
        <v>2</v>
      </c>
      <c r="G342" s="14">
        <v>4</v>
      </c>
      <c r="H342" t="s">
        <v>47</v>
      </c>
      <c r="I342" s="30" t="s">
        <v>1541</v>
      </c>
    </row>
    <row r="343" spans="1:9">
      <c r="A343" t="s">
        <v>1877</v>
      </c>
      <c r="B343" t="s">
        <v>1005</v>
      </c>
      <c r="C343" s="29">
        <v>46178.065710590279</v>
      </c>
      <c r="D343" s="14">
        <v>3</v>
      </c>
      <c r="E343" s="14">
        <v>4</v>
      </c>
      <c r="F343" s="14">
        <v>2</v>
      </c>
      <c r="G343" s="14">
        <v>4</v>
      </c>
      <c r="H343" t="s">
        <v>47</v>
      </c>
      <c r="I343" s="30" t="s">
        <v>1535</v>
      </c>
    </row>
    <row r="344" spans="1:9">
      <c r="A344" t="s">
        <v>1878</v>
      </c>
      <c r="B344" t="s">
        <v>1006</v>
      </c>
      <c r="C344" s="29">
        <v>46177.746640092591</v>
      </c>
      <c r="D344" s="14">
        <v>4</v>
      </c>
      <c r="E344" s="14">
        <v>5</v>
      </c>
      <c r="F344" s="14">
        <v>5</v>
      </c>
      <c r="G344" s="14">
        <v>4</v>
      </c>
      <c r="H344" t="s">
        <v>41</v>
      </c>
      <c r="I344" s="30" t="s">
        <v>1539</v>
      </c>
    </row>
    <row r="345" spans="1:9">
      <c r="A345" t="s">
        <v>1879</v>
      </c>
      <c r="B345" t="s">
        <v>1008</v>
      </c>
      <c r="C345" s="29">
        <v>46177.973731412036</v>
      </c>
      <c r="D345" s="14">
        <v>2</v>
      </c>
      <c r="E345" s="14">
        <v>1</v>
      </c>
      <c r="F345" s="14">
        <v>1</v>
      </c>
      <c r="G345" s="14">
        <v>2</v>
      </c>
      <c r="H345" t="s">
        <v>47</v>
      </c>
      <c r="I345" s="30" t="s">
        <v>1570</v>
      </c>
    </row>
    <row r="346" spans="1:9">
      <c r="A346" t="s">
        <v>1880</v>
      </c>
      <c r="B346" t="s">
        <v>1010</v>
      </c>
      <c r="C346" s="29">
        <v>46177.864128530091</v>
      </c>
      <c r="D346" s="14">
        <v>3</v>
      </c>
      <c r="E346" s="14">
        <v>4</v>
      </c>
      <c r="F346" s="14">
        <v>2</v>
      </c>
      <c r="G346" s="14">
        <v>4</v>
      </c>
      <c r="H346" t="s">
        <v>47</v>
      </c>
      <c r="I346" s="30" t="s">
        <v>1535</v>
      </c>
    </row>
    <row r="347" spans="1:9">
      <c r="A347" t="s">
        <v>1881</v>
      </c>
      <c r="B347" t="s">
        <v>1011</v>
      </c>
      <c r="C347" s="29">
        <v>46177.472636226848</v>
      </c>
      <c r="D347" s="14">
        <v>3</v>
      </c>
      <c r="E347" s="14">
        <v>3</v>
      </c>
      <c r="F347" s="14">
        <v>2</v>
      </c>
      <c r="G347" s="14">
        <v>4</v>
      </c>
      <c r="H347" t="s">
        <v>47</v>
      </c>
      <c r="I347" s="30" t="s">
        <v>1541</v>
      </c>
    </row>
    <row r="348" spans="1:9">
      <c r="A348" t="s">
        <v>1882</v>
      </c>
      <c r="B348" t="s">
        <v>1012</v>
      </c>
      <c r="C348" s="29">
        <v>46175.938148576388</v>
      </c>
      <c r="D348" s="14">
        <v>3</v>
      </c>
      <c r="E348" s="14">
        <v>2</v>
      </c>
      <c r="F348" s="14">
        <v>4</v>
      </c>
      <c r="G348" s="14">
        <v>3</v>
      </c>
      <c r="H348" t="s">
        <v>47</v>
      </c>
      <c r="I348" s="30" t="s">
        <v>1535</v>
      </c>
    </row>
    <row r="349" spans="1:9">
      <c r="A349" t="s">
        <v>1883</v>
      </c>
      <c r="B349" t="s">
        <v>1013</v>
      </c>
      <c r="C349" s="29">
        <v>46177.933591944442</v>
      </c>
      <c r="D349" s="14">
        <v>3</v>
      </c>
      <c r="E349" s="14">
        <v>4</v>
      </c>
      <c r="F349" s="14">
        <v>2</v>
      </c>
      <c r="G349" s="14">
        <v>4</v>
      </c>
      <c r="H349" t="s">
        <v>47</v>
      </c>
      <c r="I349" s="30" t="s">
        <v>1537</v>
      </c>
    </row>
    <row r="350" spans="1:9">
      <c r="A350" t="s">
        <v>1884</v>
      </c>
      <c r="B350" t="s">
        <v>1014</v>
      </c>
      <c r="C350" s="29">
        <v>46177.625483865741</v>
      </c>
      <c r="D350" s="14">
        <v>4</v>
      </c>
      <c r="E350" s="14">
        <v>3</v>
      </c>
      <c r="F350" s="14">
        <v>4</v>
      </c>
      <c r="G350" s="14">
        <v>4</v>
      </c>
      <c r="H350" t="s">
        <v>41</v>
      </c>
      <c r="I350" s="30" t="s">
        <v>1532</v>
      </c>
    </row>
    <row r="351" spans="1:9">
      <c r="A351" t="s">
        <v>1885</v>
      </c>
      <c r="B351" t="s">
        <v>1016</v>
      </c>
      <c r="C351" s="29">
        <v>46177.305056701392</v>
      </c>
      <c r="D351" s="14">
        <v>3</v>
      </c>
      <c r="E351" s="14">
        <v>2</v>
      </c>
      <c r="F351" s="14">
        <v>2</v>
      </c>
      <c r="G351" s="14">
        <v>4</v>
      </c>
      <c r="H351" t="s">
        <v>47</v>
      </c>
      <c r="I351" s="30" t="s">
        <v>1541</v>
      </c>
    </row>
    <row r="352" spans="1:9">
      <c r="A352" t="s">
        <v>1886</v>
      </c>
      <c r="B352" t="s">
        <v>1019</v>
      </c>
      <c r="C352" s="29">
        <v>46177.401894085648</v>
      </c>
      <c r="D352" s="14">
        <v>3</v>
      </c>
      <c r="E352" s="14">
        <v>3</v>
      </c>
      <c r="F352" s="14">
        <v>2</v>
      </c>
      <c r="G352" s="14">
        <v>4</v>
      </c>
      <c r="H352" t="s">
        <v>47</v>
      </c>
      <c r="I352" s="30" t="s">
        <v>1535</v>
      </c>
    </row>
    <row r="353" spans="1:9">
      <c r="A353" t="s">
        <v>1887</v>
      </c>
      <c r="B353" t="s">
        <v>1020</v>
      </c>
      <c r="C353" s="29">
        <v>46179.150942465276</v>
      </c>
      <c r="D353" s="14">
        <v>5</v>
      </c>
      <c r="E353" s="14">
        <v>5</v>
      </c>
      <c r="F353" s="14">
        <v>4</v>
      </c>
      <c r="G353" s="14">
        <v>5</v>
      </c>
      <c r="H353" t="s">
        <v>41</v>
      </c>
      <c r="I353" s="30" t="s">
        <v>1530</v>
      </c>
    </row>
    <row r="354" spans="1:9">
      <c r="A354" t="s">
        <v>1888</v>
      </c>
      <c r="B354" t="s">
        <v>1021</v>
      </c>
      <c r="C354" s="29">
        <v>46177.642596712962</v>
      </c>
      <c r="D354" s="14">
        <v>2</v>
      </c>
      <c r="E354" s="14">
        <v>1</v>
      </c>
      <c r="F354" s="14">
        <v>1</v>
      </c>
      <c r="G354" s="14">
        <v>3</v>
      </c>
      <c r="H354" t="s">
        <v>47</v>
      </c>
      <c r="I354" s="30" t="s">
        <v>1626</v>
      </c>
    </row>
    <row r="355" spans="1:9">
      <c r="A355" t="s">
        <v>1889</v>
      </c>
      <c r="B355" t="s">
        <v>1022</v>
      </c>
      <c r="C355" s="29">
        <v>46178.72461438657</v>
      </c>
      <c r="D355" s="14">
        <v>4</v>
      </c>
      <c r="E355" s="14">
        <v>3</v>
      </c>
      <c r="F355" s="14">
        <v>5</v>
      </c>
      <c r="G355" s="14">
        <v>5</v>
      </c>
      <c r="H355" t="s">
        <v>41</v>
      </c>
      <c r="I355" s="30" t="s">
        <v>1532</v>
      </c>
    </row>
    <row r="356" spans="1:9">
      <c r="A356" t="s">
        <v>1890</v>
      </c>
      <c r="B356" t="s">
        <v>1024</v>
      </c>
      <c r="C356" s="29">
        <v>46178.304299432872</v>
      </c>
      <c r="D356" s="14">
        <v>4</v>
      </c>
      <c r="E356" s="14">
        <v>3</v>
      </c>
      <c r="F356" s="14">
        <v>5</v>
      </c>
      <c r="G356" s="14">
        <v>4</v>
      </c>
      <c r="H356" t="s">
        <v>41</v>
      </c>
      <c r="I356" s="30" t="s">
        <v>1532</v>
      </c>
    </row>
    <row r="357" spans="1:9">
      <c r="A357" t="s">
        <v>1891</v>
      </c>
      <c r="B357" t="s">
        <v>1025</v>
      </c>
      <c r="C357" s="29">
        <v>46177.957703043983</v>
      </c>
      <c r="D357" s="14">
        <v>4</v>
      </c>
      <c r="E357" s="14">
        <v>3</v>
      </c>
      <c r="F357" s="14">
        <v>4</v>
      </c>
      <c r="G357" s="14">
        <v>5</v>
      </c>
      <c r="H357" t="s">
        <v>41</v>
      </c>
      <c r="I357" s="30" t="s">
        <v>1530</v>
      </c>
    </row>
    <row r="358" spans="1:9">
      <c r="A358" t="s">
        <v>1892</v>
      </c>
      <c r="B358" t="s">
        <v>1027</v>
      </c>
      <c r="C358" s="29">
        <v>46178.347675798614</v>
      </c>
      <c r="D358" s="14">
        <v>4</v>
      </c>
      <c r="E358" s="14">
        <v>5</v>
      </c>
      <c r="F358" s="14">
        <v>4</v>
      </c>
      <c r="G358" s="14">
        <v>5</v>
      </c>
      <c r="H358" t="s">
        <v>41</v>
      </c>
      <c r="I358" s="30" t="s">
        <v>1530</v>
      </c>
    </row>
    <row r="359" spans="1:9">
      <c r="A359" t="s">
        <v>1893</v>
      </c>
      <c r="B359" t="s">
        <v>1028</v>
      </c>
      <c r="C359" s="29">
        <v>46177.42792440972</v>
      </c>
      <c r="D359" s="14">
        <v>4</v>
      </c>
      <c r="E359" s="14">
        <v>4</v>
      </c>
      <c r="F359" s="14">
        <v>4</v>
      </c>
      <c r="G359" s="14">
        <v>5</v>
      </c>
      <c r="H359" t="s">
        <v>41</v>
      </c>
      <c r="I359" s="30" t="s">
        <v>1532</v>
      </c>
    </row>
    <row r="360" spans="1:9">
      <c r="A360" t="s">
        <v>1894</v>
      </c>
      <c r="B360" t="s">
        <v>1030</v>
      </c>
      <c r="C360" s="29">
        <v>46178.064677210648</v>
      </c>
      <c r="D360" s="14">
        <v>3</v>
      </c>
      <c r="E360" s="14">
        <v>2</v>
      </c>
      <c r="F360" s="14">
        <v>4</v>
      </c>
      <c r="G360" s="14">
        <v>4</v>
      </c>
      <c r="H360" t="s">
        <v>47</v>
      </c>
      <c r="I360" s="30" t="s">
        <v>1541</v>
      </c>
    </row>
    <row r="361" spans="1:9">
      <c r="A361" t="s">
        <v>1895</v>
      </c>
      <c r="B361" t="s">
        <v>1033</v>
      </c>
      <c r="C361" s="29">
        <v>46179.907888009257</v>
      </c>
      <c r="D361" s="14">
        <v>4</v>
      </c>
      <c r="E361" s="14">
        <v>4</v>
      </c>
      <c r="F361" s="14">
        <v>3</v>
      </c>
      <c r="G361" s="14">
        <v>4</v>
      </c>
      <c r="H361" t="s">
        <v>41</v>
      </c>
      <c r="I361" s="30" t="s">
        <v>1539</v>
      </c>
    </row>
    <row r="362" spans="1:9">
      <c r="A362" t="s">
        <v>1896</v>
      </c>
      <c r="B362" t="s">
        <v>1034</v>
      </c>
      <c r="C362" s="29">
        <v>46177.32139892361</v>
      </c>
      <c r="D362" s="14">
        <v>2</v>
      </c>
      <c r="E362" s="14">
        <v>2</v>
      </c>
      <c r="F362" s="14">
        <v>1</v>
      </c>
      <c r="G362" s="14">
        <v>3</v>
      </c>
      <c r="H362" t="s">
        <v>47</v>
      </c>
      <c r="I362" s="30" t="s">
        <v>1548</v>
      </c>
    </row>
    <row r="363" spans="1:9">
      <c r="A363" t="s">
        <v>1897</v>
      </c>
      <c r="B363" t="s">
        <v>1035</v>
      </c>
      <c r="C363" s="29">
        <v>46178.47978509259</v>
      </c>
      <c r="D363" s="14">
        <v>4</v>
      </c>
      <c r="E363" s="14">
        <v>5</v>
      </c>
      <c r="F363" s="14">
        <v>3</v>
      </c>
      <c r="G363" s="14">
        <v>5</v>
      </c>
      <c r="H363" t="s">
        <v>41</v>
      </c>
      <c r="I363" s="30" t="s">
        <v>1539</v>
      </c>
    </row>
    <row r="364" spans="1:9">
      <c r="A364" t="s">
        <v>1898</v>
      </c>
      <c r="B364" t="s">
        <v>1037</v>
      </c>
      <c r="C364" s="29">
        <v>46180.941095844908</v>
      </c>
      <c r="D364" s="14">
        <v>3</v>
      </c>
      <c r="E364" s="14">
        <v>2</v>
      </c>
      <c r="F364" s="14">
        <v>3</v>
      </c>
      <c r="G364" s="14">
        <v>4</v>
      </c>
      <c r="H364" t="s">
        <v>47</v>
      </c>
      <c r="I364" s="30" t="s">
        <v>1535</v>
      </c>
    </row>
    <row r="365" spans="1:9">
      <c r="A365" t="s">
        <v>1899</v>
      </c>
      <c r="B365" t="s">
        <v>1038</v>
      </c>
      <c r="C365" s="29">
        <v>46179.08269275463</v>
      </c>
      <c r="D365" s="14">
        <v>3</v>
      </c>
      <c r="E365" s="14">
        <v>4</v>
      </c>
      <c r="F365" s="14">
        <v>2</v>
      </c>
      <c r="G365" s="14">
        <v>4</v>
      </c>
      <c r="H365" t="s">
        <v>47</v>
      </c>
      <c r="I365" s="30" t="s">
        <v>1541</v>
      </c>
    </row>
    <row r="366" spans="1:9">
      <c r="A366" t="s">
        <v>1900</v>
      </c>
      <c r="B366" t="s">
        <v>1039</v>
      </c>
      <c r="C366" s="29">
        <v>46178.633084560184</v>
      </c>
      <c r="D366" s="14">
        <v>5</v>
      </c>
      <c r="E366" s="14">
        <v>4</v>
      </c>
      <c r="F366" s="14">
        <v>5</v>
      </c>
      <c r="G366" s="14">
        <v>5</v>
      </c>
      <c r="H366" t="s">
        <v>41</v>
      </c>
      <c r="I366" s="30" t="s">
        <v>1539</v>
      </c>
    </row>
    <row r="367" spans="1:9">
      <c r="A367" t="s">
        <v>1901</v>
      </c>
      <c r="B367" t="s">
        <v>1041</v>
      </c>
      <c r="C367" s="29">
        <v>46179.474635636572</v>
      </c>
      <c r="D367" s="14">
        <v>5</v>
      </c>
      <c r="E367" s="14">
        <v>5</v>
      </c>
      <c r="F367" s="14">
        <v>5</v>
      </c>
      <c r="G367" s="14">
        <v>5</v>
      </c>
      <c r="H367" t="s">
        <v>41</v>
      </c>
      <c r="I367" s="30" t="s">
        <v>1530</v>
      </c>
    </row>
    <row r="368" spans="1:9">
      <c r="A368" t="s">
        <v>1902</v>
      </c>
      <c r="B368" t="s">
        <v>1046</v>
      </c>
      <c r="C368" s="29">
        <v>46179.460135150461</v>
      </c>
      <c r="D368" s="14">
        <v>4</v>
      </c>
      <c r="E368" s="14">
        <v>5</v>
      </c>
      <c r="F368" s="14">
        <v>3</v>
      </c>
      <c r="G368" s="14">
        <v>5</v>
      </c>
      <c r="H368" t="s">
        <v>41</v>
      </c>
      <c r="I368" s="30" t="s">
        <v>1539</v>
      </c>
    </row>
    <row r="369" spans="1:9">
      <c r="A369" t="s">
        <v>1903</v>
      </c>
      <c r="B369" t="s">
        <v>1047</v>
      </c>
      <c r="C369" s="29">
        <v>46178.00725696759</v>
      </c>
      <c r="D369" s="14">
        <v>4</v>
      </c>
      <c r="E369" s="14">
        <v>5</v>
      </c>
      <c r="F369" s="14">
        <v>5</v>
      </c>
      <c r="G369" s="14">
        <v>5</v>
      </c>
      <c r="H369" t="s">
        <v>41</v>
      </c>
      <c r="I369" s="30" t="s">
        <v>1539</v>
      </c>
    </row>
    <row r="370" spans="1:9">
      <c r="A370" t="s">
        <v>1904</v>
      </c>
      <c r="B370" t="s">
        <v>1048</v>
      </c>
      <c r="C370" s="29">
        <v>46180.171784722224</v>
      </c>
      <c r="D370" s="14">
        <v>5</v>
      </c>
      <c r="E370" s="14">
        <v>5</v>
      </c>
      <c r="F370" s="14">
        <v>5</v>
      </c>
      <c r="G370" s="14">
        <v>5</v>
      </c>
      <c r="H370" t="s">
        <v>41</v>
      </c>
      <c r="I370" s="30" t="s">
        <v>1530</v>
      </c>
    </row>
    <row r="371" spans="1:9">
      <c r="A371" t="s">
        <v>1905</v>
      </c>
      <c r="B371" t="s">
        <v>1050</v>
      </c>
      <c r="C371" s="29">
        <v>46178.556106921293</v>
      </c>
      <c r="D371" s="14">
        <v>4</v>
      </c>
      <c r="E371" s="14">
        <v>3</v>
      </c>
      <c r="F371" s="14">
        <v>5</v>
      </c>
      <c r="G371" s="14">
        <v>5</v>
      </c>
      <c r="H371" t="s">
        <v>41</v>
      </c>
      <c r="I371" s="30" t="s">
        <v>1530</v>
      </c>
    </row>
    <row r="372" spans="1:9">
      <c r="A372" t="s">
        <v>1906</v>
      </c>
      <c r="B372" t="s">
        <v>1052</v>
      </c>
      <c r="C372" s="29">
        <v>46179.330919571759</v>
      </c>
      <c r="D372" s="14">
        <v>5</v>
      </c>
      <c r="E372" s="14">
        <v>5</v>
      </c>
      <c r="F372" s="14">
        <v>4</v>
      </c>
      <c r="G372" s="14">
        <v>5</v>
      </c>
      <c r="H372" t="s">
        <v>41</v>
      </c>
      <c r="I372" s="30" t="s">
        <v>1532</v>
      </c>
    </row>
    <row r="373" spans="1:9">
      <c r="A373" t="s">
        <v>1907</v>
      </c>
      <c r="B373" t="s">
        <v>1053</v>
      </c>
      <c r="C373" s="29">
        <v>46181.306472592594</v>
      </c>
      <c r="D373" s="14">
        <v>3</v>
      </c>
      <c r="E373" s="14">
        <v>3</v>
      </c>
      <c r="F373" s="14">
        <v>2</v>
      </c>
      <c r="G373" s="14">
        <v>4</v>
      </c>
      <c r="H373" t="s">
        <v>47</v>
      </c>
      <c r="I373" s="30" t="s">
        <v>1541</v>
      </c>
    </row>
    <row r="374" spans="1:9">
      <c r="A374" t="s">
        <v>1908</v>
      </c>
      <c r="B374" t="s">
        <v>1055</v>
      </c>
      <c r="C374" s="29">
        <v>46179.784477152774</v>
      </c>
      <c r="D374" s="14">
        <v>4</v>
      </c>
      <c r="E374" s="14">
        <v>5</v>
      </c>
      <c r="F374" s="14">
        <v>3</v>
      </c>
      <c r="G374" s="14">
        <v>5</v>
      </c>
      <c r="H374" t="s">
        <v>41</v>
      </c>
      <c r="I374" s="30" t="s">
        <v>1539</v>
      </c>
    </row>
    <row r="375" spans="1:9">
      <c r="A375" t="s">
        <v>1909</v>
      </c>
      <c r="B375" t="s">
        <v>1057</v>
      </c>
      <c r="C375" s="29">
        <v>46180.726840081021</v>
      </c>
      <c r="D375" s="14">
        <v>5</v>
      </c>
      <c r="E375" s="14">
        <v>5</v>
      </c>
      <c r="F375" s="14">
        <v>5</v>
      </c>
      <c r="G375" s="14">
        <v>5</v>
      </c>
      <c r="H375" t="s">
        <v>41</v>
      </c>
      <c r="I375" s="30" t="s">
        <v>1539</v>
      </c>
    </row>
    <row r="376" spans="1:9">
      <c r="A376" t="s">
        <v>1910</v>
      </c>
      <c r="B376" t="s">
        <v>1058</v>
      </c>
      <c r="C376" s="29">
        <v>46179.960872534721</v>
      </c>
      <c r="D376" s="14">
        <v>3</v>
      </c>
      <c r="E376" s="14">
        <v>2</v>
      </c>
      <c r="F376" s="14">
        <v>2</v>
      </c>
      <c r="G376" s="14">
        <v>3</v>
      </c>
      <c r="H376" t="s">
        <v>47</v>
      </c>
      <c r="I376" s="30" t="s">
        <v>1535</v>
      </c>
    </row>
    <row r="377" spans="1:9">
      <c r="A377" t="s">
        <v>1911</v>
      </c>
      <c r="B377" t="s">
        <v>1059</v>
      </c>
      <c r="C377" s="29">
        <v>46179.094665972225</v>
      </c>
      <c r="D377" s="14">
        <v>5</v>
      </c>
      <c r="E377" s="14">
        <v>4</v>
      </c>
      <c r="F377" s="14">
        <v>4</v>
      </c>
      <c r="G377" s="14">
        <v>5</v>
      </c>
      <c r="H377" t="s">
        <v>41</v>
      </c>
      <c r="I377" s="30" t="s">
        <v>1539</v>
      </c>
    </row>
    <row r="378" spans="1:9">
      <c r="A378" t="s">
        <v>1912</v>
      </c>
      <c r="B378" t="s">
        <v>1061</v>
      </c>
      <c r="C378" s="29">
        <v>46178.965249155095</v>
      </c>
      <c r="D378" s="14">
        <v>4</v>
      </c>
      <c r="E378" s="14">
        <v>3</v>
      </c>
      <c r="F378" s="14">
        <v>3</v>
      </c>
      <c r="G378" s="14">
        <v>5</v>
      </c>
      <c r="H378" t="s">
        <v>41</v>
      </c>
      <c r="I378" s="30" t="s">
        <v>1539</v>
      </c>
    </row>
    <row r="379" spans="1:9">
      <c r="A379" t="s">
        <v>1913</v>
      </c>
      <c r="B379" t="s">
        <v>1064</v>
      </c>
      <c r="C379" s="29">
        <v>46180.624339363429</v>
      </c>
      <c r="D379" s="14">
        <v>4</v>
      </c>
      <c r="E379" s="14">
        <v>3</v>
      </c>
      <c r="F379" s="14">
        <v>4</v>
      </c>
      <c r="G379" s="14">
        <v>5</v>
      </c>
      <c r="H379" t="s">
        <v>41</v>
      </c>
      <c r="I379" s="30" t="s">
        <v>1532</v>
      </c>
    </row>
    <row r="380" spans="1:9">
      <c r="A380" t="s">
        <v>1914</v>
      </c>
      <c r="B380" t="s">
        <v>1066</v>
      </c>
      <c r="C380" s="29">
        <v>46180.914287870371</v>
      </c>
      <c r="D380" s="14">
        <v>5</v>
      </c>
      <c r="E380" s="14">
        <v>4</v>
      </c>
      <c r="F380" s="14">
        <v>5</v>
      </c>
      <c r="G380" s="14">
        <v>5</v>
      </c>
      <c r="H380" t="s">
        <v>41</v>
      </c>
      <c r="I380" s="30" t="s">
        <v>1532</v>
      </c>
    </row>
    <row r="381" spans="1:9">
      <c r="A381" t="s">
        <v>1915</v>
      </c>
      <c r="B381" t="s">
        <v>1067</v>
      </c>
      <c r="C381" s="29">
        <v>46180.851127916663</v>
      </c>
      <c r="D381" s="14">
        <v>3</v>
      </c>
      <c r="E381" s="14">
        <v>2</v>
      </c>
      <c r="F381" s="14">
        <v>3</v>
      </c>
      <c r="G381" s="14">
        <v>4</v>
      </c>
      <c r="H381" t="s">
        <v>47</v>
      </c>
      <c r="I381" s="30" t="s">
        <v>1537</v>
      </c>
    </row>
    <row r="382" spans="1:9">
      <c r="A382" t="s">
        <v>1916</v>
      </c>
      <c r="B382" t="s">
        <v>1068</v>
      </c>
      <c r="C382" s="29">
        <v>46179.398886516203</v>
      </c>
      <c r="D382" s="14">
        <v>3</v>
      </c>
      <c r="E382" s="14">
        <v>2</v>
      </c>
      <c r="F382" s="14">
        <v>2</v>
      </c>
      <c r="G382" s="14">
        <v>4</v>
      </c>
      <c r="H382" t="s">
        <v>47</v>
      </c>
      <c r="I382" s="30" t="s">
        <v>1541</v>
      </c>
    </row>
    <row r="383" spans="1:9">
      <c r="A383" t="s">
        <v>1917</v>
      </c>
      <c r="B383" t="s">
        <v>1069</v>
      </c>
      <c r="C383" s="29">
        <v>46181.282738368056</v>
      </c>
      <c r="D383" s="14">
        <v>5</v>
      </c>
      <c r="E383" s="14">
        <v>5</v>
      </c>
      <c r="F383" s="14">
        <v>4</v>
      </c>
      <c r="G383" s="14">
        <v>5</v>
      </c>
      <c r="H383" t="s">
        <v>41</v>
      </c>
      <c r="I383" s="30" t="s">
        <v>1539</v>
      </c>
    </row>
    <row r="384" spans="1:9">
      <c r="A384" t="s">
        <v>1918</v>
      </c>
      <c r="B384" t="s">
        <v>1070</v>
      </c>
      <c r="C384" s="29">
        <v>46180.358122928243</v>
      </c>
      <c r="D384" s="14">
        <v>4</v>
      </c>
      <c r="E384" s="14">
        <v>4</v>
      </c>
      <c r="F384" s="14">
        <v>4</v>
      </c>
      <c r="G384" s="14">
        <v>4</v>
      </c>
      <c r="H384" t="s">
        <v>41</v>
      </c>
      <c r="I384" s="30" t="s">
        <v>1532</v>
      </c>
    </row>
    <row r="385" spans="1:9">
      <c r="A385" t="s">
        <v>1919</v>
      </c>
      <c r="B385" t="s">
        <v>1071</v>
      </c>
      <c r="C385" s="29">
        <v>46181.679056168985</v>
      </c>
      <c r="D385" s="14">
        <v>4</v>
      </c>
      <c r="E385" s="14">
        <v>4</v>
      </c>
      <c r="F385" s="14">
        <v>3</v>
      </c>
      <c r="G385" s="14">
        <v>4</v>
      </c>
      <c r="H385" t="s">
        <v>41</v>
      </c>
      <c r="I385" s="30" t="s">
        <v>1532</v>
      </c>
    </row>
    <row r="386" spans="1:9">
      <c r="A386" t="s">
        <v>1920</v>
      </c>
      <c r="B386" t="s">
        <v>1072</v>
      </c>
      <c r="C386" s="29">
        <v>46182.806698981483</v>
      </c>
      <c r="D386" s="14">
        <v>3</v>
      </c>
      <c r="E386" s="14">
        <v>2</v>
      </c>
      <c r="F386" s="14">
        <v>2</v>
      </c>
      <c r="G386" s="14">
        <v>3</v>
      </c>
      <c r="H386" t="s">
        <v>47</v>
      </c>
      <c r="I386" s="30" t="s">
        <v>1537</v>
      </c>
    </row>
    <row r="387" spans="1:9">
      <c r="A387" t="s">
        <v>1921</v>
      </c>
      <c r="B387" t="s">
        <v>1075</v>
      </c>
      <c r="C387" s="29">
        <v>46181.101982418979</v>
      </c>
      <c r="D387" s="14">
        <v>4</v>
      </c>
      <c r="E387" s="14">
        <v>5</v>
      </c>
      <c r="F387" s="14">
        <v>4</v>
      </c>
      <c r="G387" s="14">
        <v>4</v>
      </c>
      <c r="H387" t="s">
        <v>41</v>
      </c>
      <c r="I387" s="30" t="s">
        <v>1539</v>
      </c>
    </row>
    <row r="388" spans="1:9">
      <c r="A388" t="s">
        <v>1922</v>
      </c>
      <c r="B388" t="s">
        <v>1079</v>
      </c>
      <c r="C388" s="29">
        <v>46182.064915289353</v>
      </c>
      <c r="D388" s="14">
        <v>4</v>
      </c>
      <c r="E388" s="14">
        <v>3</v>
      </c>
      <c r="F388" s="14">
        <v>3</v>
      </c>
      <c r="G388" s="14">
        <v>4</v>
      </c>
      <c r="H388" t="s">
        <v>41</v>
      </c>
      <c r="I388" s="30" t="s">
        <v>1532</v>
      </c>
    </row>
    <row r="389" spans="1:9">
      <c r="A389" t="s">
        <v>1923</v>
      </c>
      <c r="B389" t="s">
        <v>1080</v>
      </c>
      <c r="C389" s="29">
        <v>46181.620964374997</v>
      </c>
      <c r="D389" s="14">
        <v>3</v>
      </c>
      <c r="E389" s="14">
        <v>4</v>
      </c>
      <c r="F389" s="14">
        <v>2</v>
      </c>
      <c r="G389" s="14">
        <v>3</v>
      </c>
      <c r="H389" t="s">
        <v>47</v>
      </c>
      <c r="I389" s="30" t="s">
        <v>1537</v>
      </c>
    </row>
    <row r="390" spans="1:9">
      <c r="A390" t="s">
        <v>1924</v>
      </c>
      <c r="B390" t="s">
        <v>1081</v>
      </c>
      <c r="C390" s="29">
        <v>46181.215668344907</v>
      </c>
      <c r="D390" s="14">
        <v>4</v>
      </c>
      <c r="E390" s="14">
        <v>4</v>
      </c>
      <c r="F390" s="14">
        <v>4</v>
      </c>
      <c r="G390" s="14">
        <v>5</v>
      </c>
      <c r="H390" t="s">
        <v>41</v>
      </c>
      <c r="I390" s="30" t="s">
        <v>1532</v>
      </c>
    </row>
    <row r="391" spans="1:9">
      <c r="A391" t="s">
        <v>1925</v>
      </c>
      <c r="B391" t="s">
        <v>1087</v>
      </c>
      <c r="C391" s="29">
        <v>46183.882488449075</v>
      </c>
      <c r="D391" s="14">
        <v>3</v>
      </c>
      <c r="E391" s="14">
        <v>2</v>
      </c>
      <c r="F391" s="14">
        <v>4</v>
      </c>
      <c r="G391" s="14">
        <v>3</v>
      </c>
      <c r="H391" t="s">
        <v>47</v>
      </c>
      <c r="I391" s="30" t="s">
        <v>1537</v>
      </c>
    </row>
    <row r="392" spans="1:9">
      <c r="A392" t="s">
        <v>1926</v>
      </c>
      <c r="B392" t="s">
        <v>1088</v>
      </c>
      <c r="C392" s="29">
        <v>46182.739848645833</v>
      </c>
      <c r="D392" s="14">
        <v>5</v>
      </c>
      <c r="E392" s="14">
        <v>5</v>
      </c>
      <c r="F392" s="14">
        <v>4</v>
      </c>
      <c r="G392" s="14">
        <v>5</v>
      </c>
      <c r="H392" t="s">
        <v>41</v>
      </c>
      <c r="I392" s="30" t="s">
        <v>1532</v>
      </c>
    </row>
    <row r="393" spans="1:9">
      <c r="A393" t="s">
        <v>1927</v>
      </c>
      <c r="B393" t="s">
        <v>1089</v>
      </c>
      <c r="C393" s="29">
        <v>46182.238529513888</v>
      </c>
      <c r="D393" s="14">
        <v>3</v>
      </c>
      <c r="E393" s="14">
        <v>2</v>
      </c>
      <c r="F393" s="14">
        <v>2</v>
      </c>
      <c r="G393" s="14">
        <v>3</v>
      </c>
      <c r="H393" t="s">
        <v>47</v>
      </c>
      <c r="I393" s="30" t="s">
        <v>1537</v>
      </c>
    </row>
    <row r="394" spans="1:9">
      <c r="A394" t="s">
        <v>1928</v>
      </c>
      <c r="B394" t="s">
        <v>1090</v>
      </c>
      <c r="C394" s="29">
        <v>46182.792607013886</v>
      </c>
      <c r="D394" s="14">
        <v>3</v>
      </c>
      <c r="E394" s="14">
        <v>2</v>
      </c>
      <c r="F394" s="14">
        <v>2</v>
      </c>
      <c r="G394" s="14">
        <v>4</v>
      </c>
      <c r="H394" t="s">
        <v>47</v>
      </c>
      <c r="I394" s="30" t="s">
        <v>1541</v>
      </c>
    </row>
    <row r="395" spans="1:9">
      <c r="A395" t="s">
        <v>1929</v>
      </c>
      <c r="B395" t="s">
        <v>1092</v>
      </c>
      <c r="C395" s="29">
        <v>46182.176646516207</v>
      </c>
      <c r="D395" s="14">
        <v>2</v>
      </c>
      <c r="E395" s="14">
        <v>2</v>
      </c>
      <c r="F395" s="14">
        <v>1</v>
      </c>
      <c r="G395" s="14">
        <v>3</v>
      </c>
      <c r="H395" t="s">
        <v>47</v>
      </c>
      <c r="I395" s="30" t="s">
        <v>1570</v>
      </c>
    </row>
    <row r="396" spans="1:9">
      <c r="A396" t="s">
        <v>1930</v>
      </c>
      <c r="B396" t="s">
        <v>1093</v>
      </c>
      <c r="C396" s="29">
        <v>46181.535435694444</v>
      </c>
      <c r="D396" s="14">
        <v>4</v>
      </c>
      <c r="E396" s="14">
        <v>4</v>
      </c>
      <c r="F396" s="14">
        <v>4</v>
      </c>
      <c r="G396" s="14">
        <v>4</v>
      </c>
      <c r="H396" t="s">
        <v>41</v>
      </c>
      <c r="I396" s="30" t="s">
        <v>1539</v>
      </c>
    </row>
    <row r="397" spans="1:9">
      <c r="A397" t="s">
        <v>1931</v>
      </c>
      <c r="B397" t="s">
        <v>1095</v>
      </c>
      <c r="C397" s="29">
        <v>46181.041723622686</v>
      </c>
      <c r="D397" s="14">
        <v>5</v>
      </c>
      <c r="E397" s="14">
        <v>4</v>
      </c>
      <c r="F397" s="14">
        <v>4</v>
      </c>
      <c r="G397" s="14">
        <v>5</v>
      </c>
      <c r="H397" t="s">
        <v>41</v>
      </c>
      <c r="I397" s="30" t="s">
        <v>1539</v>
      </c>
    </row>
    <row r="398" spans="1:9">
      <c r="A398" t="s">
        <v>1932</v>
      </c>
      <c r="B398" t="s">
        <v>1096</v>
      </c>
      <c r="C398" s="29">
        <v>46182.340269814813</v>
      </c>
      <c r="D398" s="14">
        <v>4</v>
      </c>
      <c r="E398" s="14">
        <v>3</v>
      </c>
      <c r="F398" s="14">
        <v>3</v>
      </c>
      <c r="G398" s="14">
        <v>5</v>
      </c>
      <c r="H398" t="s">
        <v>41</v>
      </c>
      <c r="I398" s="30" t="s">
        <v>1539</v>
      </c>
    </row>
    <row r="399" spans="1:9">
      <c r="A399" t="s">
        <v>1933</v>
      </c>
      <c r="B399" t="s">
        <v>1097</v>
      </c>
      <c r="C399" s="29">
        <v>46183.65377261574</v>
      </c>
      <c r="D399" s="14">
        <v>3</v>
      </c>
      <c r="E399" s="14">
        <v>2</v>
      </c>
      <c r="F399" s="14">
        <v>2</v>
      </c>
      <c r="G399" s="14">
        <v>3</v>
      </c>
      <c r="H399" t="s">
        <v>47</v>
      </c>
      <c r="I399" s="30" t="s">
        <v>1537</v>
      </c>
    </row>
    <row r="400" spans="1:9">
      <c r="A400" t="s">
        <v>1934</v>
      </c>
      <c r="B400" t="s">
        <v>1099</v>
      </c>
      <c r="C400" s="29">
        <v>46182.824829826386</v>
      </c>
      <c r="D400" s="14">
        <v>3</v>
      </c>
      <c r="E400" s="14">
        <v>2</v>
      </c>
      <c r="F400" s="14">
        <v>2</v>
      </c>
      <c r="G400" s="14">
        <v>4</v>
      </c>
      <c r="H400" t="s">
        <v>47</v>
      </c>
      <c r="I400" s="30" t="s">
        <v>1537</v>
      </c>
    </row>
    <row r="401" spans="1:9">
      <c r="A401" t="s">
        <v>1935</v>
      </c>
      <c r="B401" t="s">
        <v>1100</v>
      </c>
      <c r="C401" s="29">
        <v>46182.405153807871</v>
      </c>
      <c r="D401" s="14">
        <v>4</v>
      </c>
      <c r="E401" s="14">
        <v>3</v>
      </c>
      <c r="F401" s="14">
        <v>4</v>
      </c>
      <c r="G401" s="14">
        <v>5</v>
      </c>
      <c r="H401" t="s">
        <v>41</v>
      </c>
      <c r="I401" s="30" t="s">
        <v>1532</v>
      </c>
    </row>
    <row r="402" spans="1:9">
      <c r="A402" t="s">
        <v>1936</v>
      </c>
      <c r="B402" t="s">
        <v>1101</v>
      </c>
      <c r="C402" s="29">
        <v>46181.911950636575</v>
      </c>
      <c r="D402" s="14">
        <v>4</v>
      </c>
      <c r="E402" s="14">
        <v>3</v>
      </c>
      <c r="F402" s="14">
        <v>5</v>
      </c>
      <c r="G402" s="14">
        <v>5</v>
      </c>
      <c r="H402" t="s">
        <v>41</v>
      </c>
      <c r="I402" s="30" t="s">
        <v>1532</v>
      </c>
    </row>
    <row r="403" spans="1:9">
      <c r="A403" t="s">
        <v>1937</v>
      </c>
      <c r="B403" t="s">
        <v>1104</v>
      </c>
      <c r="C403" s="29">
        <v>46183.297581041668</v>
      </c>
      <c r="D403" s="14">
        <v>3</v>
      </c>
      <c r="E403" s="14">
        <v>2</v>
      </c>
      <c r="F403" s="14">
        <v>2</v>
      </c>
      <c r="G403" s="14">
        <v>4</v>
      </c>
      <c r="H403" t="s">
        <v>47</v>
      </c>
      <c r="I403" s="30" t="s">
        <v>1537</v>
      </c>
    </row>
    <row r="404" spans="1:9">
      <c r="A404" t="s">
        <v>1938</v>
      </c>
      <c r="B404" t="s">
        <v>1106</v>
      </c>
      <c r="C404" s="29">
        <v>46182.224258831018</v>
      </c>
      <c r="D404" s="14">
        <v>5</v>
      </c>
      <c r="E404" s="14">
        <v>5</v>
      </c>
      <c r="F404" s="14">
        <v>5</v>
      </c>
      <c r="G404" s="14">
        <v>5</v>
      </c>
      <c r="H404" t="s">
        <v>41</v>
      </c>
      <c r="I404" s="30" t="s">
        <v>1532</v>
      </c>
    </row>
    <row r="405" spans="1:9">
      <c r="A405" t="s">
        <v>1939</v>
      </c>
      <c r="B405" t="s">
        <v>1107</v>
      </c>
      <c r="C405" s="29">
        <v>46182.197256006948</v>
      </c>
      <c r="D405" s="14">
        <v>4</v>
      </c>
      <c r="E405" s="14">
        <v>3</v>
      </c>
      <c r="F405" s="14">
        <v>3</v>
      </c>
      <c r="G405" s="14">
        <v>5</v>
      </c>
      <c r="H405" t="s">
        <v>41</v>
      </c>
      <c r="I405" s="30" t="s">
        <v>1539</v>
      </c>
    </row>
    <row r="406" spans="1:9">
      <c r="A406" t="s">
        <v>1940</v>
      </c>
      <c r="B406" t="s">
        <v>1108</v>
      </c>
      <c r="C406" s="29">
        <v>46183.046868067133</v>
      </c>
      <c r="D406" s="14">
        <v>4</v>
      </c>
      <c r="E406" s="14">
        <v>3</v>
      </c>
      <c r="F406" s="14">
        <v>3</v>
      </c>
      <c r="G406" s="14">
        <v>5</v>
      </c>
      <c r="H406" t="s">
        <v>41</v>
      </c>
      <c r="I406" s="30" t="s">
        <v>1539</v>
      </c>
    </row>
    <row r="407" spans="1:9">
      <c r="A407" t="s">
        <v>1941</v>
      </c>
      <c r="B407" t="s">
        <v>1111</v>
      </c>
      <c r="C407" s="29">
        <v>46183.963294317131</v>
      </c>
      <c r="D407" s="14">
        <v>4</v>
      </c>
      <c r="E407" s="14">
        <v>4</v>
      </c>
      <c r="F407" s="14">
        <v>3</v>
      </c>
      <c r="G407" s="14">
        <v>5</v>
      </c>
      <c r="H407" t="s">
        <v>41</v>
      </c>
      <c r="I407" s="30" t="s">
        <v>1532</v>
      </c>
    </row>
    <row r="408" spans="1:9">
      <c r="A408" t="s">
        <v>1942</v>
      </c>
      <c r="B408" t="s">
        <v>1112</v>
      </c>
      <c r="C408" s="29">
        <v>46183.498665196763</v>
      </c>
      <c r="D408" s="14">
        <v>3</v>
      </c>
      <c r="E408" s="14">
        <v>2</v>
      </c>
      <c r="F408" s="14">
        <v>2</v>
      </c>
      <c r="G408" s="14">
        <v>3</v>
      </c>
      <c r="H408" t="s">
        <v>47</v>
      </c>
      <c r="I408" s="30" t="s">
        <v>1541</v>
      </c>
    </row>
    <row r="409" spans="1:9">
      <c r="A409" t="s">
        <v>1943</v>
      </c>
      <c r="B409" t="s">
        <v>1115</v>
      </c>
      <c r="C409" s="29">
        <v>46184.516687847223</v>
      </c>
      <c r="D409" s="14">
        <v>3</v>
      </c>
      <c r="E409" s="14">
        <v>3</v>
      </c>
      <c r="F409" s="14">
        <v>2</v>
      </c>
      <c r="G409" s="14">
        <v>3</v>
      </c>
      <c r="H409" t="s">
        <v>47</v>
      </c>
      <c r="I409" s="30" t="s">
        <v>1535</v>
      </c>
    </row>
    <row r="410" spans="1:9">
      <c r="A410" t="s">
        <v>1944</v>
      </c>
      <c r="B410" t="s">
        <v>1117</v>
      </c>
      <c r="C410" s="29">
        <v>46183.636197604166</v>
      </c>
      <c r="D410" s="14">
        <v>3</v>
      </c>
      <c r="E410" s="14">
        <v>3</v>
      </c>
      <c r="F410" s="14">
        <v>2</v>
      </c>
      <c r="G410" s="14">
        <v>4</v>
      </c>
      <c r="H410" t="s">
        <v>47</v>
      </c>
      <c r="I410" s="30" t="s">
        <v>1537</v>
      </c>
    </row>
    <row r="411" spans="1:9">
      <c r="A411" t="s">
        <v>1945</v>
      </c>
      <c r="B411" t="s">
        <v>1118</v>
      </c>
      <c r="C411" s="29">
        <v>46184.896558113425</v>
      </c>
      <c r="D411" s="14">
        <v>3</v>
      </c>
      <c r="E411" s="14">
        <v>4</v>
      </c>
      <c r="F411" s="14">
        <v>2</v>
      </c>
      <c r="G411" s="14">
        <v>4</v>
      </c>
      <c r="H411" t="s">
        <v>47</v>
      </c>
      <c r="I411" s="30" t="s">
        <v>1537</v>
      </c>
    </row>
    <row r="412" spans="1:9">
      <c r="A412" t="s">
        <v>1946</v>
      </c>
      <c r="B412" t="s">
        <v>1119</v>
      </c>
      <c r="C412" s="29">
        <v>46183.72498309028</v>
      </c>
      <c r="D412" s="14">
        <v>5</v>
      </c>
      <c r="E412" s="14">
        <v>5</v>
      </c>
      <c r="F412" s="14">
        <v>5</v>
      </c>
      <c r="G412" s="14">
        <v>5</v>
      </c>
      <c r="H412" t="s">
        <v>41</v>
      </c>
      <c r="I412" s="30" t="s">
        <v>1539</v>
      </c>
    </row>
    <row r="413" spans="1:9">
      <c r="A413" t="s">
        <v>1947</v>
      </c>
      <c r="B413" t="s">
        <v>1121</v>
      </c>
      <c r="C413" s="29">
        <v>46185.529936516206</v>
      </c>
      <c r="D413" s="14">
        <v>2</v>
      </c>
      <c r="E413" s="14">
        <v>1</v>
      </c>
      <c r="F413" s="14">
        <v>1</v>
      </c>
      <c r="G413" s="14">
        <v>2</v>
      </c>
      <c r="H413" t="s">
        <v>47</v>
      </c>
      <c r="I413" s="30" t="s">
        <v>1570</v>
      </c>
    </row>
    <row r="414" spans="1:9">
      <c r="A414" t="s">
        <v>1948</v>
      </c>
      <c r="B414" t="s">
        <v>1124</v>
      </c>
      <c r="C414" s="29">
        <v>46183.421437314813</v>
      </c>
      <c r="D414" s="14">
        <v>4</v>
      </c>
      <c r="E414" s="14">
        <v>3</v>
      </c>
      <c r="F414" s="14">
        <v>3</v>
      </c>
      <c r="G414" s="14">
        <v>4</v>
      </c>
      <c r="H414" t="s">
        <v>41</v>
      </c>
      <c r="I414" s="30" t="s">
        <v>1539</v>
      </c>
    </row>
    <row r="415" spans="1:9">
      <c r="A415" t="s">
        <v>1949</v>
      </c>
      <c r="B415" t="s">
        <v>1125</v>
      </c>
      <c r="C415" s="29">
        <v>46183.037392812497</v>
      </c>
      <c r="D415" s="14">
        <v>4</v>
      </c>
      <c r="E415" s="14">
        <v>4</v>
      </c>
      <c r="F415" s="14">
        <v>5</v>
      </c>
      <c r="G415" s="14">
        <v>4</v>
      </c>
      <c r="H415" t="s">
        <v>41</v>
      </c>
      <c r="I415" s="30" t="s">
        <v>1532</v>
      </c>
    </row>
    <row r="416" spans="1:9">
      <c r="A416" t="s">
        <v>1950</v>
      </c>
      <c r="B416" t="s">
        <v>1132</v>
      </c>
      <c r="C416" s="29">
        <v>46185.324779629627</v>
      </c>
      <c r="D416" s="14">
        <v>2</v>
      </c>
      <c r="E416" s="14">
        <v>1</v>
      </c>
      <c r="F416" s="14">
        <v>1</v>
      </c>
      <c r="G416" s="14">
        <v>3</v>
      </c>
      <c r="H416" t="s">
        <v>47</v>
      </c>
      <c r="I416" s="30" t="s">
        <v>1548</v>
      </c>
    </row>
    <row r="417" spans="1:9">
      <c r="A417" t="s">
        <v>1951</v>
      </c>
      <c r="B417" t="s">
        <v>1133</v>
      </c>
      <c r="C417" s="29">
        <v>46183.538442754631</v>
      </c>
      <c r="D417" s="14">
        <v>3</v>
      </c>
      <c r="E417" s="14">
        <v>3</v>
      </c>
      <c r="F417" s="14">
        <v>2</v>
      </c>
      <c r="G417" s="14">
        <v>4</v>
      </c>
      <c r="H417" t="s">
        <v>47</v>
      </c>
      <c r="I417" s="30" t="s">
        <v>1541</v>
      </c>
    </row>
    <row r="418" spans="1:9">
      <c r="A418" t="s">
        <v>1952</v>
      </c>
      <c r="B418" t="s">
        <v>1134</v>
      </c>
      <c r="C418" s="29">
        <v>46184.813166516207</v>
      </c>
      <c r="D418" s="14">
        <v>3</v>
      </c>
      <c r="E418" s="14">
        <v>2</v>
      </c>
      <c r="F418" s="14">
        <v>2</v>
      </c>
      <c r="G418" s="14">
        <v>3</v>
      </c>
      <c r="H418" t="s">
        <v>47</v>
      </c>
      <c r="I418" s="30" t="s">
        <v>1541</v>
      </c>
    </row>
    <row r="419" spans="1:9">
      <c r="A419" t="s">
        <v>1953</v>
      </c>
      <c r="B419" t="s">
        <v>1135</v>
      </c>
      <c r="C419" s="29">
        <v>46183.56000153935</v>
      </c>
      <c r="D419" s="14">
        <v>4</v>
      </c>
      <c r="E419" s="14">
        <v>3</v>
      </c>
      <c r="F419" s="14">
        <v>5</v>
      </c>
      <c r="G419" s="14">
        <v>4</v>
      </c>
      <c r="H419" t="s">
        <v>41</v>
      </c>
      <c r="I419" s="30" t="s">
        <v>1539</v>
      </c>
    </row>
    <row r="420" spans="1:9">
      <c r="A420" t="s">
        <v>1954</v>
      </c>
      <c r="B420" t="s">
        <v>1136</v>
      </c>
      <c r="C420" s="29">
        <v>46185.184202662036</v>
      </c>
      <c r="D420" s="14">
        <v>3</v>
      </c>
      <c r="E420" s="14">
        <v>2</v>
      </c>
      <c r="F420" s="14">
        <v>3</v>
      </c>
      <c r="G420" s="14">
        <v>3</v>
      </c>
      <c r="H420" t="s">
        <v>47</v>
      </c>
      <c r="I420" s="30" t="s">
        <v>1535</v>
      </c>
    </row>
    <row r="421" spans="1:9">
      <c r="A421" t="s">
        <v>1955</v>
      </c>
      <c r="B421" t="s">
        <v>1137</v>
      </c>
      <c r="C421" s="29">
        <v>46185.871052499999</v>
      </c>
      <c r="D421" s="14">
        <v>3</v>
      </c>
      <c r="E421" s="14">
        <v>2</v>
      </c>
      <c r="F421" s="14">
        <v>2</v>
      </c>
      <c r="G421" s="14">
        <v>4</v>
      </c>
      <c r="H421" t="s">
        <v>47</v>
      </c>
      <c r="I421" s="30" t="s">
        <v>1541</v>
      </c>
    </row>
    <row r="422" spans="1:9">
      <c r="A422" t="s">
        <v>1956</v>
      </c>
      <c r="B422" t="s">
        <v>1138</v>
      </c>
      <c r="C422" s="29">
        <v>46185.16033283565</v>
      </c>
      <c r="D422" s="14">
        <v>3</v>
      </c>
      <c r="E422" s="14">
        <v>2</v>
      </c>
      <c r="F422" s="14">
        <v>2</v>
      </c>
      <c r="G422" s="14">
        <v>4</v>
      </c>
      <c r="H422" t="s">
        <v>47</v>
      </c>
      <c r="I422" s="30" t="s">
        <v>1541</v>
      </c>
    </row>
    <row r="423" spans="1:9">
      <c r="A423" t="s">
        <v>1957</v>
      </c>
      <c r="B423" t="s">
        <v>1139</v>
      </c>
      <c r="C423" s="29">
        <v>46186.860787766207</v>
      </c>
      <c r="D423" s="14">
        <v>2</v>
      </c>
      <c r="E423" s="14">
        <v>1</v>
      </c>
      <c r="F423" s="14">
        <v>1</v>
      </c>
      <c r="G423" s="14">
        <v>2</v>
      </c>
      <c r="H423" t="s">
        <v>47</v>
      </c>
      <c r="I423" s="30" t="s">
        <v>1626</v>
      </c>
    </row>
    <row r="424" spans="1:9">
      <c r="A424" t="s">
        <v>1958</v>
      </c>
      <c r="B424" t="s">
        <v>1141</v>
      </c>
      <c r="C424" s="29">
        <v>46185.508666956019</v>
      </c>
      <c r="D424" s="14">
        <v>5</v>
      </c>
      <c r="E424" s="14">
        <v>5</v>
      </c>
      <c r="F424" s="14">
        <v>5</v>
      </c>
      <c r="G424" s="14">
        <v>5</v>
      </c>
      <c r="H424" t="s">
        <v>41</v>
      </c>
      <c r="I424" s="30" t="s">
        <v>1532</v>
      </c>
    </row>
    <row r="425" spans="1:9">
      <c r="A425" t="s">
        <v>1959</v>
      </c>
      <c r="B425" t="s">
        <v>1142</v>
      </c>
      <c r="C425" s="29">
        <v>46183.932712615744</v>
      </c>
      <c r="D425" s="14">
        <v>3</v>
      </c>
      <c r="E425" s="14">
        <v>3</v>
      </c>
      <c r="F425" s="14">
        <v>2</v>
      </c>
      <c r="G425" s="14">
        <v>3</v>
      </c>
      <c r="H425" t="s">
        <v>47</v>
      </c>
      <c r="I425" s="30" t="s">
        <v>1541</v>
      </c>
    </row>
    <row r="426" spans="1:9">
      <c r="A426" t="s">
        <v>1960</v>
      </c>
      <c r="B426" t="s">
        <v>1143</v>
      </c>
      <c r="C426" s="29">
        <v>46186.566560763888</v>
      </c>
      <c r="D426" s="14">
        <v>2</v>
      </c>
      <c r="E426" s="14">
        <v>1</v>
      </c>
      <c r="F426" s="14">
        <v>1</v>
      </c>
      <c r="G426" s="14">
        <v>2</v>
      </c>
      <c r="H426" t="s">
        <v>47</v>
      </c>
      <c r="I426" s="30" t="s">
        <v>1548</v>
      </c>
    </row>
    <row r="427" spans="1:9">
      <c r="A427" t="s">
        <v>1961</v>
      </c>
      <c r="B427" t="s">
        <v>1144</v>
      </c>
      <c r="C427" s="29">
        <v>46186.583822743058</v>
      </c>
      <c r="D427" s="14">
        <v>3</v>
      </c>
      <c r="E427" s="14">
        <v>4</v>
      </c>
      <c r="F427" s="14">
        <v>2</v>
      </c>
      <c r="G427" s="14">
        <v>4</v>
      </c>
      <c r="H427" t="s">
        <v>47</v>
      </c>
      <c r="I427" s="30" t="s">
        <v>1535</v>
      </c>
    </row>
    <row r="428" spans="1:9">
      <c r="A428" t="s">
        <v>1962</v>
      </c>
      <c r="B428" t="s">
        <v>1146</v>
      </c>
      <c r="C428" s="29">
        <v>46184.532859074076</v>
      </c>
      <c r="D428" s="14">
        <v>3</v>
      </c>
      <c r="E428" s="14">
        <v>2</v>
      </c>
      <c r="F428" s="14">
        <v>3</v>
      </c>
      <c r="G428" s="14">
        <v>4</v>
      </c>
      <c r="H428" t="s">
        <v>47</v>
      </c>
      <c r="I428" s="30" t="s">
        <v>1541</v>
      </c>
    </row>
    <row r="429" spans="1:9">
      <c r="A429" t="s">
        <v>1963</v>
      </c>
      <c r="B429" t="s">
        <v>1151</v>
      </c>
      <c r="C429" s="29">
        <v>46186.273734895833</v>
      </c>
      <c r="D429" s="14">
        <v>4</v>
      </c>
      <c r="E429" s="14">
        <v>4</v>
      </c>
      <c r="F429" s="14">
        <v>3</v>
      </c>
      <c r="G429" s="14">
        <v>4</v>
      </c>
      <c r="H429" t="s">
        <v>41</v>
      </c>
      <c r="I429" s="30" t="s">
        <v>1539</v>
      </c>
    </row>
    <row r="430" spans="1:9">
      <c r="A430" t="s">
        <v>1964</v>
      </c>
      <c r="B430" t="s">
        <v>1152</v>
      </c>
      <c r="C430" s="29">
        <v>46186.081782245368</v>
      </c>
      <c r="D430" s="14">
        <v>5</v>
      </c>
      <c r="E430" s="14">
        <v>5</v>
      </c>
      <c r="F430" s="14">
        <v>4</v>
      </c>
      <c r="G430" s="14">
        <v>5</v>
      </c>
      <c r="H430" t="s">
        <v>41</v>
      </c>
      <c r="I430" s="30" t="s">
        <v>1532</v>
      </c>
    </row>
    <row r="431" spans="1:9">
      <c r="A431" t="s">
        <v>1965</v>
      </c>
      <c r="B431" t="s">
        <v>1153</v>
      </c>
      <c r="C431" s="29">
        <v>46186.701736736111</v>
      </c>
      <c r="D431" s="14">
        <v>3</v>
      </c>
      <c r="E431" s="14">
        <v>2</v>
      </c>
      <c r="F431" s="14">
        <v>2</v>
      </c>
      <c r="G431" s="14">
        <v>3</v>
      </c>
      <c r="H431" t="s">
        <v>47</v>
      </c>
      <c r="I431" s="30" t="s">
        <v>1541</v>
      </c>
    </row>
    <row r="432" spans="1:9">
      <c r="A432" t="s">
        <v>1966</v>
      </c>
      <c r="B432" t="s">
        <v>1155</v>
      </c>
      <c r="C432" s="29">
        <v>46185.538689224537</v>
      </c>
      <c r="D432" s="14">
        <v>5</v>
      </c>
      <c r="E432" s="14">
        <v>5</v>
      </c>
      <c r="F432" s="14">
        <v>5</v>
      </c>
      <c r="G432" s="14">
        <v>5</v>
      </c>
      <c r="H432" t="s">
        <v>41</v>
      </c>
      <c r="I432" s="30" t="s">
        <v>1539</v>
      </c>
    </row>
    <row r="433" spans="1:9">
      <c r="A433" t="s">
        <v>1967</v>
      </c>
      <c r="B433" t="s">
        <v>1157</v>
      </c>
      <c r="C433" s="29">
        <v>46188.326991574075</v>
      </c>
      <c r="D433" s="14">
        <v>3</v>
      </c>
      <c r="E433" s="14">
        <v>2</v>
      </c>
      <c r="F433" s="14">
        <v>2</v>
      </c>
      <c r="G433" s="14">
        <v>4</v>
      </c>
      <c r="H433" t="s">
        <v>47</v>
      </c>
      <c r="I433" s="30" t="s">
        <v>1537</v>
      </c>
    </row>
    <row r="434" spans="1:9">
      <c r="A434" t="s">
        <v>1968</v>
      </c>
      <c r="B434" t="s">
        <v>1159</v>
      </c>
      <c r="C434" s="29">
        <v>46186.968817789355</v>
      </c>
      <c r="D434" s="14">
        <v>4</v>
      </c>
      <c r="E434" s="14">
        <v>3</v>
      </c>
      <c r="F434" s="14">
        <v>5</v>
      </c>
      <c r="G434" s="14">
        <v>5</v>
      </c>
      <c r="H434" t="s">
        <v>41</v>
      </c>
      <c r="I434" s="30" t="s">
        <v>1539</v>
      </c>
    </row>
    <row r="435" spans="1:9">
      <c r="A435" t="s">
        <v>1969</v>
      </c>
      <c r="B435" t="s">
        <v>1161</v>
      </c>
      <c r="C435" s="29">
        <v>46185.619355636576</v>
      </c>
      <c r="D435" s="14">
        <v>5</v>
      </c>
      <c r="E435" s="14">
        <v>4</v>
      </c>
      <c r="F435" s="14">
        <v>5</v>
      </c>
      <c r="G435" s="14">
        <v>5</v>
      </c>
      <c r="H435" t="s">
        <v>41</v>
      </c>
      <c r="I435" s="30" t="s">
        <v>1539</v>
      </c>
    </row>
    <row r="436" spans="1:9">
      <c r="A436" t="s">
        <v>1970</v>
      </c>
      <c r="B436" t="s">
        <v>1163</v>
      </c>
      <c r="C436" s="29">
        <v>46186.225783240741</v>
      </c>
      <c r="D436" s="14">
        <v>5</v>
      </c>
      <c r="E436" s="14">
        <v>5</v>
      </c>
      <c r="F436" s="14">
        <v>5</v>
      </c>
      <c r="G436" s="14">
        <v>5</v>
      </c>
      <c r="H436" t="s">
        <v>41</v>
      </c>
      <c r="I436" s="30" t="s">
        <v>1532</v>
      </c>
    </row>
    <row r="437" spans="1:9">
      <c r="A437" t="s">
        <v>1971</v>
      </c>
      <c r="B437" t="s">
        <v>1164</v>
      </c>
      <c r="C437" s="29">
        <v>46187.330516331021</v>
      </c>
      <c r="D437" s="14">
        <v>2</v>
      </c>
      <c r="E437" s="14">
        <v>1</v>
      </c>
      <c r="F437" s="14">
        <v>1</v>
      </c>
      <c r="G437" s="14">
        <v>3</v>
      </c>
      <c r="H437" t="s">
        <v>47</v>
      </c>
      <c r="I437" s="30" t="s">
        <v>1626</v>
      </c>
    </row>
    <row r="438" spans="1:9">
      <c r="A438" t="s">
        <v>1972</v>
      </c>
      <c r="B438" t="s">
        <v>1165</v>
      </c>
      <c r="C438" s="29">
        <v>46186.708064826387</v>
      </c>
      <c r="D438" s="14">
        <v>4</v>
      </c>
      <c r="E438" s="14">
        <v>3</v>
      </c>
      <c r="F438" s="14">
        <v>3</v>
      </c>
      <c r="G438" s="14">
        <v>4</v>
      </c>
      <c r="H438" t="s">
        <v>41</v>
      </c>
      <c r="I438" s="30" t="s">
        <v>1530</v>
      </c>
    </row>
    <row r="439" spans="1:9">
      <c r="A439" t="s">
        <v>1973</v>
      </c>
      <c r="B439" t="s">
        <v>1166</v>
      </c>
      <c r="C439" s="29">
        <v>46186.700237858793</v>
      </c>
      <c r="D439" s="14">
        <v>4</v>
      </c>
      <c r="E439" s="14">
        <v>5</v>
      </c>
      <c r="F439" s="14">
        <v>3</v>
      </c>
      <c r="G439" s="14">
        <v>4</v>
      </c>
      <c r="H439" t="s">
        <v>41</v>
      </c>
      <c r="I439" s="30" t="s">
        <v>1530</v>
      </c>
    </row>
    <row r="440" spans="1:9">
      <c r="A440" t="s">
        <v>1974</v>
      </c>
      <c r="B440" t="s">
        <v>1168</v>
      </c>
      <c r="C440" s="29">
        <v>46186.762683252316</v>
      </c>
      <c r="D440" s="14">
        <v>3</v>
      </c>
      <c r="E440" s="14">
        <v>2</v>
      </c>
      <c r="F440" s="14">
        <v>4</v>
      </c>
      <c r="G440" s="14">
        <v>4</v>
      </c>
      <c r="H440" t="s">
        <v>47</v>
      </c>
      <c r="I440" s="30" t="s">
        <v>1541</v>
      </c>
    </row>
    <row r="441" spans="1:9">
      <c r="A441" t="s">
        <v>1975</v>
      </c>
      <c r="B441" t="s">
        <v>1169</v>
      </c>
      <c r="C441" s="29">
        <v>46186.557068518516</v>
      </c>
      <c r="D441" s="14">
        <v>3</v>
      </c>
      <c r="E441" s="14">
        <v>2</v>
      </c>
      <c r="F441" s="14">
        <v>2</v>
      </c>
      <c r="G441" s="14">
        <v>4</v>
      </c>
      <c r="H441" t="s">
        <v>47</v>
      </c>
      <c r="I441" s="30" t="s">
        <v>1535</v>
      </c>
    </row>
    <row r="442" spans="1:9">
      <c r="A442" t="s">
        <v>1976</v>
      </c>
      <c r="B442" t="s">
        <v>1171</v>
      </c>
      <c r="C442" s="29">
        <v>46187.793027129628</v>
      </c>
      <c r="D442" s="14">
        <v>5</v>
      </c>
      <c r="E442" s="14">
        <v>4</v>
      </c>
      <c r="F442" s="14">
        <v>5</v>
      </c>
      <c r="G442" s="14">
        <v>5</v>
      </c>
      <c r="H442" t="s">
        <v>41</v>
      </c>
      <c r="I442" s="30" t="s">
        <v>1530</v>
      </c>
    </row>
    <row r="443" spans="1:9">
      <c r="A443" t="s">
        <v>1977</v>
      </c>
      <c r="B443" t="s">
        <v>1174</v>
      </c>
      <c r="C443" s="29">
        <v>46187.940252534725</v>
      </c>
      <c r="D443" s="14">
        <v>5</v>
      </c>
      <c r="E443" s="14">
        <v>5</v>
      </c>
      <c r="F443" s="14">
        <v>5</v>
      </c>
      <c r="G443" s="14">
        <v>5</v>
      </c>
      <c r="H443" t="s">
        <v>41</v>
      </c>
      <c r="I443" s="30" t="s">
        <v>1532</v>
      </c>
    </row>
    <row r="444" spans="1:9">
      <c r="A444" t="s">
        <v>1978</v>
      </c>
      <c r="B444" t="s">
        <v>1176</v>
      </c>
      <c r="C444" s="29">
        <v>46187.399873738425</v>
      </c>
      <c r="D444" s="14">
        <v>5</v>
      </c>
      <c r="E444" s="14">
        <v>4</v>
      </c>
      <c r="F444" s="14">
        <v>5</v>
      </c>
      <c r="G444" s="14">
        <v>5</v>
      </c>
      <c r="H444" t="s">
        <v>41</v>
      </c>
      <c r="I444" s="30" t="s">
        <v>1532</v>
      </c>
    </row>
    <row r="445" spans="1:9">
      <c r="A445" t="s">
        <v>1979</v>
      </c>
      <c r="B445" t="s">
        <v>1177</v>
      </c>
      <c r="C445" s="29">
        <v>46187.786004918984</v>
      </c>
      <c r="D445" s="14">
        <v>4</v>
      </c>
      <c r="E445" s="14">
        <v>3</v>
      </c>
      <c r="F445" s="14">
        <v>5</v>
      </c>
      <c r="G445" s="14">
        <v>4</v>
      </c>
      <c r="H445" t="s">
        <v>41</v>
      </c>
      <c r="I445" s="30" t="s">
        <v>1532</v>
      </c>
    </row>
    <row r="446" spans="1:9">
      <c r="A446" t="s">
        <v>1980</v>
      </c>
      <c r="B446" t="s">
        <v>1179</v>
      </c>
      <c r="C446" s="29">
        <v>46188.257359814816</v>
      </c>
      <c r="D446" s="14">
        <v>3</v>
      </c>
      <c r="E446" s="14">
        <v>3</v>
      </c>
      <c r="F446" s="14">
        <v>2</v>
      </c>
      <c r="G446" s="14">
        <v>3</v>
      </c>
      <c r="H446" t="s">
        <v>47</v>
      </c>
      <c r="I446" s="30" t="s">
        <v>1537</v>
      </c>
    </row>
    <row r="447" spans="1:9">
      <c r="A447" t="s">
        <v>1981</v>
      </c>
      <c r="B447" t="s">
        <v>1181</v>
      </c>
      <c r="C447" s="29">
        <v>46189.025003668983</v>
      </c>
      <c r="D447" s="14">
        <v>5</v>
      </c>
      <c r="E447" s="14">
        <v>5</v>
      </c>
      <c r="F447" s="14">
        <v>4</v>
      </c>
      <c r="G447" s="14">
        <v>5</v>
      </c>
      <c r="H447" t="s">
        <v>41</v>
      </c>
      <c r="I447" s="30" t="s">
        <v>1530</v>
      </c>
    </row>
    <row r="448" spans="1:9">
      <c r="A448" t="s">
        <v>1982</v>
      </c>
      <c r="B448" t="s">
        <v>1182</v>
      </c>
      <c r="C448" s="29">
        <v>46189.119211712961</v>
      </c>
      <c r="D448" s="14">
        <v>4</v>
      </c>
      <c r="E448" s="14">
        <v>3</v>
      </c>
      <c r="F448" s="14">
        <v>3</v>
      </c>
      <c r="G448" s="14">
        <v>4</v>
      </c>
      <c r="H448" t="s">
        <v>41</v>
      </c>
      <c r="I448" s="30" t="s">
        <v>1539</v>
      </c>
    </row>
    <row r="449" spans="1:9">
      <c r="A449" t="s">
        <v>1983</v>
      </c>
      <c r="B449" t="s">
        <v>1185</v>
      </c>
      <c r="C449" s="29">
        <v>46187.550316747685</v>
      </c>
      <c r="D449" s="14">
        <v>3</v>
      </c>
      <c r="E449" s="14">
        <v>2</v>
      </c>
      <c r="F449" s="14">
        <v>2</v>
      </c>
      <c r="G449" s="14">
        <v>3</v>
      </c>
      <c r="H449" t="s">
        <v>47</v>
      </c>
      <c r="I449" s="30" t="s">
        <v>1535</v>
      </c>
    </row>
    <row r="450" spans="1:9">
      <c r="A450" t="s">
        <v>1984</v>
      </c>
      <c r="B450" t="s">
        <v>1187</v>
      </c>
      <c r="C450" s="29">
        <v>46188.836897905094</v>
      </c>
      <c r="D450" s="14">
        <v>3</v>
      </c>
      <c r="E450" s="14">
        <v>2</v>
      </c>
      <c r="F450" s="14">
        <v>2</v>
      </c>
      <c r="G450" s="14">
        <v>4</v>
      </c>
      <c r="H450" t="s">
        <v>47</v>
      </c>
      <c r="I450" s="30" t="s">
        <v>1537</v>
      </c>
    </row>
    <row r="451" spans="1:9">
      <c r="A451" t="s">
        <v>1985</v>
      </c>
      <c r="B451" t="s">
        <v>1189</v>
      </c>
      <c r="C451" s="29">
        <v>46188.787220810183</v>
      </c>
      <c r="D451" s="14">
        <v>5</v>
      </c>
      <c r="E451" s="14">
        <v>5</v>
      </c>
      <c r="F451" s="14">
        <v>4</v>
      </c>
      <c r="G451" s="14">
        <v>5</v>
      </c>
      <c r="H451" t="s">
        <v>41</v>
      </c>
      <c r="I451" s="30" t="s">
        <v>1539</v>
      </c>
    </row>
    <row r="452" spans="1:9">
      <c r="A452" t="s">
        <v>1986</v>
      </c>
      <c r="B452" t="s">
        <v>1190</v>
      </c>
      <c r="C452" s="29">
        <v>46188.221520891202</v>
      </c>
      <c r="D452" s="14">
        <v>3</v>
      </c>
      <c r="E452" s="14">
        <v>2</v>
      </c>
      <c r="F452" s="14">
        <v>4</v>
      </c>
      <c r="G452" s="14">
        <v>3</v>
      </c>
      <c r="H452" t="s">
        <v>47</v>
      </c>
      <c r="I452" s="30" t="s">
        <v>1537</v>
      </c>
    </row>
    <row r="453" spans="1:9">
      <c r="A453" t="s">
        <v>1987</v>
      </c>
      <c r="B453" t="s">
        <v>1191</v>
      </c>
      <c r="C453" s="29">
        <v>46187.698047442129</v>
      </c>
      <c r="D453" s="14">
        <v>4</v>
      </c>
      <c r="E453" s="14">
        <v>3</v>
      </c>
      <c r="F453" s="14">
        <v>5</v>
      </c>
      <c r="G453" s="14">
        <v>4</v>
      </c>
      <c r="H453" t="s">
        <v>41</v>
      </c>
      <c r="I453" s="30" t="s">
        <v>1539</v>
      </c>
    </row>
    <row r="454" spans="1:9">
      <c r="A454" t="s">
        <v>1988</v>
      </c>
      <c r="B454" t="s">
        <v>1192</v>
      </c>
      <c r="C454" s="29">
        <v>46187.561290486112</v>
      </c>
      <c r="D454" s="14">
        <v>4</v>
      </c>
      <c r="E454" s="14">
        <v>3</v>
      </c>
      <c r="F454" s="14">
        <v>5</v>
      </c>
      <c r="G454" s="14">
        <v>4</v>
      </c>
      <c r="H454" t="s">
        <v>41</v>
      </c>
      <c r="I454" s="30" t="s">
        <v>1539</v>
      </c>
    </row>
    <row r="455" spans="1:9">
      <c r="A455" t="s">
        <v>1989</v>
      </c>
      <c r="B455" t="s">
        <v>1196</v>
      </c>
      <c r="C455" s="29">
        <v>46188.151113472224</v>
      </c>
      <c r="D455" s="14">
        <v>4</v>
      </c>
      <c r="E455" s="14">
        <v>3</v>
      </c>
      <c r="F455" s="14">
        <v>5</v>
      </c>
      <c r="G455" s="14">
        <v>5</v>
      </c>
      <c r="H455" t="s">
        <v>41</v>
      </c>
      <c r="I455" s="30" t="s">
        <v>1539</v>
      </c>
    </row>
    <row r="456" spans="1:9">
      <c r="A456" t="s">
        <v>1990</v>
      </c>
      <c r="B456" t="s">
        <v>1199</v>
      </c>
      <c r="C456" s="29">
        <v>46189.313167800923</v>
      </c>
      <c r="D456" s="14">
        <v>3</v>
      </c>
      <c r="E456" s="14">
        <v>2</v>
      </c>
      <c r="F456" s="14">
        <v>2</v>
      </c>
      <c r="G456" s="14">
        <v>3</v>
      </c>
      <c r="H456" t="s">
        <v>47</v>
      </c>
      <c r="I456" s="30" t="s">
        <v>1537</v>
      </c>
    </row>
    <row r="457" spans="1:9">
      <c r="A457" t="s">
        <v>1991</v>
      </c>
      <c r="B457" t="s">
        <v>1200</v>
      </c>
      <c r="C457" s="29">
        <v>46188.773884814815</v>
      </c>
      <c r="D457" s="14">
        <v>5</v>
      </c>
      <c r="E457" s="14">
        <v>5</v>
      </c>
      <c r="F457" s="14">
        <v>5</v>
      </c>
      <c r="G457" s="14">
        <v>5</v>
      </c>
      <c r="H457" t="s">
        <v>41</v>
      </c>
      <c r="I457" s="30" t="s">
        <v>1539</v>
      </c>
    </row>
    <row r="458" spans="1:9">
      <c r="A458" t="s">
        <v>1992</v>
      </c>
      <c r="B458" t="s">
        <v>1202</v>
      </c>
      <c r="C458" s="29">
        <v>46190.358341481478</v>
      </c>
      <c r="D458" s="14">
        <v>3</v>
      </c>
      <c r="E458" s="14">
        <v>2</v>
      </c>
      <c r="F458" s="14">
        <v>2</v>
      </c>
      <c r="G458" s="14">
        <v>4</v>
      </c>
      <c r="H458" t="s">
        <v>47</v>
      </c>
      <c r="I458" s="30" t="s">
        <v>1535</v>
      </c>
    </row>
    <row r="459" spans="1:9">
      <c r="A459" t="s">
        <v>1993</v>
      </c>
      <c r="B459" t="s">
        <v>1203</v>
      </c>
      <c r="C459" s="29">
        <v>46189.553672303242</v>
      </c>
      <c r="D459" s="14">
        <v>3</v>
      </c>
      <c r="E459" s="14">
        <v>2</v>
      </c>
      <c r="F459" s="14">
        <v>3</v>
      </c>
      <c r="G459" s="14">
        <v>4</v>
      </c>
      <c r="H459" t="s">
        <v>47</v>
      </c>
      <c r="I459" s="30" t="s">
        <v>1537</v>
      </c>
    </row>
    <row r="460" spans="1:9">
      <c r="A460" t="s">
        <v>1994</v>
      </c>
      <c r="B460" t="s">
        <v>1205</v>
      </c>
      <c r="C460" s="29">
        <v>46187.913924479166</v>
      </c>
      <c r="D460" s="14">
        <v>4</v>
      </c>
      <c r="E460" s="14">
        <v>4</v>
      </c>
      <c r="F460" s="14">
        <v>4</v>
      </c>
      <c r="G460" s="14">
        <v>5</v>
      </c>
      <c r="H460" t="s">
        <v>41</v>
      </c>
      <c r="I460" s="30" t="s">
        <v>1539</v>
      </c>
    </row>
    <row r="461" spans="1:9">
      <c r="A461" t="s">
        <v>1995</v>
      </c>
      <c r="B461" t="s">
        <v>1207</v>
      </c>
      <c r="C461" s="29">
        <v>46188.879186921295</v>
      </c>
      <c r="D461" s="14">
        <v>5</v>
      </c>
      <c r="E461" s="14">
        <v>5</v>
      </c>
      <c r="F461" s="14">
        <v>5</v>
      </c>
      <c r="G461" s="14">
        <v>5</v>
      </c>
      <c r="H461" t="s">
        <v>41</v>
      </c>
      <c r="I461" s="30" t="s">
        <v>1530</v>
      </c>
    </row>
    <row r="462" spans="1:9">
      <c r="A462" t="s">
        <v>1996</v>
      </c>
      <c r="B462" t="s">
        <v>1211</v>
      </c>
      <c r="C462" s="29">
        <v>46191.284381030091</v>
      </c>
      <c r="D462" s="14">
        <v>3</v>
      </c>
      <c r="E462" s="14">
        <v>2</v>
      </c>
      <c r="F462" s="14">
        <v>2</v>
      </c>
      <c r="G462" s="14">
        <v>4</v>
      </c>
      <c r="H462" t="s">
        <v>47</v>
      </c>
      <c r="I462" s="30" t="s">
        <v>1535</v>
      </c>
    </row>
    <row r="463" spans="1:9">
      <c r="A463" t="s">
        <v>1997</v>
      </c>
      <c r="B463" t="s">
        <v>1213</v>
      </c>
      <c r="C463" s="29">
        <v>46189.044994826392</v>
      </c>
      <c r="D463" s="14">
        <v>3</v>
      </c>
      <c r="E463" s="14">
        <v>3</v>
      </c>
      <c r="F463" s="14">
        <v>2</v>
      </c>
      <c r="G463" s="14">
        <v>4</v>
      </c>
      <c r="H463" t="s">
        <v>47</v>
      </c>
      <c r="I463" s="30" t="s">
        <v>1537</v>
      </c>
    </row>
    <row r="464" spans="1:9">
      <c r="A464" t="s">
        <v>1998</v>
      </c>
      <c r="B464" t="s">
        <v>1214</v>
      </c>
      <c r="C464" s="29">
        <v>46188.61308865741</v>
      </c>
      <c r="D464" s="14">
        <v>4</v>
      </c>
      <c r="E464" s="14">
        <v>4</v>
      </c>
      <c r="F464" s="14">
        <v>5</v>
      </c>
      <c r="G464" s="14">
        <v>4</v>
      </c>
      <c r="H464" t="s">
        <v>41</v>
      </c>
      <c r="I464" s="30" t="s">
        <v>1530</v>
      </c>
    </row>
    <row r="465" spans="1:9">
      <c r="A465" t="s">
        <v>1999</v>
      </c>
      <c r="B465" t="s">
        <v>1216</v>
      </c>
      <c r="C465" s="29">
        <v>46188.136640150464</v>
      </c>
      <c r="D465" s="14">
        <v>5</v>
      </c>
      <c r="E465" s="14">
        <v>5</v>
      </c>
      <c r="F465" s="14">
        <v>5</v>
      </c>
      <c r="G465" s="14">
        <v>5</v>
      </c>
      <c r="H465" t="s">
        <v>41</v>
      </c>
      <c r="I465" s="30" t="s">
        <v>1530</v>
      </c>
    </row>
    <row r="466" spans="1:9">
      <c r="A466" t="s">
        <v>2000</v>
      </c>
      <c r="B466" t="s">
        <v>1217</v>
      </c>
      <c r="C466" s="29">
        <v>46189.302615000001</v>
      </c>
      <c r="D466" s="14">
        <v>3</v>
      </c>
      <c r="E466" s="14">
        <v>4</v>
      </c>
      <c r="F466" s="14">
        <v>2</v>
      </c>
      <c r="G466" s="14">
        <v>3</v>
      </c>
      <c r="H466" t="s">
        <v>47</v>
      </c>
      <c r="I466" s="30" t="s">
        <v>1535</v>
      </c>
    </row>
    <row r="467" spans="1:9">
      <c r="A467" t="s">
        <v>2001</v>
      </c>
      <c r="B467" t="s">
        <v>1219</v>
      </c>
      <c r="C467" s="29">
        <v>46190.783644780095</v>
      </c>
      <c r="D467" s="14">
        <v>5</v>
      </c>
      <c r="E467" s="14">
        <v>5</v>
      </c>
      <c r="F467" s="14">
        <v>5</v>
      </c>
      <c r="G467" s="14">
        <v>5</v>
      </c>
      <c r="H467" t="s">
        <v>41</v>
      </c>
      <c r="I467" s="30" t="s">
        <v>1530</v>
      </c>
    </row>
    <row r="468" spans="1:9">
      <c r="A468" t="s">
        <v>2002</v>
      </c>
      <c r="B468" t="s">
        <v>1221</v>
      </c>
      <c r="C468" s="29">
        <v>46190.355520138888</v>
      </c>
      <c r="D468" s="14">
        <v>2</v>
      </c>
      <c r="E468" s="14">
        <v>3</v>
      </c>
      <c r="F468" s="14">
        <v>1</v>
      </c>
      <c r="G468" s="14">
        <v>3</v>
      </c>
      <c r="H468" t="s">
        <v>47</v>
      </c>
      <c r="I468" s="30" t="s">
        <v>1626</v>
      </c>
    </row>
    <row r="469" spans="1:9">
      <c r="A469" t="s">
        <v>2003</v>
      </c>
      <c r="B469" t="s">
        <v>1222</v>
      </c>
      <c r="C469" s="29">
        <v>46191.929324421297</v>
      </c>
      <c r="D469" s="14">
        <v>3</v>
      </c>
      <c r="E469" s="14">
        <v>3</v>
      </c>
      <c r="F469" s="14">
        <v>2</v>
      </c>
      <c r="G469" s="14">
        <v>4</v>
      </c>
      <c r="H469" t="s">
        <v>47</v>
      </c>
      <c r="I469" s="30" t="s">
        <v>1535</v>
      </c>
    </row>
    <row r="470" spans="1:9">
      <c r="A470" t="s">
        <v>2004</v>
      </c>
      <c r="B470" t="s">
        <v>1225</v>
      </c>
      <c r="C470" s="29">
        <v>46191.219912291665</v>
      </c>
      <c r="D470" s="14">
        <v>3</v>
      </c>
      <c r="E470" s="14">
        <v>2</v>
      </c>
      <c r="F470" s="14">
        <v>2</v>
      </c>
      <c r="G470" s="14">
        <v>3</v>
      </c>
      <c r="H470" t="s">
        <v>47</v>
      </c>
      <c r="I470" s="30" t="s">
        <v>1537</v>
      </c>
    </row>
    <row r="471" spans="1:9">
      <c r="A471" t="s">
        <v>2005</v>
      </c>
      <c r="B471" t="s">
        <v>1229</v>
      </c>
      <c r="C471" s="29">
        <v>46190.017770844905</v>
      </c>
      <c r="D471" s="14">
        <v>3</v>
      </c>
      <c r="E471" s="14">
        <v>2</v>
      </c>
      <c r="F471" s="14">
        <v>2</v>
      </c>
      <c r="G471" s="14">
        <v>3</v>
      </c>
      <c r="H471" t="s">
        <v>47</v>
      </c>
      <c r="I471" s="30" t="s">
        <v>1537</v>
      </c>
    </row>
    <row r="472" spans="1:9">
      <c r="A472" t="s">
        <v>2006</v>
      </c>
      <c r="B472" t="s">
        <v>1234</v>
      </c>
      <c r="C472" s="29">
        <v>46191.249894155095</v>
      </c>
      <c r="D472" s="14">
        <v>4</v>
      </c>
      <c r="E472" s="14">
        <v>4</v>
      </c>
      <c r="F472" s="14">
        <v>3</v>
      </c>
      <c r="G472" s="14">
        <v>5</v>
      </c>
      <c r="H472" t="s">
        <v>41</v>
      </c>
      <c r="I472" s="30" t="s">
        <v>1530</v>
      </c>
    </row>
    <row r="473" spans="1:9">
      <c r="A473" t="s">
        <v>2007</v>
      </c>
      <c r="B473" t="s">
        <v>1235</v>
      </c>
      <c r="C473" s="29">
        <v>46191.519353391202</v>
      </c>
      <c r="D473" s="14">
        <v>4</v>
      </c>
      <c r="E473" s="14">
        <v>3</v>
      </c>
      <c r="F473" s="14">
        <v>3</v>
      </c>
      <c r="G473" s="14">
        <v>4</v>
      </c>
      <c r="H473" t="s">
        <v>41</v>
      </c>
      <c r="I473" s="30" t="s">
        <v>1539</v>
      </c>
    </row>
    <row r="474" spans="1:9">
      <c r="A474" t="s">
        <v>2008</v>
      </c>
      <c r="B474" t="s">
        <v>1236</v>
      </c>
      <c r="C474" s="29">
        <v>46190.332929918979</v>
      </c>
      <c r="D474" s="14">
        <v>4</v>
      </c>
      <c r="E474" s="14">
        <v>5</v>
      </c>
      <c r="F474" s="14">
        <v>5</v>
      </c>
      <c r="G474" s="14">
        <v>4</v>
      </c>
      <c r="H474" t="s">
        <v>41</v>
      </c>
      <c r="I474" s="30" t="s">
        <v>1530</v>
      </c>
    </row>
    <row r="475" spans="1:9">
      <c r="A475" t="s">
        <v>2009</v>
      </c>
      <c r="B475" t="s">
        <v>1237</v>
      </c>
      <c r="C475" s="29">
        <v>46189.867859351849</v>
      </c>
      <c r="D475" s="14">
        <v>5</v>
      </c>
      <c r="E475" s="14">
        <v>4</v>
      </c>
      <c r="F475" s="14">
        <v>5</v>
      </c>
      <c r="G475" s="14">
        <v>5</v>
      </c>
      <c r="H475" t="s">
        <v>41</v>
      </c>
      <c r="I475" s="30" t="s">
        <v>1539</v>
      </c>
    </row>
    <row r="476" spans="1:9">
      <c r="A476" t="s">
        <v>2010</v>
      </c>
      <c r="B476" t="s">
        <v>1238</v>
      </c>
      <c r="C476" s="29">
        <v>46191.076919375002</v>
      </c>
      <c r="D476" s="14">
        <v>3</v>
      </c>
      <c r="E476" s="14">
        <v>2</v>
      </c>
      <c r="F476" s="14">
        <v>2</v>
      </c>
      <c r="G476" s="14">
        <v>3</v>
      </c>
      <c r="H476" t="s">
        <v>47</v>
      </c>
      <c r="I476" s="30" t="s">
        <v>1537</v>
      </c>
    </row>
    <row r="477" spans="1:9">
      <c r="A477" t="s">
        <v>2011</v>
      </c>
      <c r="B477" t="s">
        <v>1241</v>
      </c>
      <c r="C477" s="29">
        <v>46191.869621712962</v>
      </c>
      <c r="D477" s="14">
        <v>4</v>
      </c>
      <c r="E477" s="14">
        <v>3</v>
      </c>
      <c r="F477" s="14">
        <v>5</v>
      </c>
      <c r="G477" s="14">
        <v>5</v>
      </c>
      <c r="H477" t="s">
        <v>41</v>
      </c>
      <c r="I477" s="30" t="s">
        <v>1530</v>
      </c>
    </row>
    <row r="478" spans="1:9">
      <c r="A478" t="s">
        <v>2012</v>
      </c>
      <c r="B478" t="s">
        <v>1242</v>
      </c>
      <c r="C478" s="29">
        <v>46189.972994675925</v>
      </c>
      <c r="D478" s="14">
        <v>3</v>
      </c>
      <c r="E478" s="14">
        <v>2</v>
      </c>
      <c r="F478" s="14">
        <v>2</v>
      </c>
      <c r="G478" s="14">
        <v>4</v>
      </c>
      <c r="H478" t="s">
        <v>47</v>
      </c>
      <c r="I478" s="30" t="s">
        <v>1535</v>
      </c>
    </row>
    <row r="479" spans="1:9">
      <c r="A479" t="s">
        <v>2013</v>
      </c>
      <c r="B479" t="s">
        <v>1245</v>
      </c>
      <c r="C479" s="29">
        <v>46191.299645578707</v>
      </c>
      <c r="D479" s="14">
        <v>4</v>
      </c>
      <c r="E479" s="14">
        <v>3</v>
      </c>
      <c r="F479" s="14">
        <v>4</v>
      </c>
      <c r="G479" s="14">
        <v>4</v>
      </c>
      <c r="H479" t="s">
        <v>41</v>
      </c>
      <c r="I479" s="30" t="s">
        <v>1530</v>
      </c>
    </row>
    <row r="480" spans="1:9">
      <c r="A480" t="s">
        <v>2014</v>
      </c>
      <c r="B480" t="s">
        <v>1247</v>
      </c>
      <c r="C480" s="29">
        <v>46191.609616886577</v>
      </c>
      <c r="D480" s="14">
        <v>4</v>
      </c>
      <c r="E480" s="14">
        <v>3</v>
      </c>
      <c r="F480" s="14">
        <v>4</v>
      </c>
      <c r="G480" s="14">
        <v>5</v>
      </c>
      <c r="H480" t="s">
        <v>41</v>
      </c>
      <c r="I480" s="30" t="s">
        <v>1530</v>
      </c>
    </row>
    <row r="481" spans="1:9">
      <c r="A481" t="s">
        <v>2015</v>
      </c>
      <c r="B481" t="s">
        <v>1249</v>
      </c>
      <c r="C481" s="29">
        <v>46192.15939552083</v>
      </c>
      <c r="D481" s="14">
        <v>3</v>
      </c>
      <c r="E481" s="14">
        <v>2</v>
      </c>
      <c r="F481" s="14">
        <v>2</v>
      </c>
      <c r="G481" s="14">
        <v>4</v>
      </c>
      <c r="H481" t="s">
        <v>47</v>
      </c>
      <c r="I481" s="30" t="s">
        <v>1537</v>
      </c>
    </row>
    <row r="482" spans="1:9">
      <c r="A482" t="s">
        <v>2016</v>
      </c>
      <c r="B482" t="s">
        <v>1251</v>
      </c>
      <c r="C482" s="29">
        <v>46190.60626216435</v>
      </c>
      <c r="D482" s="14">
        <v>5</v>
      </c>
      <c r="E482" s="14">
        <v>5</v>
      </c>
      <c r="F482" s="14">
        <v>5</v>
      </c>
      <c r="G482" s="14">
        <v>5</v>
      </c>
      <c r="H482" t="s">
        <v>41</v>
      </c>
      <c r="I482" s="30" t="s">
        <v>1539</v>
      </c>
    </row>
    <row r="483" spans="1:9">
      <c r="A483" t="s">
        <v>2017</v>
      </c>
      <c r="B483" t="s">
        <v>1252</v>
      </c>
      <c r="C483" s="29">
        <v>46191.530929004628</v>
      </c>
      <c r="D483" s="14">
        <v>5</v>
      </c>
      <c r="E483" s="14">
        <v>4</v>
      </c>
      <c r="F483" s="14">
        <v>5</v>
      </c>
      <c r="G483" s="14">
        <v>5</v>
      </c>
      <c r="H483" t="s">
        <v>41</v>
      </c>
      <c r="I483" s="30" t="s">
        <v>1530</v>
      </c>
    </row>
    <row r="484" spans="1:9">
      <c r="A484" t="s">
        <v>2018</v>
      </c>
      <c r="B484" t="s">
        <v>1253</v>
      </c>
      <c r="C484" s="29">
        <v>46193.805363125</v>
      </c>
      <c r="D484" s="14">
        <v>3</v>
      </c>
      <c r="E484" s="14">
        <v>2</v>
      </c>
      <c r="F484" s="14">
        <v>2</v>
      </c>
      <c r="G484" s="14">
        <v>3</v>
      </c>
      <c r="H484" t="s">
        <v>47</v>
      </c>
      <c r="I484" s="30" t="s">
        <v>1537</v>
      </c>
    </row>
    <row r="485" spans="1:9">
      <c r="A485" t="s">
        <v>2019</v>
      </c>
      <c r="B485" t="s">
        <v>1255</v>
      </c>
      <c r="C485" s="29">
        <v>46190.958920671299</v>
      </c>
      <c r="D485" s="14">
        <v>5</v>
      </c>
      <c r="E485" s="14">
        <v>4</v>
      </c>
      <c r="F485" s="14">
        <v>5</v>
      </c>
      <c r="G485" s="14">
        <v>5</v>
      </c>
      <c r="H485" t="s">
        <v>41</v>
      </c>
      <c r="I485" s="30" t="s">
        <v>1530</v>
      </c>
    </row>
    <row r="486" spans="1:9">
      <c r="A486" t="s">
        <v>2020</v>
      </c>
      <c r="B486" t="s">
        <v>1256</v>
      </c>
      <c r="C486" s="29">
        <v>46191.27975627315</v>
      </c>
      <c r="D486" s="14">
        <v>5</v>
      </c>
      <c r="E486" s="14">
        <v>4</v>
      </c>
      <c r="F486" s="14">
        <v>5</v>
      </c>
      <c r="G486" s="14">
        <v>5</v>
      </c>
      <c r="H486" t="s">
        <v>41</v>
      </c>
      <c r="I486" s="30" t="s">
        <v>1530</v>
      </c>
    </row>
    <row r="487" spans="1:9">
      <c r="A487" t="s">
        <v>2021</v>
      </c>
      <c r="B487" t="s">
        <v>1260</v>
      </c>
      <c r="C487" s="29">
        <v>46192.530693043984</v>
      </c>
      <c r="D487" s="14">
        <v>5</v>
      </c>
      <c r="E487" s="14">
        <v>5</v>
      </c>
      <c r="F487" s="14">
        <v>5</v>
      </c>
      <c r="G487" s="14">
        <v>5</v>
      </c>
      <c r="H487" t="s">
        <v>41</v>
      </c>
      <c r="I487" s="30" t="s">
        <v>1530</v>
      </c>
    </row>
    <row r="488" spans="1:9">
      <c r="A488" t="s">
        <v>2022</v>
      </c>
      <c r="B488" t="s">
        <v>1261</v>
      </c>
      <c r="C488" s="29">
        <v>46191.719529201386</v>
      </c>
      <c r="D488" s="14">
        <v>4</v>
      </c>
      <c r="E488" s="14">
        <v>5</v>
      </c>
      <c r="F488" s="14">
        <v>5</v>
      </c>
      <c r="G488" s="14">
        <v>4</v>
      </c>
      <c r="H488" t="s">
        <v>41</v>
      </c>
      <c r="I488" s="30" t="s">
        <v>1532</v>
      </c>
    </row>
    <row r="489" spans="1:9">
      <c r="A489" t="s">
        <v>2023</v>
      </c>
      <c r="B489" t="s">
        <v>1262</v>
      </c>
      <c r="C489" s="29">
        <v>46191.561265856479</v>
      </c>
      <c r="D489" s="14">
        <v>3</v>
      </c>
      <c r="E489" s="14">
        <v>2</v>
      </c>
      <c r="F489" s="14">
        <v>4</v>
      </c>
      <c r="G489" s="14">
        <v>4</v>
      </c>
      <c r="H489" t="s">
        <v>47</v>
      </c>
      <c r="I489" s="30" t="s">
        <v>1535</v>
      </c>
    </row>
    <row r="490" spans="1:9">
      <c r="A490" t="s">
        <v>2024</v>
      </c>
      <c r="B490" t="s">
        <v>1264</v>
      </c>
      <c r="C490" s="29">
        <v>46192.53801059028</v>
      </c>
      <c r="D490" s="14">
        <v>3</v>
      </c>
      <c r="E490" s="14">
        <v>2</v>
      </c>
      <c r="F490" s="14">
        <v>2</v>
      </c>
      <c r="G490" s="14">
        <v>3</v>
      </c>
      <c r="H490" t="s">
        <v>47</v>
      </c>
      <c r="I490" s="30" t="s">
        <v>1541</v>
      </c>
    </row>
    <row r="491" spans="1:9">
      <c r="A491" t="s">
        <v>2025</v>
      </c>
      <c r="B491" t="s">
        <v>1265</v>
      </c>
      <c r="C491" s="29">
        <v>46193.695896944446</v>
      </c>
      <c r="D491" s="14">
        <v>5</v>
      </c>
      <c r="E491" s="14">
        <v>5</v>
      </c>
      <c r="F491" s="14">
        <v>5</v>
      </c>
      <c r="G491" s="14">
        <v>5</v>
      </c>
      <c r="H491" t="s">
        <v>41</v>
      </c>
      <c r="I491" s="30" t="s">
        <v>1539</v>
      </c>
    </row>
    <row r="492" spans="1:9">
      <c r="A492" t="s">
        <v>2026</v>
      </c>
      <c r="B492" t="s">
        <v>1266</v>
      </c>
      <c r="C492" s="29">
        <v>46191.558666828707</v>
      </c>
      <c r="D492" s="14">
        <v>5</v>
      </c>
      <c r="E492" s="14">
        <v>4</v>
      </c>
      <c r="F492" s="14">
        <v>5</v>
      </c>
      <c r="G492" s="14">
        <v>5</v>
      </c>
      <c r="H492" t="s">
        <v>41</v>
      </c>
      <c r="I492" s="30" t="s">
        <v>1530</v>
      </c>
    </row>
    <row r="493" spans="1:9">
      <c r="A493" t="s">
        <v>2027</v>
      </c>
      <c r="B493" t="s">
        <v>1271</v>
      </c>
      <c r="C493" s="29">
        <v>46193.435533043979</v>
      </c>
      <c r="D493" s="14">
        <v>3</v>
      </c>
      <c r="E493" s="14">
        <v>4</v>
      </c>
      <c r="F493" s="14">
        <v>2</v>
      </c>
      <c r="G493" s="14">
        <v>4</v>
      </c>
      <c r="H493" t="s">
        <v>47</v>
      </c>
      <c r="I493" s="30" t="s">
        <v>1535</v>
      </c>
    </row>
    <row r="494" spans="1:9">
      <c r="A494" t="s">
        <v>2028</v>
      </c>
      <c r="B494" t="s">
        <v>1272</v>
      </c>
      <c r="C494" s="29">
        <v>46193.44405283565</v>
      </c>
      <c r="D494" s="14">
        <v>3</v>
      </c>
      <c r="E494" s="14">
        <v>2</v>
      </c>
      <c r="F494" s="14">
        <v>3</v>
      </c>
      <c r="G494" s="14">
        <v>4</v>
      </c>
      <c r="H494" t="s">
        <v>47</v>
      </c>
      <c r="I494" s="30" t="s">
        <v>1535</v>
      </c>
    </row>
    <row r="495" spans="1:9">
      <c r="A495" t="s">
        <v>2029</v>
      </c>
      <c r="B495" t="s">
        <v>1273</v>
      </c>
      <c r="C495" s="29">
        <v>46192.173676226848</v>
      </c>
      <c r="D495" s="14">
        <v>3</v>
      </c>
      <c r="E495" s="14">
        <v>4</v>
      </c>
      <c r="F495" s="14">
        <v>2</v>
      </c>
      <c r="G495" s="14">
        <v>3</v>
      </c>
      <c r="H495" t="s">
        <v>47</v>
      </c>
      <c r="I495" s="30" t="s">
        <v>1541</v>
      </c>
    </row>
    <row r="496" spans="1:9">
      <c r="A496" t="s">
        <v>2030</v>
      </c>
      <c r="B496" t="s">
        <v>1275</v>
      </c>
      <c r="C496" s="29">
        <v>46192.048669537035</v>
      </c>
      <c r="D496" s="14">
        <v>3</v>
      </c>
      <c r="E496" s="14">
        <v>2</v>
      </c>
      <c r="F496" s="14">
        <v>2</v>
      </c>
      <c r="G496" s="14">
        <v>4</v>
      </c>
      <c r="H496" t="s">
        <v>47</v>
      </c>
      <c r="I496" s="30" t="s">
        <v>1541</v>
      </c>
    </row>
    <row r="497" spans="1:9">
      <c r="A497" t="s">
        <v>2031</v>
      </c>
      <c r="B497" t="s">
        <v>1277</v>
      </c>
      <c r="C497" s="29">
        <v>46192.554143622685</v>
      </c>
      <c r="D497" s="14">
        <v>3</v>
      </c>
      <c r="E497" s="14">
        <v>2</v>
      </c>
      <c r="F497" s="14">
        <v>2</v>
      </c>
      <c r="G497" s="14">
        <v>4</v>
      </c>
      <c r="H497" t="s">
        <v>47</v>
      </c>
      <c r="I497" s="30" t="s">
        <v>1541</v>
      </c>
    </row>
    <row r="498" spans="1:9">
      <c r="A498" t="s">
        <v>2032</v>
      </c>
      <c r="B498" t="s">
        <v>1278</v>
      </c>
      <c r="C498" s="29">
        <v>46194.375948726854</v>
      </c>
      <c r="D498" s="14">
        <v>4</v>
      </c>
      <c r="E498" s="14">
        <v>4</v>
      </c>
      <c r="F498" s="14">
        <v>3</v>
      </c>
      <c r="G498" s="14">
        <v>4</v>
      </c>
      <c r="H498" t="s">
        <v>41</v>
      </c>
      <c r="I498" s="30" t="s">
        <v>1532</v>
      </c>
    </row>
    <row r="499" spans="1:9">
      <c r="A499" t="s">
        <v>2033</v>
      </c>
      <c r="B499" t="s">
        <v>1279</v>
      </c>
      <c r="C499" s="29">
        <v>46192.361134953702</v>
      </c>
      <c r="D499" s="14">
        <v>3</v>
      </c>
      <c r="E499" s="14">
        <v>3</v>
      </c>
      <c r="F499" s="14">
        <v>2</v>
      </c>
      <c r="G499" s="14">
        <v>4</v>
      </c>
      <c r="H499" t="s">
        <v>47</v>
      </c>
      <c r="I499" s="30" t="s">
        <v>1537</v>
      </c>
    </row>
    <row r="500" spans="1:9">
      <c r="A500" t="s">
        <v>2034</v>
      </c>
      <c r="B500" t="s">
        <v>1280</v>
      </c>
      <c r="C500" s="29">
        <v>46192.662003483798</v>
      </c>
      <c r="D500" s="14">
        <v>4</v>
      </c>
      <c r="E500" s="14">
        <v>4</v>
      </c>
      <c r="F500" s="14">
        <v>4</v>
      </c>
      <c r="G500" s="14">
        <v>4</v>
      </c>
      <c r="H500" t="s">
        <v>41</v>
      </c>
      <c r="I500" s="30" t="s">
        <v>1532</v>
      </c>
    </row>
    <row r="501" spans="1:9">
      <c r="A501" t="s">
        <v>2035</v>
      </c>
      <c r="B501" t="s">
        <v>1282</v>
      </c>
      <c r="C501" s="29">
        <v>46194.016678287036</v>
      </c>
      <c r="D501" s="14">
        <v>4</v>
      </c>
      <c r="E501" s="14">
        <v>3</v>
      </c>
      <c r="F501" s="14">
        <v>4</v>
      </c>
      <c r="G501" s="14">
        <v>4</v>
      </c>
      <c r="H501" t="s">
        <v>41</v>
      </c>
      <c r="I501" s="30" t="s">
        <v>1530</v>
      </c>
    </row>
    <row r="502" spans="1:9">
      <c r="A502" t="s">
        <v>2036</v>
      </c>
      <c r="B502" t="s">
        <v>1284</v>
      </c>
      <c r="C502" s="29">
        <v>46195.0201069213</v>
      </c>
      <c r="D502" s="14">
        <v>5</v>
      </c>
      <c r="E502" s="14">
        <v>4</v>
      </c>
      <c r="F502" s="14">
        <v>4</v>
      </c>
      <c r="G502" s="14">
        <v>5</v>
      </c>
      <c r="H502" t="s">
        <v>41</v>
      </c>
      <c r="I502" s="30" t="s">
        <v>1532</v>
      </c>
    </row>
    <row r="503" spans="1:9">
      <c r="A503" t="s">
        <v>2037</v>
      </c>
      <c r="B503" t="s">
        <v>1285</v>
      </c>
      <c r="C503" s="29">
        <v>46194.648437997683</v>
      </c>
      <c r="D503" s="14">
        <v>3</v>
      </c>
      <c r="E503" s="14">
        <v>4</v>
      </c>
      <c r="F503" s="14">
        <v>2</v>
      </c>
      <c r="G503" s="14">
        <v>3</v>
      </c>
      <c r="H503" t="s">
        <v>47</v>
      </c>
      <c r="I503" s="30" t="s">
        <v>1541</v>
      </c>
    </row>
    <row r="504" spans="1:9">
      <c r="A504" t="s">
        <v>2038</v>
      </c>
      <c r="B504" t="s">
        <v>1286</v>
      </c>
      <c r="C504" s="29">
        <v>46194.920617743053</v>
      </c>
      <c r="D504" s="14">
        <v>5</v>
      </c>
      <c r="E504" s="14">
        <v>5</v>
      </c>
      <c r="F504" s="14">
        <v>4</v>
      </c>
      <c r="G504" s="14">
        <v>5</v>
      </c>
      <c r="H504" t="s">
        <v>41</v>
      </c>
      <c r="I504" s="30" t="s">
        <v>1530</v>
      </c>
    </row>
    <row r="505" spans="1:9">
      <c r="A505" t="s">
        <v>2039</v>
      </c>
      <c r="B505" t="s">
        <v>1287</v>
      </c>
      <c r="C505" s="29">
        <v>46196.72857042824</v>
      </c>
      <c r="D505" s="14">
        <v>3</v>
      </c>
      <c r="E505" s="14">
        <v>2</v>
      </c>
      <c r="F505" s="14">
        <v>2</v>
      </c>
      <c r="G505" s="14">
        <v>4</v>
      </c>
      <c r="H505" t="s">
        <v>47</v>
      </c>
      <c r="I505" s="30" t="s">
        <v>1535</v>
      </c>
    </row>
    <row r="506" spans="1:9">
      <c r="A506" t="s">
        <v>2040</v>
      </c>
      <c r="B506" t="s">
        <v>1290</v>
      </c>
      <c r="C506" s="29">
        <v>46194.882550706017</v>
      </c>
      <c r="D506" s="14">
        <v>3</v>
      </c>
      <c r="E506" s="14">
        <v>2</v>
      </c>
      <c r="F506" s="14">
        <v>2</v>
      </c>
      <c r="G506" s="14">
        <v>4</v>
      </c>
      <c r="H506" t="s">
        <v>47</v>
      </c>
      <c r="I506" s="30" t="s">
        <v>1541</v>
      </c>
    </row>
    <row r="507" spans="1:9">
      <c r="A507" t="s">
        <v>2041</v>
      </c>
      <c r="B507" t="s">
        <v>1293</v>
      </c>
      <c r="C507" s="29">
        <v>46194.154889131947</v>
      </c>
      <c r="D507" s="14">
        <v>5</v>
      </c>
      <c r="E507" s="14">
        <v>5</v>
      </c>
      <c r="F507" s="14">
        <v>5</v>
      </c>
      <c r="G507" s="14">
        <v>5</v>
      </c>
      <c r="H507" t="s">
        <v>41</v>
      </c>
      <c r="I507" s="30" t="s">
        <v>1530</v>
      </c>
    </row>
    <row r="508" spans="1:9">
      <c r="A508" t="s">
        <v>2042</v>
      </c>
      <c r="B508" t="s">
        <v>1298</v>
      </c>
      <c r="C508" s="29">
        <v>46196.712307476853</v>
      </c>
      <c r="D508" s="14">
        <v>3</v>
      </c>
      <c r="E508" s="14">
        <v>2</v>
      </c>
      <c r="F508" s="14">
        <v>2</v>
      </c>
      <c r="G508" s="14">
        <v>4</v>
      </c>
      <c r="H508" t="s">
        <v>47</v>
      </c>
      <c r="I508" s="30" t="s">
        <v>1535</v>
      </c>
    </row>
    <row r="509" spans="1:9">
      <c r="A509" t="s">
        <v>2043</v>
      </c>
      <c r="B509" t="s">
        <v>1299</v>
      </c>
      <c r="C509" s="29">
        <v>46194.979681261575</v>
      </c>
      <c r="D509" s="14">
        <v>5</v>
      </c>
      <c r="E509" s="14">
        <v>4</v>
      </c>
      <c r="F509" s="14">
        <v>5</v>
      </c>
      <c r="G509" s="14">
        <v>5</v>
      </c>
      <c r="H509" t="s">
        <v>41</v>
      </c>
      <c r="I509" s="30" t="s">
        <v>1539</v>
      </c>
    </row>
    <row r="510" spans="1:9">
      <c r="A510" t="s">
        <v>2044</v>
      </c>
      <c r="B510" t="s">
        <v>1300</v>
      </c>
      <c r="C510" s="29">
        <v>46194.697102511571</v>
      </c>
      <c r="D510" s="14">
        <v>3</v>
      </c>
      <c r="E510" s="14">
        <v>2</v>
      </c>
      <c r="F510" s="14">
        <v>2</v>
      </c>
      <c r="G510" s="14">
        <v>4</v>
      </c>
      <c r="H510" t="s">
        <v>47</v>
      </c>
      <c r="I510" s="30" t="s">
        <v>1541</v>
      </c>
    </row>
    <row r="511" spans="1:9">
      <c r="A511" t="s">
        <v>2045</v>
      </c>
      <c r="B511" t="s">
        <v>1301</v>
      </c>
      <c r="C511" s="29">
        <v>46195.139620150461</v>
      </c>
      <c r="D511" s="14">
        <v>5</v>
      </c>
      <c r="E511" s="14">
        <v>5</v>
      </c>
      <c r="F511" s="14">
        <v>5</v>
      </c>
      <c r="G511" s="14">
        <v>5</v>
      </c>
      <c r="H511" t="s">
        <v>41</v>
      </c>
      <c r="I511" s="30" t="s">
        <v>1532</v>
      </c>
    </row>
    <row r="512" spans="1:9">
      <c r="A512" t="s">
        <v>2046</v>
      </c>
      <c r="B512" t="s">
        <v>1302</v>
      </c>
      <c r="C512" s="29">
        <v>46195.312256631943</v>
      </c>
      <c r="D512" s="14">
        <v>4</v>
      </c>
      <c r="E512" s="14">
        <v>4</v>
      </c>
      <c r="F512" s="14">
        <v>4</v>
      </c>
      <c r="G512" s="14">
        <v>4</v>
      </c>
      <c r="H512" t="s">
        <v>41</v>
      </c>
      <c r="I512" s="30" t="s">
        <v>1532</v>
      </c>
    </row>
    <row r="513" spans="1:9">
      <c r="A513" t="s">
        <v>2047</v>
      </c>
      <c r="B513" t="s">
        <v>1303</v>
      </c>
      <c r="C513" s="29">
        <v>46195.662253564813</v>
      </c>
      <c r="D513" s="14">
        <v>4</v>
      </c>
      <c r="E513" s="14">
        <v>5</v>
      </c>
      <c r="F513" s="14">
        <v>3</v>
      </c>
      <c r="G513" s="14">
        <v>4</v>
      </c>
      <c r="H513" t="s">
        <v>41</v>
      </c>
      <c r="I513" s="30" t="s">
        <v>1530</v>
      </c>
    </row>
    <row r="514" spans="1:9">
      <c r="A514" t="s">
        <v>2048</v>
      </c>
      <c r="B514" t="s">
        <v>1306</v>
      </c>
      <c r="C514" s="29">
        <v>46195.261931597219</v>
      </c>
      <c r="D514" s="14">
        <v>3</v>
      </c>
      <c r="E514" s="14">
        <v>2</v>
      </c>
      <c r="F514" s="14">
        <v>2</v>
      </c>
      <c r="G514" s="14">
        <v>3</v>
      </c>
      <c r="H514" t="s">
        <v>47</v>
      </c>
      <c r="I514" s="30" t="s">
        <v>1541</v>
      </c>
    </row>
    <row r="515" spans="1:9">
      <c r="A515" t="s">
        <v>2049</v>
      </c>
      <c r="B515" t="s">
        <v>1307</v>
      </c>
      <c r="C515" s="29">
        <v>46196.229600833336</v>
      </c>
      <c r="D515" s="14">
        <v>2</v>
      </c>
      <c r="E515" s="14">
        <v>1</v>
      </c>
      <c r="F515" s="14">
        <v>1</v>
      </c>
      <c r="G515" s="14">
        <v>2</v>
      </c>
      <c r="H515" t="s">
        <v>47</v>
      </c>
      <c r="I515" s="30" t="s">
        <v>1626</v>
      </c>
    </row>
    <row r="516" spans="1:9">
      <c r="A516" t="s">
        <v>2050</v>
      </c>
      <c r="B516" t="s">
        <v>1309</v>
      </c>
      <c r="C516" s="29">
        <v>46194.428832708334</v>
      </c>
      <c r="D516" s="14">
        <v>5</v>
      </c>
      <c r="E516" s="14">
        <v>4</v>
      </c>
      <c r="F516" s="14">
        <v>5</v>
      </c>
      <c r="G516" s="14">
        <v>5</v>
      </c>
      <c r="H516" t="s">
        <v>41</v>
      </c>
      <c r="I516" s="30" t="s">
        <v>1539</v>
      </c>
    </row>
    <row r="517" spans="1:9">
      <c r="A517" t="s">
        <v>2051</v>
      </c>
      <c r="B517" t="s">
        <v>1310</v>
      </c>
      <c r="C517" s="29">
        <v>46195.186173726855</v>
      </c>
      <c r="D517" s="14">
        <v>3</v>
      </c>
      <c r="E517" s="14">
        <v>3</v>
      </c>
      <c r="F517" s="14">
        <v>2</v>
      </c>
      <c r="G517" s="14">
        <v>3</v>
      </c>
      <c r="H517" t="s">
        <v>47</v>
      </c>
      <c r="I517" s="30" t="s">
        <v>1541</v>
      </c>
    </row>
    <row r="518" spans="1:9">
      <c r="A518" t="s">
        <v>2052</v>
      </c>
      <c r="B518" t="s">
        <v>1311</v>
      </c>
      <c r="C518" s="29">
        <v>46195.087008078706</v>
      </c>
      <c r="D518" s="14">
        <v>3</v>
      </c>
      <c r="E518" s="14">
        <v>2</v>
      </c>
      <c r="F518" s="14">
        <v>2</v>
      </c>
      <c r="G518" s="14">
        <v>3</v>
      </c>
      <c r="H518" t="s">
        <v>47</v>
      </c>
      <c r="I518" s="30" t="s">
        <v>1541</v>
      </c>
    </row>
    <row r="519" spans="1:9">
      <c r="A519" t="s">
        <v>2053</v>
      </c>
      <c r="B519" t="s">
        <v>1314</v>
      </c>
      <c r="C519" s="29">
        <v>46195.285853356479</v>
      </c>
      <c r="D519" s="14">
        <v>5</v>
      </c>
      <c r="E519" s="14">
        <v>5</v>
      </c>
      <c r="F519" s="14">
        <v>5</v>
      </c>
      <c r="G519" s="14">
        <v>5</v>
      </c>
      <c r="H519" t="s">
        <v>41</v>
      </c>
      <c r="I519" s="30" t="s">
        <v>1539</v>
      </c>
    </row>
    <row r="520" spans="1:9">
      <c r="A520" t="s">
        <v>2054</v>
      </c>
      <c r="B520" t="s">
        <v>1317</v>
      </c>
      <c r="C520" s="29">
        <v>46196.336817905096</v>
      </c>
      <c r="D520" s="14">
        <v>3</v>
      </c>
      <c r="E520" s="14">
        <v>4</v>
      </c>
      <c r="F520" s="14">
        <v>2</v>
      </c>
      <c r="G520" s="14">
        <v>4</v>
      </c>
      <c r="H520" t="s">
        <v>47</v>
      </c>
      <c r="I520" s="30" t="s">
        <v>1535</v>
      </c>
    </row>
    <row r="521" spans="1:9">
      <c r="A521" t="s">
        <v>2055</v>
      </c>
      <c r="B521" t="s">
        <v>1318</v>
      </c>
      <c r="C521" s="29">
        <v>46195.253356631947</v>
      </c>
      <c r="D521" s="14">
        <v>4</v>
      </c>
      <c r="E521" s="14">
        <v>5</v>
      </c>
      <c r="F521" s="14">
        <v>3</v>
      </c>
      <c r="G521" s="14">
        <v>5</v>
      </c>
      <c r="H521" t="s">
        <v>41</v>
      </c>
      <c r="I521" s="30" t="s">
        <v>1532</v>
      </c>
    </row>
    <row r="522" spans="1:9">
      <c r="A522" t="s">
        <v>2056</v>
      </c>
      <c r="B522" t="s">
        <v>1321</v>
      </c>
      <c r="C522" s="29">
        <v>46195.769947962966</v>
      </c>
      <c r="D522" s="14">
        <v>3</v>
      </c>
      <c r="E522" s="14">
        <v>4</v>
      </c>
      <c r="F522" s="14">
        <v>2</v>
      </c>
      <c r="G522" s="14">
        <v>4</v>
      </c>
      <c r="H522" t="s">
        <v>47</v>
      </c>
      <c r="I522" s="30" t="s">
        <v>1537</v>
      </c>
    </row>
    <row r="523" spans="1:9">
      <c r="A523" t="s">
        <v>2057</v>
      </c>
      <c r="B523" t="s">
        <v>1322</v>
      </c>
      <c r="C523" s="29">
        <v>46196.548214224538</v>
      </c>
      <c r="D523" s="14">
        <v>5</v>
      </c>
      <c r="E523" s="14">
        <v>5</v>
      </c>
      <c r="F523" s="14">
        <v>5</v>
      </c>
      <c r="G523" s="14">
        <v>5</v>
      </c>
      <c r="H523" t="s">
        <v>41</v>
      </c>
      <c r="I523" s="30" t="s">
        <v>1539</v>
      </c>
    </row>
    <row r="524" spans="1:9">
      <c r="A524" t="s">
        <v>2058</v>
      </c>
      <c r="B524" t="s">
        <v>1327</v>
      </c>
      <c r="C524" s="29">
        <v>46195.139948159725</v>
      </c>
      <c r="D524" s="14">
        <v>5</v>
      </c>
      <c r="E524" s="14">
        <v>5</v>
      </c>
      <c r="F524" s="14">
        <v>5</v>
      </c>
      <c r="G524" s="14">
        <v>5</v>
      </c>
      <c r="H524" t="s">
        <v>41</v>
      </c>
      <c r="I524" s="30" t="s">
        <v>1530</v>
      </c>
    </row>
    <row r="525" spans="1:9">
      <c r="A525" t="s">
        <v>2059</v>
      </c>
      <c r="B525" t="s">
        <v>1331</v>
      </c>
      <c r="C525" s="29">
        <v>46197.404473263887</v>
      </c>
      <c r="D525" s="14">
        <v>3</v>
      </c>
      <c r="E525" s="14">
        <v>2</v>
      </c>
      <c r="F525" s="14">
        <v>4</v>
      </c>
      <c r="G525" s="14">
        <v>4</v>
      </c>
      <c r="H525" t="s">
        <v>47</v>
      </c>
      <c r="I525" s="30" t="s">
        <v>1535</v>
      </c>
    </row>
    <row r="526" spans="1:9">
      <c r="A526" t="s">
        <v>2060</v>
      </c>
      <c r="B526" t="s">
        <v>1332</v>
      </c>
      <c r="C526" s="29">
        <v>46196.17723267361</v>
      </c>
      <c r="D526" s="14">
        <v>4</v>
      </c>
      <c r="E526" s="14">
        <v>4</v>
      </c>
      <c r="F526" s="14">
        <v>3</v>
      </c>
      <c r="G526" s="14">
        <v>4</v>
      </c>
      <c r="H526" t="s">
        <v>41</v>
      </c>
      <c r="I526" s="30" t="s">
        <v>1539</v>
      </c>
    </row>
    <row r="527" spans="1:9">
      <c r="A527" t="s">
        <v>2061</v>
      </c>
      <c r="B527" t="s">
        <v>1335</v>
      </c>
      <c r="C527" s="29">
        <v>46196.452193541663</v>
      </c>
      <c r="D527" s="14">
        <v>3</v>
      </c>
      <c r="E527" s="14">
        <v>2</v>
      </c>
      <c r="F527" s="14">
        <v>3</v>
      </c>
      <c r="G527" s="14">
        <v>4</v>
      </c>
      <c r="H527" t="s">
        <v>47</v>
      </c>
      <c r="I527" s="30" t="s">
        <v>1537</v>
      </c>
    </row>
    <row r="528" spans="1:9">
      <c r="A528" t="s">
        <v>2062</v>
      </c>
      <c r="B528" t="s">
        <v>1336</v>
      </c>
      <c r="C528" s="29">
        <v>46195.730935196756</v>
      </c>
      <c r="D528" s="14">
        <v>5</v>
      </c>
      <c r="E528" s="14">
        <v>4</v>
      </c>
      <c r="F528" s="14">
        <v>5</v>
      </c>
      <c r="G528" s="14">
        <v>5</v>
      </c>
      <c r="H528" t="s">
        <v>41</v>
      </c>
      <c r="I528" s="30" t="s">
        <v>1539</v>
      </c>
    </row>
    <row r="529" spans="1:9">
      <c r="A529" t="s">
        <v>2063</v>
      </c>
      <c r="B529" t="s">
        <v>1338</v>
      </c>
      <c r="C529" s="29">
        <v>46196.295201064815</v>
      </c>
      <c r="D529" s="14">
        <v>5</v>
      </c>
      <c r="E529" s="14">
        <v>5</v>
      </c>
      <c r="F529" s="14">
        <v>5</v>
      </c>
      <c r="G529" s="14">
        <v>5</v>
      </c>
      <c r="H529" t="s">
        <v>41</v>
      </c>
      <c r="I529" s="30" t="s">
        <v>1530</v>
      </c>
    </row>
    <row r="530" spans="1:9">
      <c r="A530" t="s">
        <v>2064</v>
      </c>
      <c r="B530" t="s">
        <v>1339</v>
      </c>
      <c r="C530" s="29">
        <v>46198.238837013887</v>
      </c>
      <c r="D530" s="14">
        <v>4</v>
      </c>
      <c r="E530" s="14">
        <v>3</v>
      </c>
      <c r="F530" s="14">
        <v>3</v>
      </c>
      <c r="G530" s="14">
        <v>5</v>
      </c>
      <c r="H530" t="s">
        <v>41</v>
      </c>
      <c r="I530" s="30" t="s">
        <v>1539</v>
      </c>
    </row>
    <row r="531" spans="1:9">
      <c r="A531" t="s">
        <v>2065</v>
      </c>
      <c r="B531" t="s">
        <v>1341</v>
      </c>
      <c r="C531" s="29">
        <v>46196.887999837963</v>
      </c>
      <c r="D531" s="14">
        <v>5</v>
      </c>
      <c r="E531" s="14">
        <v>5</v>
      </c>
      <c r="F531" s="14">
        <v>5</v>
      </c>
      <c r="G531" s="14">
        <v>5</v>
      </c>
      <c r="H531" t="s">
        <v>41</v>
      </c>
      <c r="I531" s="30" t="s">
        <v>1530</v>
      </c>
    </row>
    <row r="532" spans="1:9">
      <c r="A532" t="s">
        <v>2066</v>
      </c>
      <c r="B532" t="s">
        <v>1345</v>
      </c>
      <c r="C532" s="29">
        <v>46197.795809247684</v>
      </c>
      <c r="D532" s="14">
        <v>3</v>
      </c>
      <c r="E532" s="14">
        <v>2</v>
      </c>
      <c r="F532" s="14">
        <v>2</v>
      </c>
      <c r="G532" s="14">
        <v>3</v>
      </c>
      <c r="H532" t="s">
        <v>47</v>
      </c>
      <c r="I532" s="30" t="s">
        <v>1537</v>
      </c>
    </row>
    <row r="533" spans="1:9">
      <c r="A533" t="s">
        <v>2067</v>
      </c>
      <c r="B533" t="s">
        <v>1346</v>
      </c>
      <c r="C533" s="29">
        <v>46197.664543310188</v>
      </c>
      <c r="D533" s="14">
        <v>3</v>
      </c>
      <c r="E533" s="14">
        <v>3</v>
      </c>
      <c r="F533" s="14">
        <v>2</v>
      </c>
      <c r="G533" s="14">
        <v>3</v>
      </c>
      <c r="H533" t="s">
        <v>47</v>
      </c>
      <c r="I533" s="30" t="s">
        <v>1537</v>
      </c>
    </row>
    <row r="534" spans="1:9">
      <c r="A534" t="s">
        <v>2068</v>
      </c>
      <c r="B534" t="s">
        <v>1348</v>
      </c>
      <c r="C534" s="29">
        <v>46197.770188356481</v>
      </c>
      <c r="D534" s="14">
        <v>4</v>
      </c>
      <c r="E534" s="14">
        <v>5</v>
      </c>
      <c r="F534" s="14">
        <v>4</v>
      </c>
      <c r="G534" s="14">
        <v>4</v>
      </c>
      <c r="H534" t="s">
        <v>41</v>
      </c>
      <c r="I534" s="30" t="s">
        <v>1530</v>
      </c>
    </row>
    <row r="535" spans="1:9">
      <c r="A535" t="s">
        <v>2069</v>
      </c>
      <c r="B535" t="s">
        <v>1349</v>
      </c>
      <c r="C535" s="29">
        <v>46197.432273969906</v>
      </c>
      <c r="D535" s="14">
        <v>3</v>
      </c>
      <c r="E535" s="14">
        <v>2</v>
      </c>
      <c r="F535" s="14">
        <v>3</v>
      </c>
      <c r="G535" s="14">
        <v>4</v>
      </c>
      <c r="H535" t="s">
        <v>47</v>
      </c>
      <c r="I535" s="30" t="s">
        <v>1537</v>
      </c>
    </row>
    <row r="536" spans="1:9">
      <c r="A536" t="s">
        <v>2070</v>
      </c>
      <c r="B536" t="s">
        <v>1350</v>
      </c>
      <c r="C536" s="29">
        <v>46198.42911247685</v>
      </c>
      <c r="D536" s="14">
        <v>3</v>
      </c>
      <c r="E536" s="14">
        <v>2</v>
      </c>
      <c r="F536" s="14">
        <v>2</v>
      </c>
      <c r="G536" s="14">
        <v>3</v>
      </c>
      <c r="H536" t="s">
        <v>47</v>
      </c>
      <c r="I536" s="30" t="s">
        <v>1537</v>
      </c>
    </row>
    <row r="537" spans="1:9">
      <c r="A537" t="s">
        <v>2071</v>
      </c>
      <c r="B537" t="s">
        <v>1353</v>
      </c>
      <c r="C537" s="29">
        <v>46197.023158159725</v>
      </c>
      <c r="D537" s="14">
        <v>4</v>
      </c>
      <c r="E537" s="14">
        <v>3</v>
      </c>
      <c r="F537" s="14">
        <v>3</v>
      </c>
      <c r="G537" s="14">
        <v>4</v>
      </c>
      <c r="H537" t="s">
        <v>41</v>
      </c>
      <c r="I537" s="30" t="s">
        <v>1539</v>
      </c>
    </row>
    <row r="538" spans="1:9">
      <c r="A538" t="s">
        <v>2072</v>
      </c>
      <c r="B538" t="s">
        <v>1354</v>
      </c>
      <c r="C538" s="29">
        <v>46198.09944943287</v>
      </c>
      <c r="D538" s="14">
        <v>4</v>
      </c>
      <c r="E538" s="14">
        <v>4</v>
      </c>
      <c r="F538" s="14">
        <v>3</v>
      </c>
      <c r="G538" s="14">
        <v>5</v>
      </c>
      <c r="H538" t="s">
        <v>41</v>
      </c>
      <c r="I538" s="30" t="s">
        <v>1532</v>
      </c>
    </row>
    <row r="539" spans="1:9">
      <c r="A539" t="s">
        <v>2073</v>
      </c>
      <c r="B539" t="s">
        <v>1356</v>
      </c>
      <c r="C539" s="29">
        <v>46197.974962743057</v>
      </c>
      <c r="D539" s="14">
        <v>4</v>
      </c>
      <c r="E539" s="14">
        <v>5</v>
      </c>
      <c r="F539" s="14">
        <v>3</v>
      </c>
      <c r="G539" s="14">
        <v>5</v>
      </c>
      <c r="H539" t="s">
        <v>41</v>
      </c>
      <c r="I539" s="30" t="s">
        <v>1532</v>
      </c>
    </row>
    <row r="540" spans="1:9">
      <c r="A540" t="s">
        <v>2074</v>
      </c>
      <c r="B540" t="s">
        <v>1359</v>
      </c>
      <c r="C540" s="29">
        <v>46197.769280613429</v>
      </c>
      <c r="D540" s="14">
        <v>3</v>
      </c>
      <c r="E540" s="14">
        <v>3</v>
      </c>
      <c r="F540" s="14">
        <v>2</v>
      </c>
      <c r="G540" s="14">
        <v>3</v>
      </c>
      <c r="H540" t="s">
        <v>47</v>
      </c>
      <c r="I540" s="30" t="s">
        <v>1541</v>
      </c>
    </row>
    <row r="541" spans="1:9">
      <c r="A541" t="s">
        <v>2075</v>
      </c>
      <c r="B541" t="s">
        <v>1360</v>
      </c>
      <c r="C541" s="29">
        <v>46197.002675983793</v>
      </c>
      <c r="D541" s="14">
        <v>5</v>
      </c>
      <c r="E541" s="14">
        <v>5</v>
      </c>
      <c r="F541" s="14">
        <v>5</v>
      </c>
      <c r="G541" s="14">
        <v>5</v>
      </c>
      <c r="H541" t="s">
        <v>41</v>
      </c>
      <c r="I541" s="30" t="s">
        <v>1532</v>
      </c>
    </row>
    <row r="542" spans="1:9">
      <c r="A542" t="s">
        <v>2076</v>
      </c>
      <c r="B542" t="s">
        <v>1364</v>
      </c>
      <c r="C542" s="29">
        <v>46198.528814375</v>
      </c>
      <c r="D542" s="14">
        <v>3</v>
      </c>
      <c r="E542" s="14">
        <v>2</v>
      </c>
      <c r="F542" s="14">
        <v>2</v>
      </c>
      <c r="G542" s="14">
        <v>3</v>
      </c>
      <c r="H542" t="s">
        <v>47</v>
      </c>
      <c r="I542" s="30" t="s">
        <v>1541</v>
      </c>
    </row>
    <row r="543" spans="1:9">
      <c r="A543" t="s">
        <v>2077</v>
      </c>
      <c r="B543" t="s">
        <v>1366</v>
      </c>
      <c r="C543" s="29">
        <v>46200.098711921295</v>
      </c>
      <c r="D543" s="14">
        <v>3</v>
      </c>
      <c r="E543" s="14">
        <v>2</v>
      </c>
      <c r="F543" s="14">
        <v>2</v>
      </c>
      <c r="G543" s="14">
        <v>4</v>
      </c>
      <c r="H543" t="s">
        <v>47</v>
      </c>
      <c r="I543" s="30" t="s">
        <v>1535</v>
      </c>
    </row>
    <row r="544" spans="1:9">
      <c r="A544" t="s">
        <v>2078</v>
      </c>
      <c r="B544" t="s">
        <v>1369</v>
      </c>
      <c r="C544" s="29">
        <v>46198.307395243057</v>
      </c>
      <c r="D544" s="14">
        <v>5</v>
      </c>
      <c r="E544" s="14">
        <v>5</v>
      </c>
      <c r="F544" s="14">
        <v>5</v>
      </c>
      <c r="G544" s="14">
        <v>5</v>
      </c>
      <c r="H544" t="s">
        <v>41</v>
      </c>
      <c r="I544" s="30" t="s">
        <v>1530</v>
      </c>
    </row>
    <row r="545" spans="1:9">
      <c r="A545" t="s">
        <v>2079</v>
      </c>
      <c r="B545" t="s">
        <v>1370</v>
      </c>
      <c r="C545" s="29">
        <v>46198.672378761577</v>
      </c>
      <c r="D545" s="14">
        <v>5</v>
      </c>
      <c r="E545" s="14">
        <v>5</v>
      </c>
      <c r="F545" s="14">
        <v>4</v>
      </c>
      <c r="G545" s="14">
        <v>5</v>
      </c>
      <c r="H545" t="s">
        <v>41</v>
      </c>
      <c r="I545" s="30" t="s">
        <v>1532</v>
      </c>
    </row>
    <row r="546" spans="1:9">
      <c r="A546" t="s">
        <v>2080</v>
      </c>
      <c r="B546" t="s">
        <v>1373</v>
      </c>
      <c r="C546" s="29">
        <v>46199.66760439815</v>
      </c>
      <c r="D546" s="14">
        <v>4</v>
      </c>
      <c r="E546" s="14">
        <v>5</v>
      </c>
      <c r="F546" s="14">
        <v>5</v>
      </c>
      <c r="G546" s="14">
        <v>5</v>
      </c>
      <c r="H546" t="s">
        <v>41</v>
      </c>
      <c r="I546" s="30" t="s">
        <v>1539</v>
      </c>
    </row>
    <row r="547" spans="1:9">
      <c r="A547" t="s">
        <v>2081</v>
      </c>
      <c r="B547" t="s">
        <v>1378</v>
      </c>
      <c r="C547" s="29">
        <v>46199.376770300929</v>
      </c>
      <c r="D547" s="14">
        <v>5</v>
      </c>
      <c r="E547" s="14">
        <v>5</v>
      </c>
      <c r="F547" s="14">
        <v>5</v>
      </c>
      <c r="G547" s="14">
        <v>5</v>
      </c>
      <c r="H547" t="s">
        <v>41</v>
      </c>
      <c r="I547" s="30" t="s">
        <v>1539</v>
      </c>
    </row>
    <row r="548" spans="1:9">
      <c r="A548" t="s">
        <v>2082</v>
      </c>
      <c r="B548" t="s">
        <v>1383</v>
      </c>
      <c r="C548" s="29">
        <v>46199.894312731485</v>
      </c>
      <c r="D548" s="14">
        <v>4</v>
      </c>
      <c r="E548" s="14">
        <v>3</v>
      </c>
      <c r="F548" s="14">
        <v>5</v>
      </c>
      <c r="G548" s="14">
        <v>4</v>
      </c>
      <c r="H548" t="s">
        <v>41</v>
      </c>
      <c r="I548" s="30" t="s">
        <v>1532</v>
      </c>
    </row>
    <row r="549" spans="1:9">
      <c r="A549" t="s">
        <v>2083</v>
      </c>
      <c r="B549" t="s">
        <v>1385</v>
      </c>
      <c r="C549" s="29">
        <v>46200.009294826392</v>
      </c>
      <c r="D549" s="14">
        <v>5</v>
      </c>
      <c r="E549" s="14">
        <v>5</v>
      </c>
      <c r="F549" s="14">
        <v>4</v>
      </c>
      <c r="G549" s="14">
        <v>5</v>
      </c>
      <c r="H549" t="s">
        <v>41</v>
      </c>
      <c r="I549" s="30" t="s">
        <v>1532</v>
      </c>
    </row>
    <row r="550" spans="1:9">
      <c r="A550" t="s">
        <v>2084</v>
      </c>
      <c r="B550" t="s">
        <v>1386</v>
      </c>
      <c r="C550" s="29">
        <v>46199.277099988423</v>
      </c>
      <c r="D550" s="14">
        <v>4</v>
      </c>
      <c r="E550" s="14">
        <v>3</v>
      </c>
      <c r="F550" s="14">
        <v>3</v>
      </c>
      <c r="G550" s="14">
        <v>4</v>
      </c>
      <c r="H550" t="s">
        <v>41</v>
      </c>
      <c r="I550" s="30" t="s">
        <v>1532</v>
      </c>
    </row>
    <row r="551" spans="1:9">
      <c r="A551" t="s">
        <v>2085</v>
      </c>
      <c r="B551" t="s">
        <v>1390</v>
      </c>
      <c r="C551" s="29">
        <v>46200.537453854166</v>
      </c>
      <c r="D551" s="14">
        <v>4</v>
      </c>
      <c r="E551" s="14">
        <v>5</v>
      </c>
      <c r="F551" s="14">
        <v>3</v>
      </c>
      <c r="G551" s="14">
        <v>5</v>
      </c>
      <c r="H551" t="s">
        <v>41</v>
      </c>
      <c r="I551" s="30" t="s">
        <v>1532</v>
      </c>
    </row>
    <row r="552" spans="1:9">
      <c r="A552" t="s">
        <v>2086</v>
      </c>
      <c r="B552" t="s">
        <v>1391</v>
      </c>
      <c r="C552" s="29">
        <v>46200.942444189815</v>
      </c>
      <c r="D552" s="14">
        <v>5</v>
      </c>
      <c r="E552" s="14">
        <v>4</v>
      </c>
      <c r="F552" s="14">
        <v>5</v>
      </c>
      <c r="G552" s="14">
        <v>5</v>
      </c>
      <c r="H552" t="s">
        <v>41</v>
      </c>
      <c r="I552" s="30" t="s">
        <v>1530</v>
      </c>
    </row>
    <row r="553" spans="1:9">
      <c r="A553" t="s">
        <v>2087</v>
      </c>
      <c r="B553" t="s">
        <v>1393</v>
      </c>
      <c r="C553" s="29">
        <v>46200.563338437503</v>
      </c>
      <c r="D553" s="14">
        <v>4</v>
      </c>
      <c r="E553" s="14">
        <v>5</v>
      </c>
      <c r="F553" s="14">
        <v>3</v>
      </c>
      <c r="G553" s="14">
        <v>5</v>
      </c>
      <c r="H553" t="s">
        <v>41</v>
      </c>
      <c r="I553" s="30" t="s">
        <v>1530</v>
      </c>
    </row>
    <row r="554" spans="1:9">
      <c r="A554" t="s">
        <v>2088</v>
      </c>
      <c r="B554" t="s">
        <v>1394</v>
      </c>
      <c r="C554" s="29">
        <v>46199.731513657411</v>
      </c>
      <c r="D554" s="14">
        <v>5</v>
      </c>
      <c r="E554" s="14">
        <v>5</v>
      </c>
      <c r="F554" s="14">
        <v>5</v>
      </c>
      <c r="G554" s="14">
        <v>5</v>
      </c>
      <c r="H554" t="s">
        <v>41</v>
      </c>
      <c r="I554" s="30" t="s">
        <v>1530</v>
      </c>
    </row>
    <row r="555" spans="1:9">
      <c r="A555" t="s">
        <v>2089</v>
      </c>
      <c r="B555" t="s">
        <v>1395</v>
      </c>
      <c r="C555" s="29">
        <v>46200.027068692129</v>
      </c>
      <c r="D555" s="14">
        <v>3</v>
      </c>
      <c r="E555" s="14">
        <v>2</v>
      </c>
      <c r="F555" s="14">
        <v>4</v>
      </c>
      <c r="G555" s="14">
        <v>3</v>
      </c>
      <c r="H555" t="s">
        <v>47</v>
      </c>
      <c r="I555" s="30" t="s">
        <v>1535</v>
      </c>
    </row>
    <row r="556" spans="1:9">
      <c r="A556" t="s">
        <v>2090</v>
      </c>
      <c r="B556" t="s">
        <v>1396</v>
      </c>
      <c r="C556" s="29">
        <v>46200.963383935188</v>
      </c>
      <c r="D556" s="14">
        <v>3</v>
      </c>
      <c r="E556" s="14">
        <v>4</v>
      </c>
      <c r="F556" s="14">
        <v>2</v>
      </c>
      <c r="G556" s="14">
        <v>4</v>
      </c>
      <c r="H556" t="s">
        <v>47</v>
      </c>
      <c r="I556" s="30" t="s">
        <v>1541</v>
      </c>
    </row>
    <row r="557" spans="1:9">
      <c r="A557" t="s">
        <v>2091</v>
      </c>
      <c r="B557" t="s">
        <v>1397</v>
      </c>
      <c r="C557" s="29">
        <v>46200.354314456017</v>
      </c>
      <c r="D557" s="14">
        <v>5</v>
      </c>
      <c r="E557" s="14">
        <v>5</v>
      </c>
      <c r="F557" s="14">
        <v>5</v>
      </c>
      <c r="G557" s="14">
        <v>5</v>
      </c>
      <c r="H557" t="s">
        <v>41</v>
      </c>
      <c r="I557" s="30" t="s">
        <v>1530</v>
      </c>
    </row>
    <row r="558" spans="1:9">
      <c r="A558" t="s">
        <v>2092</v>
      </c>
      <c r="B558" t="s">
        <v>1398</v>
      </c>
      <c r="C558" s="29">
        <v>46201.564142303243</v>
      </c>
      <c r="D558" s="14">
        <v>3</v>
      </c>
      <c r="E558" s="14">
        <v>3</v>
      </c>
      <c r="F558" s="14">
        <v>2</v>
      </c>
      <c r="G558" s="14">
        <v>4</v>
      </c>
      <c r="H558" t="s">
        <v>47</v>
      </c>
      <c r="I558" s="30" t="s">
        <v>1535</v>
      </c>
    </row>
    <row r="559" spans="1:9">
      <c r="A559" t="s">
        <v>2093</v>
      </c>
      <c r="B559" t="s">
        <v>1399</v>
      </c>
      <c r="C559" s="29">
        <v>46201.027562881944</v>
      </c>
      <c r="D559" s="14">
        <v>3</v>
      </c>
      <c r="E559" s="14">
        <v>3</v>
      </c>
      <c r="F559" s="14">
        <v>2</v>
      </c>
      <c r="G559" s="14">
        <v>4</v>
      </c>
      <c r="H559" t="s">
        <v>47</v>
      </c>
      <c r="I559" s="30" t="s">
        <v>1535</v>
      </c>
    </row>
    <row r="560" spans="1:9">
      <c r="A560" t="s">
        <v>2094</v>
      </c>
      <c r="B560" t="s">
        <v>1400</v>
      </c>
      <c r="C560" s="29">
        <v>46201.581682592594</v>
      </c>
      <c r="D560" s="14">
        <v>3</v>
      </c>
      <c r="E560" s="14">
        <v>2</v>
      </c>
      <c r="F560" s="14">
        <v>2</v>
      </c>
      <c r="G560" s="14">
        <v>3</v>
      </c>
      <c r="H560" t="s">
        <v>47</v>
      </c>
      <c r="I560" s="30" t="s">
        <v>1535</v>
      </c>
    </row>
    <row r="561" spans="1:9">
      <c r="A561" t="s">
        <v>2095</v>
      </c>
      <c r="B561" t="s">
        <v>1401</v>
      </c>
      <c r="C561" s="29">
        <v>46201.88922153935</v>
      </c>
      <c r="D561" s="14">
        <v>4</v>
      </c>
      <c r="E561" s="14">
        <v>3</v>
      </c>
      <c r="F561" s="14">
        <v>4</v>
      </c>
      <c r="G561" s="14">
        <v>5</v>
      </c>
      <c r="H561" t="s">
        <v>41</v>
      </c>
      <c r="I561" s="30" t="s">
        <v>1530</v>
      </c>
    </row>
    <row r="562" spans="1:9">
      <c r="A562" t="s">
        <v>2096</v>
      </c>
      <c r="B562" t="s">
        <v>1406</v>
      </c>
      <c r="C562" s="29">
        <v>46201.231846435185</v>
      </c>
      <c r="D562" s="14">
        <v>5</v>
      </c>
      <c r="E562" s="14">
        <v>5</v>
      </c>
      <c r="F562" s="14">
        <v>4</v>
      </c>
      <c r="G562" s="14">
        <v>5</v>
      </c>
      <c r="H562" t="s">
        <v>41</v>
      </c>
      <c r="I562" s="30" t="s">
        <v>1539</v>
      </c>
    </row>
    <row r="563" spans="1:9">
      <c r="A563" t="s">
        <v>2097</v>
      </c>
      <c r="B563" t="s">
        <v>1412</v>
      </c>
      <c r="C563" s="29">
        <v>46203.221931273147</v>
      </c>
      <c r="D563" s="14">
        <v>4</v>
      </c>
      <c r="E563" s="14">
        <v>3</v>
      </c>
      <c r="F563" s="14">
        <v>3</v>
      </c>
      <c r="G563" s="14">
        <v>4</v>
      </c>
      <c r="H563" t="s">
        <v>41</v>
      </c>
      <c r="I563" s="30" t="s">
        <v>1532</v>
      </c>
    </row>
    <row r="564" spans="1:9">
      <c r="A564" t="s">
        <v>2098</v>
      </c>
      <c r="B564" t="s">
        <v>1416</v>
      </c>
      <c r="C564" s="29">
        <v>46202.805680740741</v>
      </c>
      <c r="D564" s="14">
        <v>5</v>
      </c>
      <c r="E564" s="14">
        <v>4</v>
      </c>
      <c r="F564" s="14">
        <v>5</v>
      </c>
      <c r="G564" s="14">
        <v>5</v>
      </c>
      <c r="H564" t="s">
        <v>41</v>
      </c>
      <c r="I564" s="30" t="s">
        <v>1539</v>
      </c>
    </row>
    <row r="565" spans="1:9">
      <c r="A565" t="s">
        <v>2099</v>
      </c>
      <c r="B565" t="s">
        <v>1418</v>
      </c>
      <c r="C565" s="29">
        <v>46202.029412951386</v>
      </c>
      <c r="D565" s="14">
        <v>5</v>
      </c>
      <c r="E565" s="14">
        <v>5</v>
      </c>
      <c r="F565" s="14">
        <v>5</v>
      </c>
      <c r="G565" s="14">
        <v>5</v>
      </c>
      <c r="H565" t="s">
        <v>41</v>
      </c>
      <c r="I565" s="30" t="s">
        <v>1530</v>
      </c>
    </row>
    <row r="566" spans="1:9">
      <c r="A566" t="s">
        <v>2100</v>
      </c>
      <c r="B566" t="s">
        <v>1422</v>
      </c>
      <c r="C566" s="29">
        <v>46203.612104189815</v>
      </c>
      <c r="D566" s="14">
        <v>4</v>
      </c>
      <c r="E566" s="14">
        <v>4</v>
      </c>
      <c r="F566" s="14">
        <v>3</v>
      </c>
      <c r="G566" s="14">
        <v>5</v>
      </c>
      <c r="H566" t="s">
        <v>41</v>
      </c>
      <c r="I566" s="30" t="s">
        <v>1539</v>
      </c>
    </row>
    <row r="567" spans="1:9">
      <c r="A567" t="s">
        <v>2101</v>
      </c>
      <c r="B567" t="s">
        <v>1424</v>
      </c>
      <c r="C567" s="29">
        <v>46204.149053402776</v>
      </c>
      <c r="D567" s="14">
        <v>5</v>
      </c>
      <c r="E567" s="14">
        <v>5</v>
      </c>
      <c r="F567" s="14">
        <v>4</v>
      </c>
      <c r="G567" s="14">
        <v>5</v>
      </c>
      <c r="H567" t="s">
        <v>41</v>
      </c>
      <c r="I567" s="30" t="s">
        <v>1532</v>
      </c>
    </row>
    <row r="568" spans="1:9">
      <c r="A568" t="s">
        <v>2102</v>
      </c>
      <c r="B568" t="s">
        <v>1425</v>
      </c>
      <c r="C568" s="29">
        <v>46203.981855798615</v>
      </c>
      <c r="D568" s="14">
        <v>4</v>
      </c>
      <c r="E568" s="14">
        <v>3</v>
      </c>
      <c r="F568" s="14">
        <v>4</v>
      </c>
      <c r="G568" s="14">
        <v>5</v>
      </c>
      <c r="H568" t="s">
        <v>41</v>
      </c>
      <c r="I568" s="30" t="s">
        <v>1530</v>
      </c>
    </row>
    <row r="569" spans="1:9">
      <c r="A569" t="s">
        <v>2103</v>
      </c>
      <c r="B569" t="s">
        <v>1438</v>
      </c>
      <c r="C569" s="29">
        <v>46203.711193495372</v>
      </c>
      <c r="D569" s="14">
        <v>3</v>
      </c>
      <c r="E569" s="14">
        <v>2</v>
      </c>
      <c r="F569" s="14">
        <v>2</v>
      </c>
      <c r="G569" s="14">
        <v>3</v>
      </c>
      <c r="H569" t="s">
        <v>47</v>
      </c>
      <c r="I569" s="30" t="s">
        <v>1537</v>
      </c>
    </row>
    <row r="570" spans="1:9">
      <c r="A570" t="s">
        <v>2104</v>
      </c>
      <c r="B570" t="s">
        <v>1440</v>
      </c>
      <c r="C570" s="29">
        <v>46203.433867766202</v>
      </c>
      <c r="D570" s="14">
        <v>5</v>
      </c>
      <c r="E570" s="14">
        <v>4</v>
      </c>
      <c r="F570" s="14">
        <v>4</v>
      </c>
      <c r="G570" s="14">
        <v>5</v>
      </c>
      <c r="H570" t="s">
        <v>41</v>
      </c>
      <c r="I570" s="30" t="s">
        <v>1539</v>
      </c>
    </row>
  </sheetData>
  <mergeCells count="2">
    <mergeCell ref="A1:I1"/>
    <mergeCell ref="A2:I2"/>
  </mergeCells>
  <phoneticPr fontId="4" type="noConversion"/>
  <conditionalFormatting sqref="D4:G57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使用說明</vt:lpstr>
      <vt:lpstr>客服工單</vt:lpstr>
      <vt:lpstr>人員與團隊</vt:lpstr>
      <vt:lpstr>SLA標準</vt:lpstr>
      <vt:lpstr>滿意度調查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Darren Yang</cp:lastModifiedBy>
  <dcterms:created xsi:type="dcterms:W3CDTF">2026-07-25T06:14:08Z</dcterms:created>
  <dcterms:modified xsi:type="dcterms:W3CDTF">2026-08-05T04:00:49Z</dcterms:modified>
</cp:coreProperties>
</file>